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C:\Users\HP\Downloads\"/>
    </mc:Choice>
  </mc:AlternateContent>
  <xr:revisionPtr revIDLastSave="0" documentId="8_{2291641A-221B-42AA-8A98-7A014BE75537}" xr6:coauthVersionLast="47" xr6:coauthVersionMax="47" xr10:uidLastSave="{00000000-0000-0000-0000-000000000000}"/>
  <bookViews>
    <workbookView xWindow="-120" yWindow="-120" windowWidth="20730" windowHeight="11760" xr2:uid="{A88745B3-630F-452E-B0E5-432E1393F28E}"/>
  </bookViews>
  <sheets>
    <sheet name="E-Resumen" sheetId="1" r:id="rId1"/>
    <sheet name="E-OP-RC-RF-R" sheetId="110" r:id="rId2"/>
    <sheet name="E-OP-RC-RF-I" sheetId="113" r:id="rId3"/>
    <sheet name="E-OP-RL-OI" sheetId="103" r:id="rId4"/>
    <sheet name="E-OP-RM-CMN (2)" sheetId="171" state="hidden" r:id="rId5"/>
    <sheet name="E-OP-RM-CMN" sheetId="40" r:id="rId6"/>
    <sheet name="E-OP-RM-COM" sheetId="41" r:id="rId7"/>
    <sheet name="E-OP-RM-CGOH (2)" sheetId="172" state="hidden" r:id="rId8"/>
    <sheet name="E-OP-RM-CGOH" sheetId="42" r:id="rId9"/>
    <sheet name="E-OP-RM-PFP" sheetId="43" r:id="rId10"/>
    <sheet name="E-OP-RM-APEO" sheetId="44" r:id="rId11"/>
    <sheet name="E-OP-RM-AGV" sheetId="45" r:id="rId12"/>
    <sheet name="E-OP-RM-ORAa" sheetId="46" r:id="rId13"/>
    <sheet name="E-OP-RM-ORAb" sheetId="47" r:id="rId14"/>
    <sheet name="E-OP-RE-CE" sheetId="48" r:id="rId15"/>
    <sheet name="E-OP-RC-RE-S" sheetId="115" r:id="rId16"/>
    <sheet name="E-MT-RC-RF-R" sheetId="116" r:id="rId17"/>
    <sheet name="E-MT-RC-RF-V" sheetId="117" r:id="rId18"/>
    <sheet name="E-MT-RC-RF-I" sheetId="119" r:id="rId19"/>
    <sheet name="E-MT-RL-OI" sheetId="104" r:id="rId20"/>
    <sheet name="E-MT-RM-CDN" sheetId="49" r:id="rId21"/>
    <sheet name="E-MT-RM-CMN" sheetId="50" r:id="rId22"/>
    <sheet name="E-MT-RM-COD" sheetId="51" r:id="rId23"/>
    <sheet name="E-MT-RM-COM" sheetId="52" r:id="rId24"/>
    <sheet name="E-MT-RM-CGOH" sheetId="53" r:id="rId25"/>
    <sheet name="E-MT-RM-PFP" sheetId="54" r:id="rId26"/>
    <sheet name="E-MT-RM-APEO" sheetId="55" r:id="rId27"/>
    <sheet name="E-MT-RM-AGV" sheetId="56" r:id="rId28"/>
    <sheet name="E-MT-RM-ORAa" sheetId="174" r:id="rId29"/>
    <sheet name="E-MT-RM-ORAb" sheetId="175" r:id="rId30"/>
    <sheet name="E-MT-RE-CE" sheetId="173" r:id="rId31"/>
    <sheet name="E-MT-RC-RE-S" sheetId="121" r:id="rId32"/>
    <sheet name="E-HA-RC-RF-R" sheetId="122" r:id="rId33"/>
    <sheet name="E-HA-RC-RF-V" sheetId="123" r:id="rId34"/>
    <sheet name="E-HA-RC-RF-I" sheetId="125" r:id="rId35"/>
    <sheet name="E-HA-RC-RQ-ESN" sheetId="126" r:id="rId36"/>
    <sheet name="E-HA-RL-OI" sheetId="105" r:id="rId37"/>
    <sheet name="E-HA-RM-CDN" sheetId="66" r:id="rId38"/>
    <sheet name="E-HA-RM-CMN" sheetId="67" r:id="rId39"/>
    <sheet name="E-HA-RM-COM" sheetId="69" r:id="rId40"/>
    <sheet name="E-HA-RM-CGOH" sheetId="70" r:id="rId41"/>
    <sheet name="E-HA-RM-PFP" sheetId="71" r:id="rId42"/>
    <sheet name="E-HA-RM-APEO" sheetId="72" r:id="rId43"/>
    <sheet name="E-HA-RM-AGV" sheetId="73" r:id="rId44"/>
    <sheet name="E-HA-RM-ORAa" sheetId="74" r:id="rId45"/>
    <sheet name="E-HA-RM-ORAb" sheetId="75" r:id="rId46"/>
    <sheet name="E-HA-RE-CE" sheetId="76" r:id="rId47"/>
    <sheet name="E-HA-RC-RE-S" sheetId="127" r:id="rId48"/>
    <sheet name="E-EM-RC-RF-R" sheetId="128" r:id="rId49"/>
    <sheet name="E-EM-RC-RF-V" sheetId="129" r:id="rId50"/>
    <sheet name="E-EM-RC-RF-I" sheetId="131" r:id="rId51"/>
    <sheet name="E-EM-RC-RQ-ESN" sheetId="132" r:id="rId52"/>
    <sheet name="E-EM-RL-OI" sheetId="106" r:id="rId53"/>
    <sheet name="E-EM-RM-CDN" sheetId="77" r:id="rId54"/>
    <sheet name="E-EM-RM-CMN" sheetId="78" r:id="rId55"/>
    <sheet name="E-EM-RM-COM" sheetId="80" r:id="rId56"/>
    <sheet name="E-EM-RM-CGOH" sheetId="81" r:id="rId57"/>
    <sheet name="E-EM-RM-PFP" sheetId="82" r:id="rId58"/>
    <sheet name="E-EM-RM-APEO" sheetId="83" r:id="rId59"/>
    <sheet name="E-EM-RM-AGV" sheetId="84" r:id="rId60"/>
    <sheet name="E-EM-RM-ORAa" sheetId="85" r:id="rId61"/>
    <sheet name="E-EM-RM-ORAb" sheetId="86" r:id="rId62"/>
    <sheet name="E-EM-RE-CE" sheetId="87" r:id="rId63"/>
    <sheet name="E-EM-RIM-CTa" sheetId="88" r:id="rId64"/>
    <sheet name="E-EM-RIM-CTb" sheetId="89" r:id="rId65"/>
    <sheet name="E-EM-RIM-CTc" sheetId="90" r:id="rId66"/>
    <sheet name="E-EM-RC-RE-S" sheetId="133" r:id="rId67"/>
    <sheet name="E-IE-RC-RF-R" sheetId="134" r:id="rId68"/>
    <sheet name="E-IE-RC-RF-V" sheetId="135" r:id="rId69"/>
    <sheet name="E-IE-RC-RF-I" sheetId="137" r:id="rId70"/>
    <sheet name="E-IE-RL-OI" sheetId="107" r:id="rId71"/>
    <sheet name="E-IE-RM-CDN" sheetId="91" r:id="rId72"/>
    <sheet name="E-IE-RM-CMN" sheetId="92" r:id="rId73"/>
    <sheet name="E-IE-RM-COM" sheetId="93" r:id="rId74"/>
    <sheet name="E-IE-RM-CGOH" sheetId="94" r:id="rId75"/>
    <sheet name="E-IE-RM-PFP" sheetId="95" r:id="rId76"/>
    <sheet name="E-IE-RM-ORAa" sheetId="178" r:id="rId77"/>
    <sheet name="E-IE-RM-ORAb" sheetId="179" r:id="rId78"/>
    <sheet name="E-IE-RE-CE" sheetId="96" r:id="rId79"/>
    <sheet name="E-IE-RC-RE-S" sheetId="139" r:id="rId80"/>
    <sheet name="E-IH-RC-RF-R" sheetId="146" r:id="rId81"/>
    <sheet name="E-IH-RC-RF-V" sheetId="147" r:id="rId82"/>
    <sheet name="E-IH-RC-RF-I" sheetId="149" r:id="rId83"/>
    <sheet name="E-IH-RC-RQ-ESN" sheetId="150" r:id="rId84"/>
    <sheet name="E-IH-RL-OI" sheetId="108" r:id="rId85"/>
    <sheet name="E-IH-RM-CDN" sheetId="97" r:id="rId86"/>
    <sheet name="E-IH-RM-CMN" sheetId="98" r:id="rId87"/>
    <sheet name="E-IH-RM-COM" sheetId="99" r:id="rId88"/>
    <sheet name="E-IH-RM-CGOH" sheetId="100" r:id="rId89"/>
    <sheet name="E-IH-RM-PFP" sheetId="101" r:id="rId90"/>
    <sheet name="E-IH-RM-ORAa" sheetId="176" r:id="rId91"/>
    <sheet name="E-IH-RM-ORAb" sheetId="177" r:id="rId92"/>
    <sheet name="E-IH-RE-CE" sheetId="102" r:id="rId93"/>
    <sheet name="E-IH-RC-RE-S" sheetId="151" r:id="rId94"/>
    <sheet name="E-A-RC-RF-R" sheetId="140" r:id="rId95"/>
    <sheet name="E-A-RC-RF-V" sheetId="141" r:id="rId96"/>
    <sheet name="E-A-RC-RF-I" sheetId="143" r:id="rId97"/>
    <sheet name="E-A-RC-RQ-ESN" sheetId="144" r:id="rId98"/>
    <sheet name="E-A-RL-OI" sheetId="109" r:id="rId99"/>
    <sheet name="E-A-RM-CDN" sheetId="57" r:id="rId100"/>
    <sheet name="E-A-RM-CMN" sheetId="58" r:id="rId101"/>
    <sheet name="E-A-RM-COM" sheetId="59" r:id="rId102"/>
    <sheet name="E-A-RM-CGOH" sheetId="60" r:id="rId103"/>
    <sheet name="E-A-RM-PFP" sheetId="61" r:id="rId104"/>
    <sheet name="E-A-RM-APEO" sheetId="62" r:id="rId105"/>
    <sheet name="E-A-RM-ORAa" sheetId="63" r:id="rId106"/>
    <sheet name="E-A-RM-ORAb" sheetId="64" r:id="rId107"/>
    <sheet name="E-A-RE-CE" sheetId="65" r:id="rId108"/>
    <sheet name="E-A-RC-RE-S" sheetId="145" r:id="rId109"/>
    <sheet name="I-Resumen" sheetId="180" r:id="rId110"/>
    <sheet name="I-OP-RC-RF-R" sheetId="181" r:id="rId111"/>
    <sheet name="I-OP-RC-RF-V" sheetId="184" r:id="rId112"/>
    <sheet name="I-OP-RC-RF-I" sheetId="182" r:id="rId113"/>
    <sheet name="I-OP-RL-OI" sheetId="183" r:id="rId114"/>
    <sheet name="I-OP-RM-CMN" sheetId="187" r:id="rId115"/>
    <sheet name="I-OP-RM-COM" sheetId="189" r:id="rId116"/>
    <sheet name="I-OP-RM-GCOH" sheetId="190" r:id="rId117"/>
    <sheet name="I-OP-RM-PFP" sheetId="191" r:id="rId118"/>
    <sheet name="I-OP-RM-APEO" sheetId="192" r:id="rId119"/>
    <sheet name="I-OP-RM-AGV" sheetId="194" r:id="rId120"/>
    <sheet name="I-OP-RM-ORAa" sheetId="195" r:id="rId121"/>
    <sheet name="I-OP-RM-ORAb" sheetId="196" r:id="rId122"/>
    <sheet name="I-OP-RE-CE" sheetId="197" r:id="rId123"/>
    <sheet name="I-OP-RC-RE-S" sheetId="199" r:id="rId124"/>
    <sheet name="I-MT-RC-RF-R" sheetId="200" r:id="rId125"/>
    <sheet name="I-MT-RC-RF-V" sheetId="201" r:id="rId126"/>
    <sheet name="I-MT-RC-RF-I" sheetId="202" r:id="rId127"/>
    <sheet name="I-MT-RL-OI" sheetId="203" r:id="rId128"/>
    <sheet name="I-MT-RM-CDN" sheetId="186" r:id="rId129"/>
    <sheet name="I-MT-RM-CMN" sheetId="204" r:id="rId130"/>
    <sheet name="I-MT-RM-COD" sheetId="188" r:id="rId131"/>
    <sheet name="I-MT-RM-COM" sheetId="205" r:id="rId132"/>
    <sheet name="I-MT-RM-GCOH" sheetId="206" r:id="rId133"/>
    <sheet name="I-MT-RM-PFP" sheetId="207" r:id="rId134"/>
    <sheet name="I-MT-RM-APEO" sheetId="208" r:id="rId135"/>
    <sheet name="I-MT-RM-AVM" sheetId="193" r:id="rId136"/>
    <sheet name="I-MT-RM-AGV" sheetId="209" r:id="rId137"/>
    <sheet name="I-MT-RM-ORAa" sheetId="210" r:id="rId138"/>
    <sheet name="I-MT-RM-ORAb" sheetId="211" r:id="rId139"/>
    <sheet name="I-MT-RE-CE" sheetId="212" r:id="rId140"/>
    <sheet name="I-MT-RC-RE-S" sheetId="213" r:id="rId141"/>
    <sheet name="I-OC-RC-RF-R" sheetId="214" r:id="rId142"/>
    <sheet name="I-OC-RC-RF-V" sheetId="215" r:id="rId143"/>
    <sheet name="I-OP-RC-RF-RI" sheetId="170" r:id="rId144"/>
    <sheet name="I-OC-RC-RF-I" sheetId="216" r:id="rId145"/>
    <sheet name="I-OC-RL-OI" sheetId="217" r:id="rId146"/>
    <sheet name="I-OC-RM-CDN" sheetId="218" r:id="rId147"/>
    <sheet name="I-OC-RM-CMN" sheetId="219" r:id="rId148"/>
    <sheet name="I-OC-RM-COD" sheetId="220" r:id="rId149"/>
    <sheet name="I-OC-RM-COM" sheetId="221" r:id="rId150"/>
    <sheet name="I-OC-RM-GCOH" sheetId="222" r:id="rId151"/>
    <sheet name="I-OC-RM-PFP" sheetId="223" r:id="rId152"/>
    <sheet name="I-OC-RM-APEO" sheetId="224" r:id="rId153"/>
    <sheet name="I-OC-RM-ORAa" sheetId="227" r:id="rId154"/>
    <sheet name="I-OC-RM-ORAb" sheetId="228" r:id="rId155"/>
    <sheet name="I-OC-RM-OE-AI" sheetId="185" r:id="rId156"/>
    <sheet name="I-OC-RE-CE" sheetId="229" r:id="rId157"/>
    <sheet name="I-OC-RC-RE-S" sheetId="230" r:id="rId158"/>
    <sheet name="I-TZ-RC-RF-R" sheetId="231" r:id="rId159"/>
    <sheet name="I-TZ-RC-RF-V" sheetId="232" r:id="rId160"/>
    <sheet name="I-TZ-RC-RF-RI" sheetId="233" r:id="rId161"/>
    <sheet name="I-TZ-RC-RF-I" sheetId="234" r:id="rId162"/>
    <sheet name="I-TZ-RL-OI" sheetId="235" r:id="rId163"/>
    <sheet name="I-TZ-RM-CDN" sheetId="236" r:id="rId164"/>
    <sheet name="I-TZ-RM-CMN" sheetId="238" r:id="rId165"/>
    <sheet name="I-TZ-RM-COD" sheetId="237" r:id="rId166"/>
    <sheet name="I-TZ-RM-COM" sheetId="239" r:id="rId167"/>
    <sheet name="I-TZ-RM-GCOH" sheetId="240" r:id="rId168"/>
    <sheet name="I-TZ-RM-PFP" sheetId="241" r:id="rId169"/>
    <sheet name="I-TZ-RM-APEO" sheetId="242" r:id="rId170"/>
    <sheet name="I-TZ-RM-AGV" sheetId="226" r:id="rId171"/>
    <sheet name="I-TZ-RM-ORAa" sheetId="243" r:id="rId172"/>
    <sheet name="I-TZ-RM-ORAb" sheetId="244" r:id="rId173"/>
    <sheet name="I-TZ-RM-OE-AI" sheetId="264" r:id="rId174"/>
    <sheet name="I-TZ-RE-CE" sheetId="245" r:id="rId175"/>
    <sheet name="I-TZ-RC-RE-S" sheetId="246" r:id="rId176"/>
    <sheet name="I-R-RC-RF-R" sheetId="247" r:id="rId177"/>
    <sheet name="I-R-RC-RF-V" sheetId="248" r:id="rId178"/>
    <sheet name="I-R-RC-RF-RI" sheetId="249" r:id="rId179"/>
    <sheet name="I-R-RC-RF-I" sheetId="250" r:id="rId180"/>
    <sheet name="I-R-RL-OI" sheetId="251" r:id="rId181"/>
    <sheet name="I-R-RM-CDN" sheetId="252" r:id="rId182"/>
    <sheet name="I-R-RM-CMN" sheetId="253" r:id="rId183"/>
    <sheet name="I-R-RM-COD" sheetId="254" r:id="rId184"/>
    <sheet name="I-R-RM-COM" sheetId="255" r:id="rId185"/>
    <sheet name="I-R-RM-GCOH" sheetId="256" r:id="rId186"/>
    <sheet name="I-R-RM-PFP" sheetId="257" r:id="rId187"/>
    <sheet name="I-R-RM-APEO" sheetId="258" r:id="rId188"/>
    <sheet name="I-R-RM-AGV" sheetId="259" r:id="rId189"/>
    <sheet name="I-R-RM-ORAa" sheetId="260" r:id="rId190"/>
    <sheet name="I-R-RM-ORAb" sheetId="261" r:id="rId191"/>
    <sheet name="I-R-RE-CE" sheetId="262" r:id="rId192"/>
    <sheet name="I-R-RC-RE-S" sheetId="263" r:id="rId193"/>
  </sheets>
  <definedNames>
    <definedName name="_Hlk210070090" localSheetId="64">'E-EM-RIM-CTb'!$A$3</definedName>
    <definedName name="_xlnm.Print_Titles" localSheetId="109">'I-Resumen'!$1:$2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9" i="1" l="1"/>
  <c r="R59" i="1"/>
  <c r="J59" i="1"/>
  <c r="G59" i="1"/>
  <c r="K59" i="1" s="1"/>
  <c r="E59" i="1"/>
  <c r="F59" i="1"/>
  <c r="C59" i="1"/>
  <c r="O4" i="180"/>
  <c r="O5" i="180"/>
  <c r="O16" i="180"/>
  <c r="O17" i="180"/>
  <c r="O18" i="180"/>
  <c r="O19" i="180"/>
  <c r="O33" i="180"/>
  <c r="O34" i="180"/>
  <c r="O35" i="180"/>
  <c r="O36" i="180"/>
  <c r="O37" i="180"/>
  <c r="O50" i="180"/>
  <c r="O51" i="180"/>
  <c r="O52" i="180"/>
  <c r="O53" i="180"/>
  <c r="O54" i="180"/>
  <c r="O68" i="180"/>
  <c r="O69" i="180"/>
  <c r="O70" i="180"/>
  <c r="O71" i="180"/>
  <c r="O72" i="180"/>
  <c r="O85" i="180"/>
  <c r="O3" i="180"/>
  <c r="J66" i="180"/>
  <c r="N66" i="180"/>
  <c r="S66" i="180"/>
  <c r="C66" i="180"/>
  <c r="E66" i="180"/>
  <c r="F66" i="180"/>
  <c r="J48" i="180"/>
  <c r="N48" i="180"/>
  <c r="S48" i="180"/>
  <c r="J14" i="264"/>
  <c r="I14" i="264"/>
  <c r="J13" i="264"/>
  <c r="I13" i="264"/>
  <c r="J12" i="264"/>
  <c r="I12" i="264"/>
  <c r="J11" i="264"/>
  <c r="I11" i="264"/>
  <c r="J10" i="264"/>
  <c r="I10" i="264"/>
  <c r="J9" i="264"/>
  <c r="I9" i="264"/>
  <c r="J8" i="264"/>
  <c r="I8" i="264"/>
  <c r="J7" i="264"/>
  <c r="I7" i="264"/>
  <c r="J6" i="264"/>
  <c r="I6" i="264"/>
  <c r="J5" i="264"/>
  <c r="I5" i="264"/>
  <c r="I15" i="264" s="1"/>
  <c r="F4" i="180"/>
  <c r="F5" i="180"/>
  <c r="F6" i="180"/>
  <c r="F7" i="180"/>
  <c r="F8" i="180"/>
  <c r="F9" i="180"/>
  <c r="F10" i="180"/>
  <c r="F11" i="180"/>
  <c r="F12" i="180"/>
  <c r="F13" i="180"/>
  <c r="F14" i="180"/>
  <c r="F15" i="180"/>
  <c r="F16" i="180"/>
  <c r="F17" i="180"/>
  <c r="F18" i="180"/>
  <c r="F19" i="180"/>
  <c r="F20" i="180"/>
  <c r="F21" i="180"/>
  <c r="F22" i="180"/>
  <c r="F23" i="180"/>
  <c r="F24" i="180"/>
  <c r="F25" i="180"/>
  <c r="F26" i="180"/>
  <c r="F27" i="180"/>
  <c r="F28" i="180"/>
  <c r="F29" i="180"/>
  <c r="F30" i="180"/>
  <c r="F31" i="180"/>
  <c r="F32" i="180"/>
  <c r="F33" i="180"/>
  <c r="F34" i="180"/>
  <c r="F35" i="180"/>
  <c r="F36" i="180"/>
  <c r="F37" i="180"/>
  <c r="F38" i="180"/>
  <c r="F39" i="180"/>
  <c r="F40" i="180"/>
  <c r="F41" i="180"/>
  <c r="F42" i="180"/>
  <c r="F43" i="180"/>
  <c r="F44" i="180"/>
  <c r="F45" i="180"/>
  <c r="F46" i="180"/>
  <c r="F47" i="180"/>
  <c r="F48" i="180"/>
  <c r="F49" i="180"/>
  <c r="F50" i="180"/>
  <c r="F51" i="180"/>
  <c r="F52" i="180"/>
  <c r="F53" i="180"/>
  <c r="F54" i="180"/>
  <c r="F55" i="180"/>
  <c r="F56" i="180"/>
  <c r="F57" i="180"/>
  <c r="F58" i="180"/>
  <c r="F59" i="180"/>
  <c r="F60" i="180"/>
  <c r="F61" i="180"/>
  <c r="F62" i="180"/>
  <c r="F63" i="180"/>
  <c r="F64" i="180"/>
  <c r="F65" i="180"/>
  <c r="F67" i="180"/>
  <c r="F68" i="180"/>
  <c r="F69" i="180"/>
  <c r="F70" i="180"/>
  <c r="F71" i="180"/>
  <c r="F72" i="180"/>
  <c r="F73" i="180"/>
  <c r="F74" i="180"/>
  <c r="F75" i="180"/>
  <c r="F76" i="180"/>
  <c r="F77" i="180"/>
  <c r="F78" i="180"/>
  <c r="F79" i="180"/>
  <c r="F80" i="180"/>
  <c r="F81" i="180"/>
  <c r="F82" i="180"/>
  <c r="F83" i="180"/>
  <c r="F84" i="180"/>
  <c r="F85" i="180"/>
  <c r="F3" i="180"/>
  <c r="C48" i="180"/>
  <c r="E48" i="180"/>
  <c r="J28" i="180"/>
  <c r="N28" i="180"/>
  <c r="S28" i="180"/>
  <c r="J63" i="180"/>
  <c r="N63" i="180"/>
  <c r="S63" i="180"/>
  <c r="I14" i="263"/>
  <c r="H14" i="263"/>
  <c r="I13" i="263"/>
  <c r="H13" i="263"/>
  <c r="I12" i="263"/>
  <c r="H12" i="263"/>
  <c r="I11" i="263"/>
  <c r="H11" i="263"/>
  <c r="I10" i="263"/>
  <c r="H10" i="263"/>
  <c r="I9" i="263"/>
  <c r="H9" i="263"/>
  <c r="I8" i="263"/>
  <c r="H8" i="263"/>
  <c r="I7" i="263"/>
  <c r="H7" i="263"/>
  <c r="I6" i="263"/>
  <c r="H6" i="263"/>
  <c r="I5" i="263"/>
  <c r="H5" i="263"/>
  <c r="J18" i="262"/>
  <c r="I18" i="262"/>
  <c r="J17" i="262"/>
  <c r="I17" i="262"/>
  <c r="J16" i="262"/>
  <c r="I16" i="262"/>
  <c r="J15" i="262"/>
  <c r="I15" i="262"/>
  <c r="J14" i="262"/>
  <c r="I14" i="262"/>
  <c r="J13" i="262"/>
  <c r="I13" i="262"/>
  <c r="J12" i="262"/>
  <c r="I12" i="262"/>
  <c r="J11" i="262"/>
  <c r="I11" i="262"/>
  <c r="J10" i="262"/>
  <c r="I10" i="262"/>
  <c r="J9" i="262"/>
  <c r="I9" i="262"/>
  <c r="J8" i="262"/>
  <c r="I8" i="262"/>
  <c r="J7" i="262"/>
  <c r="I7" i="262"/>
  <c r="J6" i="262"/>
  <c r="I6" i="262"/>
  <c r="J5" i="262"/>
  <c r="I5" i="262"/>
  <c r="J17" i="261"/>
  <c r="I17" i="261"/>
  <c r="J16" i="261"/>
  <c r="I16" i="261"/>
  <c r="J15" i="261"/>
  <c r="I15" i="261"/>
  <c r="J14" i="261"/>
  <c r="I14" i="261"/>
  <c r="J13" i="261"/>
  <c r="I13" i="261"/>
  <c r="J12" i="261"/>
  <c r="I12" i="261"/>
  <c r="J11" i="261"/>
  <c r="I11" i="261"/>
  <c r="J10" i="261"/>
  <c r="I10" i="261"/>
  <c r="J9" i="261"/>
  <c r="I9" i="261"/>
  <c r="J8" i="261"/>
  <c r="I8" i="261"/>
  <c r="J7" i="261"/>
  <c r="I7" i="261"/>
  <c r="J6" i="261"/>
  <c r="I6" i="261"/>
  <c r="J5" i="261"/>
  <c r="I5" i="261"/>
  <c r="J16" i="260"/>
  <c r="I16" i="260"/>
  <c r="J15" i="260"/>
  <c r="I15" i="260"/>
  <c r="J14" i="260"/>
  <c r="I14" i="260"/>
  <c r="J13" i="260"/>
  <c r="I13" i="260"/>
  <c r="J12" i="260"/>
  <c r="I12" i="260"/>
  <c r="J11" i="260"/>
  <c r="I11" i="260"/>
  <c r="J10" i="260"/>
  <c r="I10" i="260"/>
  <c r="J9" i="260"/>
  <c r="I9" i="260"/>
  <c r="J8" i="260"/>
  <c r="I8" i="260"/>
  <c r="J7" i="260"/>
  <c r="I7" i="260"/>
  <c r="J6" i="260"/>
  <c r="I6" i="260"/>
  <c r="J5" i="260"/>
  <c r="I5" i="260"/>
  <c r="J15" i="259"/>
  <c r="I15" i="259"/>
  <c r="J14" i="259"/>
  <c r="I14" i="259"/>
  <c r="J13" i="259"/>
  <c r="I13" i="259"/>
  <c r="J12" i="259"/>
  <c r="I12" i="259"/>
  <c r="J11" i="259"/>
  <c r="I11" i="259"/>
  <c r="J10" i="259"/>
  <c r="I10" i="259"/>
  <c r="J9" i="259"/>
  <c r="I9" i="259"/>
  <c r="J8" i="259"/>
  <c r="I8" i="259"/>
  <c r="J7" i="259"/>
  <c r="I7" i="259"/>
  <c r="J6" i="259"/>
  <c r="I6" i="259"/>
  <c r="J5" i="259"/>
  <c r="I5" i="259"/>
  <c r="J16" i="258"/>
  <c r="I16" i="258"/>
  <c r="J15" i="258"/>
  <c r="I15" i="258"/>
  <c r="J14" i="258"/>
  <c r="I14" i="258"/>
  <c r="J13" i="258"/>
  <c r="I13" i="258"/>
  <c r="J12" i="258"/>
  <c r="I12" i="258"/>
  <c r="J11" i="258"/>
  <c r="I11" i="258"/>
  <c r="J10" i="258"/>
  <c r="I10" i="258"/>
  <c r="J9" i="258"/>
  <c r="I9" i="258"/>
  <c r="J8" i="258"/>
  <c r="I8" i="258"/>
  <c r="J7" i="258"/>
  <c r="I7" i="258"/>
  <c r="J6" i="258"/>
  <c r="I6" i="258"/>
  <c r="J5" i="258"/>
  <c r="I5" i="258"/>
  <c r="J13" i="257"/>
  <c r="I13" i="257"/>
  <c r="J12" i="257"/>
  <c r="I12" i="257"/>
  <c r="J11" i="257"/>
  <c r="I11" i="257"/>
  <c r="J10" i="257"/>
  <c r="I10" i="257"/>
  <c r="J9" i="257"/>
  <c r="I9" i="257"/>
  <c r="J8" i="257"/>
  <c r="I8" i="257"/>
  <c r="J7" i="257"/>
  <c r="I7" i="257"/>
  <c r="J6" i="257"/>
  <c r="I6" i="257"/>
  <c r="J5" i="257"/>
  <c r="I5" i="257"/>
  <c r="J18" i="256"/>
  <c r="I18" i="256"/>
  <c r="J17" i="256"/>
  <c r="I17" i="256"/>
  <c r="J16" i="256"/>
  <c r="I16" i="256"/>
  <c r="J15" i="256"/>
  <c r="I15" i="256"/>
  <c r="J14" i="256"/>
  <c r="I14" i="256"/>
  <c r="J13" i="256"/>
  <c r="I13" i="256"/>
  <c r="J12" i="256"/>
  <c r="I12" i="256"/>
  <c r="J11" i="256"/>
  <c r="I11" i="256"/>
  <c r="J10" i="256"/>
  <c r="I10" i="256"/>
  <c r="J9" i="256"/>
  <c r="I9" i="256"/>
  <c r="J8" i="256"/>
  <c r="I8" i="256"/>
  <c r="J7" i="256"/>
  <c r="I7" i="256"/>
  <c r="J6" i="256"/>
  <c r="I6" i="256"/>
  <c r="J5" i="256"/>
  <c r="I5" i="256"/>
  <c r="J15" i="255"/>
  <c r="I15" i="255"/>
  <c r="J14" i="255"/>
  <c r="I14" i="255"/>
  <c r="J13" i="255"/>
  <c r="I13" i="255"/>
  <c r="J12" i="255"/>
  <c r="I12" i="255"/>
  <c r="J11" i="255"/>
  <c r="I11" i="255"/>
  <c r="J10" i="255"/>
  <c r="I10" i="255"/>
  <c r="J9" i="255"/>
  <c r="I9" i="255"/>
  <c r="J8" i="255"/>
  <c r="I8" i="255"/>
  <c r="J7" i="255"/>
  <c r="I7" i="255"/>
  <c r="J6" i="255"/>
  <c r="I6" i="255"/>
  <c r="J5" i="255"/>
  <c r="I5" i="255"/>
  <c r="J13" i="254"/>
  <c r="I13" i="254"/>
  <c r="J12" i="254"/>
  <c r="I12" i="254"/>
  <c r="J11" i="254"/>
  <c r="I11" i="254"/>
  <c r="J10" i="254"/>
  <c r="I10" i="254"/>
  <c r="J9" i="254"/>
  <c r="I9" i="254"/>
  <c r="J8" i="254"/>
  <c r="I8" i="254"/>
  <c r="J7" i="254"/>
  <c r="I7" i="254"/>
  <c r="J6" i="254"/>
  <c r="I6" i="254"/>
  <c r="J5" i="254"/>
  <c r="I5" i="254"/>
  <c r="J14" i="253"/>
  <c r="I14" i="253"/>
  <c r="J13" i="253"/>
  <c r="I13" i="253"/>
  <c r="J12" i="253"/>
  <c r="I12" i="253"/>
  <c r="J11" i="253"/>
  <c r="I11" i="253"/>
  <c r="J10" i="253"/>
  <c r="I10" i="253"/>
  <c r="J9" i="253"/>
  <c r="I9" i="253"/>
  <c r="J8" i="253"/>
  <c r="I8" i="253"/>
  <c r="J7" i="253"/>
  <c r="I7" i="253"/>
  <c r="J6" i="253"/>
  <c r="I6" i="253"/>
  <c r="J5" i="253"/>
  <c r="I5" i="253"/>
  <c r="J13" i="252"/>
  <c r="I13" i="252"/>
  <c r="J12" i="252"/>
  <c r="I12" i="252"/>
  <c r="J11" i="252"/>
  <c r="I11" i="252"/>
  <c r="J10" i="252"/>
  <c r="I10" i="252"/>
  <c r="J9" i="252"/>
  <c r="I9" i="252"/>
  <c r="J8" i="252"/>
  <c r="I8" i="252"/>
  <c r="J7" i="252"/>
  <c r="I7" i="252"/>
  <c r="J6" i="252"/>
  <c r="I6" i="252"/>
  <c r="J5" i="252"/>
  <c r="I5" i="252"/>
  <c r="J13" i="251"/>
  <c r="I13" i="251"/>
  <c r="J12" i="251"/>
  <c r="I12" i="251"/>
  <c r="J11" i="251"/>
  <c r="I11" i="251"/>
  <c r="J10" i="251"/>
  <c r="I10" i="251"/>
  <c r="J9" i="251"/>
  <c r="I9" i="251"/>
  <c r="J8" i="251"/>
  <c r="I8" i="251"/>
  <c r="J7" i="251"/>
  <c r="I7" i="251"/>
  <c r="J6" i="251"/>
  <c r="I6" i="251"/>
  <c r="J5" i="251"/>
  <c r="I5" i="251"/>
  <c r="I11" i="250"/>
  <c r="H11" i="250"/>
  <c r="I10" i="250"/>
  <c r="H10" i="250"/>
  <c r="I9" i="250"/>
  <c r="H9" i="250"/>
  <c r="I8" i="250"/>
  <c r="H8" i="250"/>
  <c r="I7" i="250"/>
  <c r="H7" i="250"/>
  <c r="I6" i="250"/>
  <c r="H6" i="250"/>
  <c r="I5" i="250"/>
  <c r="H5" i="250"/>
  <c r="I18" i="249"/>
  <c r="H18" i="249"/>
  <c r="I17" i="249"/>
  <c r="H17" i="249"/>
  <c r="I16" i="249"/>
  <c r="H16" i="249"/>
  <c r="I15" i="249"/>
  <c r="H15" i="249"/>
  <c r="I14" i="249"/>
  <c r="H14" i="249"/>
  <c r="I13" i="249"/>
  <c r="H13" i="249"/>
  <c r="I12" i="249"/>
  <c r="H12" i="249"/>
  <c r="I11" i="249"/>
  <c r="H11" i="249"/>
  <c r="I10" i="249"/>
  <c r="H10" i="249"/>
  <c r="I9" i="249"/>
  <c r="H9" i="249"/>
  <c r="I8" i="249"/>
  <c r="H8" i="249"/>
  <c r="I7" i="249"/>
  <c r="H7" i="249"/>
  <c r="I6" i="249"/>
  <c r="H6" i="249"/>
  <c r="I5" i="249"/>
  <c r="H5" i="249"/>
  <c r="I12" i="248"/>
  <c r="H12" i="248"/>
  <c r="I11" i="248"/>
  <c r="H11" i="248"/>
  <c r="I10" i="248"/>
  <c r="H10" i="248"/>
  <c r="I9" i="248"/>
  <c r="H9" i="248"/>
  <c r="I8" i="248"/>
  <c r="H8" i="248"/>
  <c r="I7" i="248"/>
  <c r="H7" i="248"/>
  <c r="I6" i="248"/>
  <c r="H6" i="248"/>
  <c r="I5" i="248"/>
  <c r="H5" i="248"/>
  <c r="I12" i="247"/>
  <c r="H12" i="247"/>
  <c r="I11" i="247"/>
  <c r="H11" i="247"/>
  <c r="I10" i="247"/>
  <c r="H10" i="247"/>
  <c r="I9" i="247"/>
  <c r="H9" i="247"/>
  <c r="I8" i="247"/>
  <c r="H8" i="247"/>
  <c r="I7" i="247"/>
  <c r="H7" i="247"/>
  <c r="I6" i="247"/>
  <c r="H6" i="247"/>
  <c r="I5" i="247"/>
  <c r="H5" i="247"/>
  <c r="I14" i="246"/>
  <c r="H14" i="246"/>
  <c r="I13" i="246"/>
  <c r="H13" i="246"/>
  <c r="I12" i="246"/>
  <c r="H12" i="246"/>
  <c r="I11" i="246"/>
  <c r="H11" i="246"/>
  <c r="I10" i="246"/>
  <c r="H10" i="246"/>
  <c r="I9" i="246"/>
  <c r="H9" i="246"/>
  <c r="I8" i="246"/>
  <c r="H8" i="246"/>
  <c r="I7" i="246"/>
  <c r="H7" i="246"/>
  <c r="I6" i="246"/>
  <c r="H6" i="246"/>
  <c r="I5" i="246"/>
  <c r="H5" i="246"/>
  <c r="J18" i="245"/>
  <c r="I18" i="245"/>
  <c r="J17" i="245"/>
  <c r="I17" i="245"/>
  <c r="J16" i="245"/>
  <c r="I16" i="245"/>
  <c r="J15" i="245"/>
  <c r="I15" i="245"/>
  <c r="J14" i="245"/>
  <c r="I14" i="245"/>
  <c r="J13" i="245"/>
  <c r="I13" i="245"/>
  <c r="J12" i="245"/>
  <c r="I12" i="245"/>
  <c r="J11" i="245"/>
  <c r="I11" i="245"/>
  <c r="J10" i="245"/>
  <c r="I10" i="245"/>
  <c r="J9" i="245"/>
  <c r="I9" i="245"/>
  <c r="J8" i="245"/>
  <c r="I8" i="245"/>
  <c r="J7" i="245"/>
  <c r="I7" i="245"/>
  <c r="J6" i="245"/>
  <c r="I6" i="245"/>
  <c r="J5" i="245"/>
  <c r="I5" i="245"/>
  <c r="J17" i="244"/>
  <c r="I17" i="244"/>
  <c r="J16" i="244"/>
  <c r="I16" i="244"/>
  <c r="J15" i="244"/>
  <c r="I15" i="244"/>
  <c r="J14" i="244"/>
  <c r="I14" i="244"/>
  <c r="J13" i="244"/>
  <c r="I13" i="244"/>
  <c r="J12" i="244"/>
  <c r="I12" i="244"/>
  <c r="J11" i="244"/>
  <c r="I11" i="244"/>
  <c r="J10" i="244"/>
  <c r="I10" i="244"/>
  <c r="J9" i="244"/>
  <c r="I9" i="244"/>
  <c r="J8" i="244"/>
  <c r="I8" i="244"/>
  <c r="J7" i="244"/>
  <c r="I7" i="244"/>
  <c r="J6" i="244"/>
  <c r="I6" i="244"/>
  <c r="J5" i="244"/>
  <c r="I5" i="244"/>
  <c r="J16" i="243"/>
  <c r="I16" i="243"/>
  <c r="J15" i="243"/>
  <c r="I15" i="243"/>
  <c r="J14" i="243"/>
  <c r="I14" i="243"/>
  <c r="J13" i="243"/>
  <c r="I13" i="243"/>
  <c r="J12" i="243"/>
  <c r="I12" i="243"/>
  <c r="J11" i="243"/>
  <c r="I11" i="243"/>
  <c r="J10" i="243"/>
  <c r="I10" i="243"/>
  <c r="J9" i="243"/>
  <c r="I9" i="243"/>
  <c r="J8" i="243"/>
  <c r="I8" i="243"/>
  <c r="J7" i="243"/>
  <c r="I7" i="243"/>
  <c r="J6" i="243"/>
  <c r="I6" i="243"/>
  <c r="J5" i="243"/>
  <c r="I5" i="243"/>
  <c r="J16" i="242"/>
  <c r="I16" i="242"/>
  <c r="J15" i="242"/>
  <c r="I15" i="242"/>
  <c r="J14" i="242"/>
  <c r="I14" i="242"/>
  <c r="J13" i="242"/>
  <c r="I13" i="242"/>
  <c r="J12" i="242"/>
  <c r="I12" i="242"/>
  <c r="J11" i="242"/>
  <c r="I11" i="242"/>
  <c r="J10" i="242"/>
  <c r="I10" i="242"/>
  <c r="J9" i="242"/>
  <c r="I9" i="242"/>
  <c r="J8" i="242"/>
  <c r="I8" i="242"/>
  <c r="J7" i="242"/>
  <c r="I7" i="242"/>
  <c r="J6" i="242"/>
  <c r="I6" i="242"/>
  <c r="J5" i="242"/>
  <c r="I5" i="242"/>
  <c r="J13" i="241"/>
  <c r="I13" i="241"/>
  <c r="J12" i="241"/>
  <c r="I12" i="241"/>
  <c r="J11" i="241"/>
  <c r="I11" i="241"/>
  <c r="J10" i="241"/>
  <c r="I10" i="241"/>
  <c r="J9" i="241"/>
  <c r="I9" i="241"/>
  <c r="J8" i="241"/>
  <c r="I8" i="241"/>
  <c r="J7" i="241"/>
  <c r="I7" i="241"/>
  <c r="J6" i="241"/>
  <c r="I6" i="241"/>
  <c r="J5" i="241"/>
  <c r="I5" i="241"/>
  <c r="J18" i="240"/>
  <c r="I18" i="240"/>
  <c r="J17" i="240"/>
  <c r="I17" i="240"/>
  <c r="J16" i="240"/>
  <c r="I16" i="240"/>
  <c r="J15" i="240"/>
  <c r="I15" i="240"/>
  <c r="J14" i="240"/>
  <c r="I14" i="240"/>
  <c r="J13" i="240"/>
  <c r="I13" i="240"/>
  <c r="J12" i="240"/>
  <c r="I12" i="240"/>
  <c r="J11" i="240"/>
  <c r="I11" i="240"/>
  <c r="J10" i="240"/>
  <c r="I10" i="240"/>
  <c r="J9" i="240"/>
  <c r="I9" i="240"/>
  <c r="J8" i="240"/>
  <c r="I8" i="240"/>
  <c r="J7" i="240"/>
  <c r="I7" i="240"/>
  <c r="J6" i="240"/>
  <c r="I6" i="240"/>
  <c r="J5" i="240"/>
  <c r="I5" i="240"/>
  <c r="J15" i="239"/>
  <c r="I15" i="239"/>
  <c r="J14" i="239"/>
  <c r="I14" i="239"/>
  <c r="J13" i="239"/>
  <c r="I13" i="239"/>
  <c r="J12" i="239"/>
  <c r="I12" i="239"/>
  <c r="J11" i="239"/>
  <c r="I11" i="239"/>
  <c r="J10" i="239"/>
  <c r="I10" i="239"/>
  <c r="J9" i="239"/>
  <c r="I9" i="239"/>
  <c r="J8" i="239"/>
  <c r="I8" i="239"/>
  <c r="J7" i="239"/>
  <c r="I7" i="239"/>
  <c r="J6" i="239"/>
  <c r="I6" i="239"/>
  <c r="J5" i="239"/>
  <c r="I5" i="239"/>
  <c r="J14" i="238"/>
  <c r="I14" i="238"/>
  <c r="J13" i="238"/>
  <c r="I13" i="238"/>
  <c r="J12" i="238"/>
  <c r="I12" i="238"/>
  <c r="J11" i="238"/>
  <c r="I11" i="238"/>
  <c r="J10" i="238"/>
  <c r="I10" i="238"/>
  <c r="J9" i="238"/>
  <c r="I9" i="238"/>
  <c r="J8" i="238"/>
  <c r="I8" i="238"/>
  <c r="J7" i="238"/>
  <c r="I7" i="238"/>
  <c r="J6" i="238"/>
  <c r="I6" i="238"/>
  <c r="J5" i="238"/>
  <c r="I5" i="238"/>
  <c r="J13" i="237"/>
  <c r="I13" i="237"/>
  <c r="J12" i="237"/>
  <c r="I12" i="237"/>
  <c r="J11" i="237"/>
  <c r="I11" i="237"/>
  <c r="J10" i="237"/>
  <c r="I10" i="237"/>
  <c r="J9" i="237"/>
  <c r="I9" i="237"/>
  <c r="J8" i="237"/>
  <c r="I8" i="237"/>
  <c r="J7" i="237"/>
  <c r="I7" i="237"/>
  <c r="J6" i="237"/>
  <c r="I6" i="237"/>
  <c r="J5" i="237"/>
  <c r="I5" i="237"/>
  <c r="J13" i="236"/>
  <c r="I13" i="236"/>
  <c r="J12" i="236"/>
  <c r="I12" i="236"/>
  <c r="J11" i="236"/>
  <c r="I11" i="236"/>
  <c r="J10" i="236"/>
  <c r="I10" i="236"/>
  <c r="J9" i="236"/>
  <c r="I9" i="236"/>
  <c r="J8" i="236"/>
  <c r="I8" i="236"/>
  <c r="J7" i="236"/>
  <c r="I7" i="236"/>
  <c r="J6" i="236"/>
  <c r="I6" i="236"/>
  <c r="J5" i="236"/>
  <c r="I5" i="236"/>
  <c r="J13" i="235"/>
  <c r="I13" i="235"/>
  <c r="J12" i="235"/>
  <c r="I12" i="235"/>
  <c r="J11" i="235"/>
  <c r="I11" i="235"/>
  <c r="J10" i="235"/>
  <c r="I10" i="235"/>
  <c r="J9" i="235"/>
  <c r="I9" i="235"/>
  <c r="J8" i="235"/>
  <c r="I8" i="235"/>
  <c r="J7" i="235"/>
  <c r="I7" i="235"/>
  <c r="J6" i="235"/>
  <c r="I6" i="235"/>
  <c r="J5" i="235"/>
  <c r="I5" i="235"/>
  <c r="I11" i="234"/>
  <c r="H11" i="234"/>
  <c r="I10" i="234"/>
  <c r="H10" i="234"/>
  <c r="I9" i="234"/>
  <c r="H9" i="234"/>
  <c r="I8" i="234"/>
  <c r="H8" i="234"/>
  <c r="I7" i="234"/>
  <c r="H7" i="234"/>
  <c r="I6" i="234"/>
  <c r="H6" i="234"/>
  <c r="I5" i="234"/>
  <c r="H5" i="234"/>
  <c r="H12" i="234" s="1"/>
  <c r="I18" i="233"/>
  <c r="H18" i="233"/>
  <c r="I17" i="233"/>
  <c r="H17" i="233"/>
  <c r="I16" i="233"/>
  <c r="H16" i="233"/>
  <c r="I15" i="233"/>
  <c r="H15" i="233"/>
  <c r="I14" i="233"/>
  <c r="H14" i="233"/>
  <c r="I13" i="233"/>
  <c r="H13" i="233"/>
  <c r="I12" i="233"/>
  <c r="H12" i="233"/>
  <c r="I11" i="233"/>
  <c r="H11" i="233"/>
  <c r="I10" i="233"/>
  <c r="H10" i="233"/>
  <c r="I9" i="233"/>
  <c r="H9" i="233"/>
  <c r="I8" i="233"/>
  <c r="H8" i="233"/>
  <c r="I7" i="233"/>
  <c r="H7" i="233"/>
  <c r="I6" i="233"/>
  <c r="H6" i="233"/>
  <c r="I5" i="233"/>
  <c r="H5" i="233"/>
  <c r="H19" i="233" s="1"/>
  <c r="I12" i="232"/>
  <c r="H12" i="232"/>
  <c r="I11" i="232"/>
  <c r="H11" i="232"/>
  <c r="I10" i="232"/>
  <c r="H10" i="232"/>
  <c r="I9" i="232"/>
  <c r="H9" i="232"/>
  <c r="I8" i="232"/>
  <c r="H8" i="232"/>
  <c r="I7" i="232"/>
  <c r="H7" i="232"/>
  <c r="I6" i="232"/>
  <c r="H6" i="232"/>
  <c r="I5" i="232"/>
  <c r="H5" i="232"/>
  <c r="H13" i="232" s="1"/>
  <c r="I12" i="231"/>
  <c r="H12" i="231"/>
  <c r="I11" i="231"/>
  <c r="H11" i="231"/>
  <c r="I10" i="231"/>
  <c r="H10" i="231"/>
  <c r="I9" i="231"/>
  <c r="H9" i="231"/>
  <c r="I8" i="231"/>
  <c r="H8" i="231"/>
  <c r="I7" i="231"/>
  <c r="H7" i="231"/>
  <c r="I6" i="231"/>
  <c r="H6" i="231"/>
  <c r="I5" i="231"/>
  <c r="H5" i="231"/>
  <c r="H13" i="231" s="1"/>
  <c r="C63" i="180"/>
  <c r="E63" i="180"/>
  <c r="J36" i="180"/>
  <c r="N36" i="180"/>
  <c r="S36" i="180"/>
  <c r="I14" i="230"/>
  <c r="H14" i="230"/>
  <c r="I13" i="230"/>
  <c r="H13" i="230"/>
  <c r="I12" i="230"/>
  <c r="H12" i="230"/>
  <c r="I11" i="230"/>
  <c r="H11" i="230"/>
  <c r="I10" i="230"/>
  <c r="H10" i="230"/>
  <c r="I9" i="230"/>
  <c r="H9" i="230"/>
  <c r="I8" i="230"/>
  <c r="H8" i="230"/>
  <c r="I7" i="230"/>
  <c r="H7" i="230"/>
  <c r="I6" i="230"/>
  <c r="H6" i="230"/>
  <c r="I5" i="230"/>
  <c r="H5" i="230"/>
  <c r="J18" i="229"/>
  <c r="I18" i="229"/>
  <c r="J17" i="229"/>
  <c r="I17" i="229"/>
  <c r="J16" i="229"/>
  <c r="I16" i="229"/>
  <c r="J15" i="229"/>
  <c r="I15" i="229"/>
  <c r="J14" i="229"/>
  <c r="I14" i="229"/>
  <c r="J13" i="229"/>
  <c r="I13" i="229"/>
  <c r="J12" i="229"/>
  <c r="I12" i="229"/>
  <c r="J11" i="229"/>
  <c r="I11" i="229"/>
  <c r="J10" i="229"/>
  <c r="I10" i="229"/>
  <c r="J9" i="229"/>
  <c r="I9" i="229"/>
  <c r="J8" i="229"/>
  <c r="I8" i="229"/>
  <c r="J7" i="229"/>
  <c r="I7" i="229"/>
  <c r="J6" i="229"/>
  <c r="I6" i="229"/>
  <c r="J5" i="229"/>
  <c r="I5" i="229"/>
  <c r="J17" i="228"/>
  <c r="I17" i="228"/>
  <c r="J16" i="228"/>
  <c r="I16" i="228"/>
  <c r="J15" i="228"/>
  <c r="I15" i="228"/>
  <c r="J14" i="228"/>
  <c r="I14" i="228"/>
  <c r="J13" i="228"/>
  <c r="I13" i="228"/>
  <c r="J12" i="228"/>
  <c r="I12" i="228"/>
  <c r="J11" i="228"/>
  <c r="I11" i="228"/>
  <c r="J10" i="228"/>
  <c r="I10" i="228"/>
  <c r="J9" i="228"/>
  <c r="I9" i="228"/>
  <c r="J8" i="228"/>
  <c r="I8" i="228"/>
  <c r="J7" i="228"/>
  <c r="I7" i="228"/>
  <c r="J6" i="228"/>
  <c r="I6" i="228"/>
  <c r="J5" i="228"/>
  <c r="I5" i="228"/>
  <c r="J16" i="227"/>
  <c r="I16" i="227"/>
  <c r="J15" i="227"/>
  <c r="I15" i="227"/>
  <c r="J14" i="227"/>
  <c r="I14" i="227"/>
  <c r="J13" i="227"/>
  <c r="I13" i="227"/>
  <c r="J12" i="227"/>
  <c r="I12" i="227"/>
  <c r="J11" i="227"/>
  <c r="I11" i="227"/>
  <c r="J10" i="227"/>
  <c r="I10" i="227"/>
  <c r="J9" i="227"/>
  <c r="I9" i="227"/>
  <c r="J8" i="227"/>
  <c r="I8" i="227"/>
  <c r="J7" i="227"/>
  <c r="I7" i="227"/>
  <c r="J6" i="227"/>
  <c r="I6" i="227"/>
  <c r="J5" i="227"/>
  <c r="I5" i="227"/>
  <c r="J15" i="226"/>
  <c r="I15" i="226"/>
  <c r="J14" i="226"/>
  <c r="I14" i="226"/>
  <c r="J13" i="226"/>
  <c r="I13" i="226"/>
  <c r="J12" i="226"/>
  <c r="I12" i="226"/>
  <c r="J11" i="226"/>
  <c r="I11" i="226"/>
  <c r="J10" i="226"/>
  <c r="I10" i="226"/>
  <c r="J9" i="226"/>
  <c r="I9" i="226"/>
  <c r="J8" i="226"/>
  <c r="I8" i="226"/>
  <c r="J7" i="226"/>
  <c r="I7" i="226"/>
  <c r="J6" i="226"/>
  <c r="I6" i="226"/>
  <c r="J5" i="226"/>
  <c r="I5" i="226"/>
  <c r="J16" i="224"/>
  <c r="I16" i="224"/>
  <c r="J15" i="224"/>
  <c r="I15" i="224"/>
  <c r="J14" i="224"/>
  <c r="I14" i="224"/>
  <c r="J13" i="224"/>
  <c r="I13" i="224"/>
  <c r="J12" i="224"/>
  <c r="I12" i="224"/>
  <c r="J11" i="224"/>
  <c r="I11" i="224"/>
  <c r="J10" i="224"/>
  <c r="I10" i="224"/>
  <c r="J9" i="224"/>
  <c r="I9" i="224"/>
  <c r="J8" i="224"/>
  <c r="I8" i="224"/>
  <c r="J7" i="224"/>
  <c r="I7" i="224"/>
  <c r="J6" i="224"/>
  <c r="I6" i="224"/>
  <c r="J5" i="224"/>
  <c r="I5" i="224"/>
  <c r="J13" i="223"/>
  <c r="I13" i="223"/>
  <c r="J12" i="223"/>
  <c r="I12" i="223"/>
  <c r="J11" i="223"/>
  <c r="I11" i="223"/>
  <c r="J10" i="223"/>
  <c r="I10" i="223"/>
  <c r="J9" i="223"/>
  <c r="I9" i="223"/>
  <c r="J8" i="223"/>
  <c r="I8" i="223"/>
  <c r="J7" i="223"/>
  <c r="I7" i="223"/>
  <c r="J6" i="223"/>
  <c r="I6" i="223"/>
  <c r="J5" i="223"/>
  <c r="I5" i="223"/>
  <c r="J18" i="222"/>
  <c r="I18" i="222"/>
  <c r="J17" i="222"/>
  <c r="I17" i="222"/>
  <c r="J16" i="222"/>
  <c r="I16" i="222"/>
  <c r="J15" i="222"/>
  <c r="I15" i="222"/>
  <c r="J14" i="222"/>
  <c r="I14" i="222"/>
  <c r="J13" i="222"/>
  <c r="I13" i="222"/>
  <c r="J12" i="222"/>
  <c r="I12" i="222"/>
  <c r="J11" i="222"/>
  <c r="I11" i="222"/>
  <c r="J10" i="222"/>
  <c r="I10" i="222"/>
  <c r="J9" i="222"/>
  <c r="I9" i="222"/>
  <c r="J8" i="222"/>
  <c r="I8" i="222"/>
  <c r="J7" i="222"/>
  <c r="I7" i="222"/>
  <c r="J6" i="222"/>
  <c r="I6" i="222"/>
  <c r="J5" i="222"/>
  <c r="I5" i="222"/>
  <c r="J15" i="221"/>
  <c r="I15" i="221"/>
  <c r="J14" i="221"/>
  <c r="I14" i="221"/>
  <c r="J13" i="221"/>
  <c r="I13" i="221"/>
  <c r="J12" i="221"/>
  <c r="I12" i="221"/>
  <c r="J11" i="221"/>
  <c r="I11" i="221"/>
  <c r="J10" i="221"/>
  <c r="I10" i="221"/>
  <c r="J9" i="221"/>
  <c r="I9" i="221"/>
  <c r="J8" i="221"/>
  <c r="I8" i="221"/>
  <c r="J7" i="221"/>
  <c r="I7" i="221"/>
  <c r="J6" i="221"/>
  <c r="I6" i="221"/>
  <c r="J5" i="221"/>
  <c r="I5" i="221"/>
  <c r="J13" i="220"/>
  <c r="I13" i="220"/>
  <c r="J12" i="220"/>
  <c r="I12" i="220"/>
  <c r="J11" i="220"/>
  <c r="I11" i="220"/>
  <c r="J10" i="220"/>
  <c r="I10" i="220"/>
  <c r="J9" i="220"/>
  <c r="I9" i="220"/>
  <c r="J8" i="220"/>
  <c r="I8" i="220"/>
  <c r="J7" i="220"/>
  <c r="I7" i="220"/>
  <c r="J6" i="220"/>
  <c r="I6" i="220"/>
  <c r="J5" i="220"/>
  <c r="I5" i="220"/>
  <c r="J14" i="219"/>
  <c r="I14" i="219"/>
  <c r="J13" i="219"/>
  <c r="I13" i="219"/>
  <c r="J12" i="219"/>
  <c r="I12" i="219"/>
  <c r="J11" i="219"/>
  <c r="I11" i="219"/>
  <c r="J10" i="219"/>
  <c r="I10" i="219"/>
  <c r="J9" i="219"/>
  <c r="I9" i="219"/>
  <c r="J8" i="219"/>
  <c r="I8" i="219"/>
  <c r="J7" i="219"/>
  <c r="I7" i="219"/>
  <c r="J6" i="219"/>
  <c r="I6" i="219"/>
  <c r="J5" i="219"/>
  <c r="I5" i="219"/>
  <c r="J13" i="218"/>
  <c r="I13" i="218"/>
  <c r="J12" i="218"/>
  <c r="I12" i="218"/>
  <c r="J11" i="218"/>
  <c r="I11" i="218"/>
  <c r="J10" i="218"/>
  <c r="I10" i="218"/>
  <c r="J9" i="218"/>
  <c r="I9" i="218"/>
  <c r="J8" i="218"/>
  <c r="I8" i="218"/>
  <c r="J7" i="218"/>
  <c r="I7" i="218"/>
  <c r="J6" i="218"/>
  <c r="I6" i="218"/>
  <c r="J5" i="218"/>
  <c r="I5" i="218"/>
  <c r="J13" i="217"/>
  <c r="I13" i="217"/>
  <c r="J12" i="217"/>
  <c r="I12" i="217"/>
  <c r="J11" i="217"/>
  <c r="I11" i="217"/>
  <c r="J10" i="217"/>
  <c r="I10" i="217"/>
  <c r="J9" i="217"/>
  <c r="I9" i="217"/>
  <c r="J8" i="217"/>
  <c r="I8" i="217"/>
  <c r="J7" i="217"/>
  <c r="I7" i="217"/>
  <c r="J6" i="217"/>
  <c r="I6" i="217"/>
  <c r="J5" i="217"/>
  <c r="I5" i="217"/>
  <c r="I11" i="216"/>
  <c r="H11" i="216"/>
  <c r="I10" i="216"/>
  <c r="H10" i="216"/>
  <c r="I9" i="216"/>
  <c r="H9" i="216"/>
  <c r="I8" i="216"/>
  <c r="H8" i="216"/>
  <c r="I7" i="216"/>
  <c r="H7" i="216"/>
  <c r="I6" i="216"/>
  <c r="H6" i="216"/>
  <c r="I5" i="216"/>
  <c r="H5" i="216"/>
  <c r="I12" i="215"/>
  <c r="H12" i="215"/>
  <c r="I11" i="215"/>
  <c r="H11" i="215"/>
  <c r="I10" i="215"/>
  <c r="H10" i="215"/>
  <c r="I9" i="215"/>
  <c r="H9" i="215"/>
  <c r="I8" i="215"/>
  <c r="H8" i="215"/>
  <c r="I7" i="215"/>
  <c r="H7" i="215"/>
  <c r="I6" i="215"/>
  <c r="H6" i="215"/>
  <c r="I5" i="215"/>
  <c r="H5" i="215"/>
  <c r="I12" i="214"/>
  <c r="H12" i="214"/>
  <c r="I11" i="214"/>
  <c r="H11" i="214"/>
  <c r="I10" i="214"/>
  <c r="H10" i="214"/>
  <c r="I9" i="214"/>
  <c r="H9" i="214"/>
  <c r="I8" i="214"/>
  <c r="H8" i="214"/>
  <c r="I7" i="214"/>
  <c r="H7" i="214"/>
  <c r="I6" i="214"/>
  <c r="H6" i="214"/>
  <c r="I5" i="214"/>
  <c r="H5" i="214"/>
  <c r="C36" i="180"/>
  <c r="E36" i="180"/>
  <c r="I14" i="213"/>
  <c r="H14" i="213"/>
  <c r="I13" i="213"/>
  <c r="H13" i="213"/>
  <c r="I12" i="213"/>
  <c r="H12" i="213"/>
  <c r="I11" i="213"/>
  <c r="H11" i="213"/>
  <c r="I10" i="213"/>
  <c r="H10" i="213"/>
  <c r="I9" i="213"/>
  <c r="H9" i="213"/>
  <c r="I8" i="213"/>
  <c r="H8" i="213"/>
  <c r="I7" i="213"/>
  <c r="H7" i="213"/>
  <c r="I6" i="213"/>
  <c r="H6" i="213"/>
  <c r="I5" i="213"/>
  <c r="H5" i="213"/>
  <c r="H15" i="213" s="1"/>
  <c r="J18" i="212"/>
  <c r="I18" i="212"/>
  <c r="J17" i="212"/>
  <c r="I17" i="212"/>
  <c r="J16" i="212"/>
  <c r="I16" i="212"/>
  <c r="J15" i="212"/>
  <c r="I15" i="212"/>
  <c r="J14" i="212"/>
  <c r="I14" i="212"/>
  <c r="J13" i="212"/>
  <c r="I13" i="212"/>
  <c r="J12" i="212"/>
  <c r="I12" i="212"/>
  <c r="J11" i="212"/>
  <c r="I11" i="212"/>
  <c r="J10" i="212"/>
  <c r="I10" i="212"/>
  <c r="J9" i="212"/>
  <c r="I9" i="212"/>
  <c r="J8" i="212"/>
  <c r="I8" i="212"/>
  <c r="J7" i="212"/>
  <c r="I7" i="212"/>
  <c r="J6" i="212"/>
  <c r="I6" i="212"/>
  <c r="J5" i="212"/>
  <c r="I5" i="212"/>
  <c r="J17" i="211"/>
  <c r="I17" i="211"/>
  <c r="J16" i="211"/>
  <c r="I16" i="211"/>
  <c r="J15" i="211"/>
  <c r="I15" i="211"/>
  <c r="J14" i="211"/>
  <c r="I14" i="211"/>
  <c r="J13" i="211"/>
  <c r="I13" i="211"/>
  <c r="J12" i="211"/>
  <c r="I12" i="211"/>
  <c r="J11" i="211"/>
  <c r="I11" i="211"/>
  <c r="J10" i="211"/>
  <c r="I10" i="211"/>
  <c r="J9" i="211"/>
  <c r="I9" i="211"/>
  <c r="J8" i="211"/>
  <c r="I8" i="211"/>
  <c r="J7" i="211"/>
  <c r="I7" i="211"/>
  <c r="J6" i="211"/>
  <c r="I6" i="211"/>
  <c r="J5" i="211"/>
  <c r="I5" i="211"/>
  <c r="J16" i="210"/>
  <c r="I16" i="210"/>
  <c r="J15" i="210"/>
  <c r="I15" i="210"/>
  <c r="J14" i="210"/>
  <c r="I14" i="210"/>
  <c r="J13" i="210"/>
  <c r="I13" i="210"/>
  <c r="J12" i="210"/>
  <c r="I12" i="210"/>
  <c r="J11" i="210"/>
  <c r="I11" i="210"/>
  <c r="J10" i="210"/>
  <c r="I10" i="210"/>
  <c r="J9" i="210"/>
  <c r="I9" i="210"/>
  <c r="J8" i="210"/>
  <c r="I8" i="210"/>
  <c r="J7" i="210"/>
  <c r="I7" i="210"/>
  <c r="J6" i="210"/>
  <c r="I6" i="210"/>
  <c r="J5" i="210"/>
  <c r="I5" i="210"/>
  <c r="J15" i="209"/>
  <c r="I15" i="209"/>
  <c r="J14" i="209"/>
  <c r="I14" i="209"/>
  <c r="J13" i="209"/>
  <c r="I13" i="209"/>
  <c r="J12" i="209"/>
  <c r="I12" i="209"/>
  <c r="J11" i="209"/>
  <c r="I11" i="209"/>
  <c r="J10" i="209"/>
  <c r="I10" i="209"/>
  <c r="J9" i="209"/>
  <c r="I9" i="209"/>
  <c r="J8" i="209"/>
  <c r="I8" i="209"/>
  <c r="J7" i="209"/>
  <c r="I7" i="209"/>
  <c r="J6" i="209"/>
  <c r="I6" i="209"/>
  <c r="J5" i="209"/>
  <c r="I5" i="209"/>
  <c r="J16" i="208"/>
  <c r="I16" i="208"/>
  <c r="J15" i="208"/>
  <c r="I15" i="208"/>
  <c r="J14" i="208"/>
  <c r="I14" i="208"/>
  <c r="J13" i="208"/>
  <c r="I13" i="208"/>
  <c r="J12" i="208"/>
  <c r="I12" i="208"/>
  <c r="J11" i="208"/>
  <c r="I11" i="208"/>
  <c r="J10" i="208"/>
  <c r="I10" i="208"/>
  <c r="J9" i="208"/>
  <c r="I9" i="208"/>
  <c r="J8" i="208"/>
  <c r="I8" i="208"/>
  <c r="J7" i="208"/>
  <c r="I7" i="208"/>
  <c r="J6" i="208"/>
  <c r="I6" i="208"/>
  <c r="J5" i="208"/>
  <c r="I5" i="208"/>
  <c r="J13" i="207"/>
  <c r="I13" i="207"/>
  <c r="J12" i="207"/>
  <c r="I12" i="207"/>
  <c r="J11" i="207"/>
  <c r="I11" i="207"/>
  <c r="J10" i="207"/>
  <c r="I10" i="207"/>
  <c r="J9" i="207"/>
  <c r="I9" i="207"/>
  <c r="J8" i="207"/>
  <c r="I8" i="207"/>
  <c r="J7" i="207"/>
  <c r="I7" i="207"/>
  <c r="J6" i="207"/>
  <c r="I6" i="207"/>
  <c r="J5" i="207"/>
  <c r="I5" i="207"/>
  <c r="J18" i="206"/>
  <c r="I18" i="206"/>
  <c r="J17" i="206"/>
  <c r="I17" i="206"/>
  <c r="J16" i="206"/>
  <c r="I16" i="206"/>
  <c r="J15" i="206"/>
  <c r="I15" i="206"/>
  <c r="J14" i="206"/>
  <c r="I14" i="206"/>
  <c r="J13" i="206"/>
  <c r="I13" i="206"/>
  <c r="J12" i="206"/>
  <c r="I12" i="206"/>
  <c r="J11" i="206"/>
  <c r="I11" i="206"/>
  <c r="J10" i="206"/>
  <c r="I10" i="206"/>
  <c r="J9" i="206"/>
  <c r="I9" i="206"/>
  <c r="J8" i="206"/>
  <c r="I8" i="206"/>
  <c r="J7" i="206"/>
  <c r="I7" i="206"/>
  <c r="J6" i="206"/>
  <c r="I6" i="206"/>
  <c r="J5" i="206"/>
  <c r="I5" i="206"/>
  <c r="J15" i="205"/>
  <c r="I15" i="205"/>
  <c r="J14" i="205"/>
  <c r="I14" i="205"/>
  <c r="J13" i="205"/>
  <c r="I13" i="205"/>
  <c r="J12" i="205"/>
  <c r="I12" i="205"/>
  <c r="J11" i="205"/>
  <c r="I11" i="205"/>
  <c r="J10" i="205"/>
  <c r="I10" i="205"/>
  <c r="J9" i="205"/>
  <c r="I9" i="205"/>
  <c r="J8" i="205"/>
  <c r="I8" i="205"/>
  <c r="J7" i="205"/>
  <c r="I7" i="205"/>
  <c r="J6" i="205"/>
  <c r="I6" i="205"/>
  <c r="J5" i="205"/>
  <c r="I5" i="205"/>
  <c r="J14" i="204"/>
  <c r="I14" i="204"/>
  <c r="J13" i="204"/>
  <c r="I13" i="204"/>
  <c r="J12" i="204"/>
  <c r="I12" i="204"/>
  <c r="J11" i="204"/>
  <c r="I11" i="204"/>
  <c r="J10" i="204"/>
  <c r="I10" i="204"/>
  <c r="J9" i="204"/>
  <c r="I9" i="204"/>
  <c r="J8" i="204"/>
  <c r="I8" i="204"/>
  <c r="J7" i="204"/>
  <c r="I7" i="204"/>
  <c r="J6" i="204"/>
  <c r="I6" i="204"/>
  <c r="J5" i="204"/>
  <c r="I5" i="204"/>
  <c r="J13" i="203"/>
  <c r="I13" i="203"/>
  <c r="J12" i="203"/>
  <c r="I12" i="203"/>
  <c r="J11" i="203"/>
  <c r="I11" i="203"/>
  <c r="J10" i="203"/>
  <c r="I10" i="203"/>
  <c r="J9" i="203"/>
  <c r="I9" i="203"/>
  <c r="J8" i="203"/>
  <c r="I8" i="203"/>
  <c r="J7" i="203"/>
  <c r="I7" i="203"/>
  <c r="J6" i="203"/>
  <c r="I6" i="203"/>
  <c r="J5" i="203"/>
  <c r="I5" i="203"/>
  <c r="I14" i="203" s="1"/>
  <c r="I11" i="202"/>
  <c r="H11" i="202"/>
  <c r="I10" i="202"/>
  <c r="H10" i="202"/>
  <c r="I9" i="202"/>
  <c r="H9" i="202"/>
  <c r="I8" i="202"/>
  <c r="H8" i="202"/>
  <c r="I7" i="202"/>
  <c r="H7" i="202"/>
  <c r="I6" i="202"/>
  <c r="H6" i="202"/>
  <c r="I5" i="202"/>
  <c r="H5" i="202"/>
  <c r="H12" i="202" s="1"/>
  <c r="I12" i="201"/>
  <c r="H12" i="201"/>
  <c r="I11" i="201"/>
  <c r="H11" i="201"/>
  <c r="I10" i="201"/>
  <c r="H10" i="201"/>
  <c r="I9" i="201"/>
  <c r="H9" i="201"/>
  <c r="I8" i="201"/>
  <c r="H8" i="201"/>
  <c r="I7" i="201"/>
  <c r="H7" i="201"/>
  <c r="I6" i="201"/>
  <c r="H6" i="201"/>
  <c r="I5" i="201"/>
  <c r="H5" i="201"/>
  <c r="H13" i="201" s="1"/>
  <c r="I12" i="200"/>
  <c r="H12" i="200"/>
  <c r="I11" i="200"/>
  <c r="H11" i="200"/>
  <c r="I10" i="200"/>
  <c r="H10" i="200"/>
  <c r="I9" i="200"/>
  <c r="H9" i="200"/>
  <c r="I8" i="200"/>
  <c r="H8" i="200"/>
  <c r="I7" i="200"/>
  <c r="H7" i="200"/>
  <c r="I6" i="200"/>
  <c r="H6" i="200"/>
  <c r="I5" i="200"/>
  <c r="H5" i="200"/>
  <c r="H13" i="200" s="1"/>
  <c r="C28" i="180"/>
  <c r="E28" i="180"/>
  <c r="I6" i="185"/>
  <c r="J6" i="185"/>
  <c r="I7" i="185"/>
  <c r="J7" i="185"/>
  <c r="I8" i="185"/>
  <c r="J8" i="185"/>
  <c r="I9" i="185"/>
  <c r="J9" i="185"/>
  <c r="I10" i="185"/>
  <c r="J10" i="185"/>
  <c r="I11" i="185"/>
  <c r="J11" i="185"/>
  <c r="I12" i="185"/>
  <c r="J12" i="185"/>
  <c r="I13" i="185"/>
  <c r="J13" i="185"/>
  <c r="I14" i="185"/>
  <c r="J14" i="185"/>
  <c r="J5" i="185"/>
  <c r="I5" i="185"/>
  <c r="I6" i="193"/>
  <c r="J6" i="193"/>
  <c r="I7" i="193"/>
  <c r="J7" i="193"/>
  <c r="I8" i="193"/>
  <c r="J8" i="193"/>
  <c r="I9" i="193"/>
  <c r="J9" i="193"/>
  <c r="I10" i="193"/>
  <c r="J10" i="193"/>
  <c r="I11" i="193"/>
  <c r="J11" i="193"/>
  <c r="I12" i="193"/>
  <c r="J12" i="193"/>
  <c r="I13" i="193"/>
  <c r="J13" i="193"/>
  <c r="I14" i="193"/>
  <c r="J14" i="193"/>
  <c r="I15" i="193"/>
  <c r="J15" i="193"/>
  <c r="I16" i="193"/>
  <c r="J16" i="193"/>
  <c r="I17" i="193"/>
  <c r="J17" i="193"/>
  <c r="J5" i="193"/>
  <c r="I5" i="193"/>
  <c r="I6" i="188"/>
  <c r="J6" i="188"/>
  <c r="I7" i="188"/>
  <c r="J7" i="188"/>
  <c r="I8" i="188"/>
  <c r="J8" i="188"/>
  <c r="I9" i="188"/>
  <c r="J9" i="188"/>
  <c r="I10" i="188"/>
  <c r="J10" i="188"/>
  <c r="I11" i="188"/>
  <c r="J11" i="188"/>
  <c r="I12" i="188"/>
  <c r="J12" i="188"/>
  <c r="I13" i="188"/>
  <c r="J13" i="188"/>
  <c r="J5" i="188"/>
  <c r="I5" i="188"/>
  <c r="I6" i="186"/>
  <c r="I7" i="186"/>
  <c r="I8" i="186"/>
  <c r="I9" i="186"/>
  <c r="I10" i="186"/>
  <c r="I11" i="186"/>
  <c r="I12" i="186"/>
  <c r="I13" i="186"/>
  <c r="J6" i="186"/>
  <c r="J7" i="186"/>
  <c r="J8" i="186"/>
  <c r="J9" i="186"/>
  <c r="J10" i="186"/>
  <c r="J11" i="186"/>
  <c r="J12" i="186"/>
  <c r="J13" i="186"/>
  <c r="J5" i="186"/>
  <c r="I5" i="186"/>
  <c r="H5" i="199"/>
  <c r="H6" i="199"/>
  <c r="H7" i="199"/>
  <c r="H8" i="199"/>
  <c r="H9" i="199"/>
  <c r="H10" i="199"/>
  <c r="H11" i="199"/>
  <c r="H12" i="199"/>
  <c r="H13" i="199"/>
  <c r="H14" i="199"/>
  <c r="H5" i="170"/>
  <c r="H6" i="170"/>
  <c r="H7" i="170"/>
  <c r="H8" i="170"/>
  <c r="H9" i="170"/>
  <c r="H10" i="170"/>
  <c r="H11" i="170"/>
  <c r="H12" i="170"/>
  <c r="H13" i="170"/>
  <c r="H14" i="170"/>
  <c r="H15" i="170"/>
  <c r="H16" i="170"/>
  <c r="H17" i="170"/>
  <c r="H18" i="170"/>
  <c r="I6" i="197"/>
  <c r="J6" i="197"/>
  <c r="I7" i="197"/>
  <c r="J7" i="197"/>
  <c r="I8" i="197"/>
  <c r="J8" i="197"/>
  <c r="I9" i="197"/>
  <c r="J9" i="197"/>
  <c r="I10" i="197"/>
  <c r="J10" i="197"/>
  <c r="I11" i="197"/>
  <c r="J11" i="197"/>
  <c r="I12" i="197"/>
  <c r="J12" i="197"/>
  <c r="I13" i="197"/>
  <c r="J13" i="197"/>
  <c r="I14" i="197"/>
  <c r="J14" i="197"/>
  <c r="I15" i="197"/>
  <c r="J15" i="197"/>
  <c r="I16" i="197"/>
  <c r="J16" i="197"/>
  <c r="I17" i="197"/>
  <c r="J17" i="197"/>
  <c r="I18" i="197"/>
  <c r="J18" i="197"/>
  <c r="J5" i="197"/>
  <c r="I5" i="197"/>
  <c r="I6" i="196"/>
  <c r="J6" i="196"/>
  <c r="I7" i="196"/>
  <c r="J7" i="196"/>
  <c r="I8" i="196"/>
  <c r="J8" i="196"/>
  <c r="I9" i="196"/>
  <c r="J9" i="196"/>
  <c r="I10" i="196"/>
  <c r="J10" i="196"/>
  <c r="I11" i="196"/>
  <c r="J11" i="196"/>
  <c r="I12" i="196"/>
  <c r="J12" i="196"/>
  <c r="I13" i="196"/>
  <c r="J13" i="196"/>
  <c r="I14" i="196"/>
  <c r="J14" i="196"/>
  <c r="I15" i="196"/>
  <c r="J15" i="196"/>
  <c r="I16" i="196"/>
  <c r="J16" i="196"/>
  <c r="I17" i="196"/>
  <c r="J17" i="196"/>
  <c r="J5" i="196"/>
  <c r="I5" i="196"/>
  <c r="I18" i="196" s="1"/>
  <c r="I6" i="195"/>
  <c r="J6" i="195"/>
  <c r="I7" i="195"/>
  <c r="J7" i="195"/>
  <c r="I8" i="195"/>
  <c r="J8" i="195"/>
  <c r="I9" i="195"/>
  <c r="J9" i="195"/>
  <c r="I10" i="195"/>
  <c r="J10" i="195"/>
  <c r="I11" i="195"/>
  <c r="J11" i="195"/>
  <c r="I12" i="195"/>
  <c r="J12" i="195"/>
  <c r="I13" i="195"/>
  <c r="J13" i="195"/>
  <c r="I14" i="195"/>
  <c r="J14" i="195"/>
  <c r="I15" i="195"/>
  <c r="J15" i="195"/>
  <c r="I16" i="195"/>
  <c r="J16" i="195"/>
  <c r="J5" i="195"/>
  <c r="I5" i="195"/>
  <c r="I17" i="195" s="1"/>
  <c r="I6" i="194"/>
  <c r="J6" i="194"/>
  <c r="I7" i="194"/>
  <c r="J7" i="194"/>
  <c r="I8" i="194"/>
  <c r="J8" i="194"/>
  <c r="I9" i="194"/>
  <c r="J9" i="194"/>
  <c r="I10" i="194"/>
  <c r="J10" i="194"/>
  <c r="I11" i="194"/>
  <c r="J11" i="194"/>
  <c r="I12" i="194"/>
  <c r="J12" i="194"/>
  <c r="I13" i="194"/>
  <c r="J13" i="194"/>
  <c r="I14" i="194"/>
  <c r="J14" i="194"/>
  <c r="I15" i="194"/>
  <c r="J15" i="194"/>
  <c r="J5" i="194"/>
  <c r="I5" i="194"/>
  <c r="I6" i="192"/>
  <c r="J6" i="192"/>
  <c r="I7" i="192"/>
  <c r="J7" i="192"/>
  <c r="I8" i="192"/>
  <c r="J8" i="192"/>
  <c r="I9" i="192"/>
  <c r="J9" i="192"/>
  <c r="I10" i="192"/>
  <c r="J10" i="192"/>
  <c r="I11" i="192"/>
  <c r="J11" i="192"/>
  <c r="I12" i="192"/>
  <c r="J12" i="192"/>
  <c r="I13" i="192"/>
  <c r="J13" i="192"/>
  <c r="I14" i="192"/>
  <c r="J14" i="192"/>
  <c r="I15" i="192"/>
  <c r="J15" i="192"/>
  <c r="I16" i="192"/>
  <c r="J16" i="192"/>
  <c r="J5" i="192"/>
  <c r="I5" i="192"/>
  <c r="I6" i="191"/>
  <c r="J6" i="191"/>
  <c r="I7" i="191"/>
  <c r="J7" i="191"/>
  <c r="I8" i="191"/>
  <c r="J8" i="191"/>
  <c r="I9" i="191"/>
  <c r="J9" i="191"/>
  <c r="I10" i="191"/>
  <c r="J10" i="191"/>
  <c r="I11" i="191"/>
  <c r="J11" i="191"/>
  <c r="I12" i="191"/>
  <c r="J12" i="191"/>
  <c r="I13" i="191"/>
  <c r="J13" i="191"/>
  <c r="J5" i="191"/>
  <c r="I5" i="191"/>
  <c r="J6" i="189"/>
  <c r="J7" i="189"/>
  <c r="J8" i="189"/>
  <c r="J9" i="189"/>
  <c r="J10" i="189"/>
  <c r="J11" i="189"/>
  <c r="J12" i="189"/>
  <c r="J13" i="189"/>
  <c r="J14" i="189"/>
  <c r="J15" i="189"/>
  <c r="J5" i="189"/>
  <c r="I6" i="190"/>
  <c r="J6" i="190"/>
  <c r="I7" i="190"/>
  <c r="J7" i="190"/>
  <c r="I8" i="190"/>
  <c r="J8" i="190"/>
  <c r="I9" i="190"/>
  <c r="J9" i="190"/>
  <c r="I10" i="190"/>
  <c r="J10" i="190"/>
  <c r="I11" i="190"/>
  <c r="J11" i="190"/>
  <c r="I12" i="190"/>
  <c r="J12" i="190"/>
  <c r="I13" i="190"/>
  <c r="J13" i="190"/>
  <c r="I14" i="190"/>
  <c r="J14" i="190"/>
  <c r="I15" i="190"/>
  <c r="J15" i="190"/>
  <c r="I16" i="190"/>
  <c r="J16" i="190"/>
  <c r="I17" i="190"/>
  <c r="J17" i="190"/>
  <c r="I18" i="190"/>
  <c r="J18" i="190"/>
  <c r="J5" i="190"/>
  <c r="I5" i="190"/>
  <c r="I6" i="189"/>
  <c r="I7" i="189"/>
  <c r="I8" i="189"/>
  <c r="I9" i="189"/>
  <c r="I10" i="189"/>
  <c r="I11" i="189"/>
  <c r="I12" i="189"/>
  <c r="I13" i="189"/>
  <c r="I14" i="189"/>
  <c r="I15" i="189"/>
  <c r="I5" i="189"/>
  <c r="I6" i="187"/>
  <c r="I7" i="187"/>
  <c r="I8" i="187"/>
  <c r="I9" i="187"/>
  <c r="I10" i="187"/>
  <c r="I11" i="187"/>
  <c r="I12" i="187"/>
  <c r="I13" i="187"/>
  <c r="I14" i="187"/>
  <c r="I5" i="187"/>
  <c r="J6" i="187"/>
  <c r="J7" i="187"/>
  <c r="J8" i="187"/>
  <c r="J9" i="187"/>
  <c r="J10" i="187"/>
  <c r="J11" i="187"/>
  <c r="J12" i="187"/>
  <c r="J13" i="187"/>
  <c r="J14" i="187"/>
  <c r="J5" i="187"/>
  <c r="C3" i="180"/>
  <c r="C4" i="180"/>
  <c r="C5" i="180"/>
  <c r="C6" i="180"/>
  <c r="C7" i="180"/>
  <c r="C8" i="180"/>
  <c r="C9" i="180"/>
  <c r="C10" i="180"/>
  <c r="C11" i="180"/>
  <c r="C12" i="180"/>
  <c r="C13" i="180"/>
  <c r="C14" i="180"/>
  <c r="C15" i="180"/>
  <c r="C16" i="180"/>
  <c r="I14" i="199"/>
  <c r="I13" i="199"/>
  <c r="I12" i="199"/>
  <c r="I11" i="199"/>
  <c r="I10" i="199"/>
  <c r="I9" i="199"/>
  <c r="I8" i="199"/>
  <c r="I7" i="199"/>
  <c r="I6" i="199"/>
  <c r="I5" i="199"/>
  <c r="I12" i="184"/>
  <c r="H12" i="184"/>
  <c r="I11" i="184"/>
  <c r="H11" i="184"/>
  <c r="I10" i="184"/>
  <c r="H10" i="184"/>
  <c r="I9" i="184"/>
  <c r="H9" i="184"/>
  <c r="I8" i="184"/>
  <c r="H8" i="184"/>
  <c r="I7" i="184"/>
  <c r="H7" i="184"/>
  <c r="I6" i="184"/>
  <c r="H6" i="184"/>
  <c r="I5" i="184"/>
  <c r="H5" i="184"/>
  <c r="H13" i="184" s="1"/>
  <c r="J13" i="183"/>
  <c r="I13" i="183"/>
  <c r="J12" i="183"/>
  <c r="I12" i="183"/>
  <c r="J11" i="183"/>
  <c r="I11" i="183"/>
  <c r="J10" i="183"/>
  <c r="I10" i="183"/>
  <c r="J9" i="183"/>
  <c r="I9" i="183"/>
  <c r="J8" i="183"/>
  <c r="I8" i="183"/>
  <c r="J7" i="183"/>
  <c r="I7" i="183"/>
  <c r="J6" i="183"/>
  <c r="I6" i="183"/>
  <c r="J5" i="183"/>
  <c r="I5" i="183"/>
  <c r="I14" i="183" s="1"/>
  <c r="I11" i="182"/>
  <c r="H11" i="182"/>
  <c r="I10" i="182"/>
  <c r="H10" i="182"/>
  <c r="I9" i="182"/>
  <c r="H9" i="182"/>
  <c r="I8" i="182"/>
  <c r="H8" i="182"/>
  <c r="I7" i="182"/>
  <c r="H7" i="182"/>
  <c r="I6" i="182"/>
  <c r="H6" i="182"/>
  <c r="I5" i="182"/>
  <c r="H5" i="182"/>
  <c r="H12" i="182" s="1"/>
  <c r="I12" i="181"/>
  <c r="H12" i="181"/>
  <c r="I11" i="181"/>
  <c r="H11" i="181"/>
  <c r="I10" i="181"/>
  <c r="H10" i="181"/>
  <c r="I9" i="181"/>
  <c r="H9" i="181"/>
  <c r="I8" i="181"/>
  <c r="H8" i="181"/>
  <c r="I7" i="181"/>
  <c r="H7" i="181"/>
  <c r="I6" i="181"/>
  <c r="H6" i="181"/>
  <c r="I5" i="181"/>
  <c r="H5" i="181"/>
  <c r="H13" i="181" s="1"/>
  <c r="S4" i="180"/>
  <c r="S5" i="180"/>
  <c r="S6" i="180"/>
  <c r="S7" i="180"/>
  <c r="S8" i="180"/>
  <c r="S9" i="180"/>
  <c r="S10" i="180"/>
  <c r="S11" i="180"/>
  <c r="S12" i="180"/>
  <c r="S13" i="180"/>
  <c r="S14" i="180"/>
  <c r="S15" i="180"/>
  <c r="S16" i="180"/>
  <c r="S17" i="180"/>
  <c r="S18" i="180"/>
  <c r="S19" i="180"/>
  <c r="S20" i="180"/>
  <c r="S21" i="180"/>
  <c r="S22" i="180"/>
  <c r="S23" i="180"/>
  <c r="S24" i="180"/>
  <c r="S25" i="180"/>
  <c r="S26" i="180"/>
  <c r="S27" i="180"/>
  <c r="S29" i="180"/>
  <c r="S30" i="180"/>
  <c r="S31" i="180"/>
  <c r="S32" i="180"/>
  <c r="S33" i="180"/>
  <c r="S34" i="180"/>
  <c r="S35" i="180"/>
  <c r="S37" i="180"/>
  <c r="S38" i="180"/>
  <c r="S39" i="180"/>
  <c r="S40" i="180"/>
  <c r="S41" i="180"/>
  <c r="S42" i="180"/>
  <c r="S43" i="180"/>
  <c r="S44" i="180"/>
  <c r="S45" i="180"/>
  <c r="S46" i="180"/>
  <c r="S47" i="180"/>
  <c r="S49" i="180"/>
  <c r="S50" i="180"/>
  <c r="S51" i="180"/>
  <c r="S52" i="180"/>
  <c r="S53" i="180"/>
  <c r="S54" i="180"/>
  <c r="S55" i="180"/>
  <c r="S56" i="180"/>
  <c r="S57" i="180"/>
  <c r="S58" i="180"/>
  <c r="S59" i="180"/>
  <c r="S60" i="180"/>
  <c r="S61" i="180"/>
  <c r="S62" i="180"/>
  <c r="S64" i="180"/>
  <c r="S65" i="180"/>
  <c r="S67" i="180"/>
  <c r="S68" i="180"/>
  <c r="S69" i="180"/>
  <c r="S70" i="180"/>
  <c r="S71" i="180"/>
  <c r="S72" i="180"/>
  <c r="S73" i="180"/>
  <c r="S74" i="180"/>
  <c r="S75" i="180"/>
  <c r="S76" i="180"/>
  <c r="S77" i="180"/>
  <c r="S78" i="180"/>
  <c r="S79" i="180"/>
  <c r="S80" i="180"/>
  <c r="S81" i="180"/>
  <c r="S82" i="180"/>
  <c r="S83" i="180"/>
  <c r="S84" i="180"/>
  <c r="S85" i="180"/>
  <c r="S3" i="180"/>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3" i="1"/>
  <c r="C17" i="180"/>
  <c r="C18" i="180"/>
  <c r="C19" i="180"/>
  <c r="C20" i="180"/>
  <c r="C21" i="180"/>
  <c r="C22" i="180"/>
  <c r="C23" i="180"/>
  <c r="C24" i="180"/>
  <c r="C25" i="180"/>
  <c r="C26" i="180"/>
  <c r="C27" i="180"/>
  <c r="C29" i="180"/>
  <c r="C30" i="180"/>
  <c r="C31" i="180"/>
  <c r="C32" i="180"/>
  <c r="C33" i="180"/>
  <c r="C34" i="180"/>
  <c r="C35" i="180"/>
  <c r="C37" i="180"/>
  <c r="C38" i="180"/>
  <c r="C39" i="180"/>
  <c r="C40" i="180"/>
  <c r="C41" i="180"/>
  <c r="C42" i="180"/>
  <c r="C43" i="180"/>
  <c r="C44" i="180"/>
  <c r="C45" i="180"/>
  <c r="C46" i="180"/>
  <c r="C47" i="180"/>
  <c r="C49" i="180"/>
  <c r="C50" i="180"/>
  <c r="C51" i="180"/>
  <c r="C52" i="180"/>
  <c r="C53" i="180"/>
  <c r="C54" i="180"/>
  <c r="C55" i="180"/>
  <c r="C56" i="180"/>
  <c r="C57" i="180"/>
  <c r="C58" i="180"/>
  <c r="C59" i="180"/>
  <c r="C60" i="180"/>
  <c r="C61" i="180"/>
  <c r="C62" i="180"/>
  <c r="C64" i="180"/>
  <c r="C65" i="180"/>
  <c r="C67" i="180"/>
  <c r="C68" i="180"/>
  <c r="C69" i="180"/>
  <c r="C70" i="180"/>
  <c r="C71" i="180"/>
  <c r="C72" i="180"/>
  <c r="C73" i="180"/>
  <c r="C74" i="180"/>
  <c r="C75" i="180"/>
  <c r="C76" i="180"/>
  <c r="C77" i="180"/>
  <c r="C78" i="180"/>
  <c r="C79" i="180"/>
  <c r="C80" i="180"/>
  <c r="C81" i="180"/>
  <c r="C82" i="180"/>
  <c r="C83" i="180"/>
  <c r="C84" i="180"/>
  <c r="C85" i="180"/>
  <c r="N85" i="180"/>
  <c r="J85" i="180"/>
  <c r="E85" i="180"/>
  <c r="N84" i="180"/>
  <c r="J84" i="180"/>
  <c r="E84" i="180"/>
  <c r="N83" i="180"/>
  <c r="J83" i="180"/>
  <c r="E83" i="180"/>
  <c r="N82" i="180"/>
  <c r="J82" i="180"/>
  <c r="E82" i="180"/>
  <c r="N81" i="180"/>
  <c r="J81" i="180"/>
  <c r="E81" i="180"/>
  <c r="N80" i="180"/>
  <c r="J80" i="180"/>
  <c r="E80" i="180"/>
  <c r="N79" i="180"/>
  <c r="J79" i="180"/>
  <c r="E79" i="180"/>
  <c r="N78" i="180"/>
  <c r="J78" i="180"/>
  <c r="E78" i="180"/>
  <c r="N77" i="180"/>
  <c r="J77" i="180"/>
  <c r="E77" i="180"/>
  <c r="N76" i="180"/>
  <c r="J76" i="180"/>
  <c r="E76" i="180"/>
  <c r="N75" i="180"/>
  <c r="J75" i="180"/>
  <c r="E75" i="180"/>
  <c r="N74" i="180"/>
  <c r="J74" i="180"/>
  <c r="E74" i="180"/>
  <c r="N73" i="180"/>
  <c r="J73" i="180"/>
  <c r="E73" i="180"/>
  <c r="N72" i="180"/>
  <c r="J72" i="180"/>
  <c r="E72" i="180"/>
  <c r="N71" i="180"/>
  <c r="J71" i="180"/>
  <c r="E71" i="180"/>
  <c r="N70" i="180"/>
  <c r="J70" i="180"/>
  <c r="E70" i="180"/>
  <c r="N69" i="180"/>
  <c r="J69" i="180"/>
  <c r="E69" i="180"/>
  <c r="N68" i="180"/>
  <c r="J68" i="180"/>
  <c r="E68" i="180"/>
  <c r="N67" i="180"/>
  <c r="J67" i="180"/>
  <c r="E67" i="180"/>
  <c r="N65" i="180"/>
  <c r="J65" i="180"/>
  <c r="E65" i="180"/>
  <c r="N64" i="180"/>
  <c r="J64" i="180"/>
  <c r="E64" i="180"/>
  <c r="N62" i="180"/>
  <c r="J62" i="180"/>
  <c r="E62" i="180"/>
  <c r="N61" i="180"/>
  <c r="J61" i="180"/>
  <c r="E61" i="180"/>
  <c r="N60" i="180"/>
  <c r="J60" i="180"/>
  <c r="E60" i="180"/>
  <c r="N59" i="180"/>
  <c r="J59" i="180"/>
  <c r="E59" i="180"/>
  <c r="N58" i="180"/>
  <c r="J58" i="180"/>
  <c r="E58" i="180"/>
  <c r="N57" i="180"/>
  <c r="J57" i="180"/>
  <c r="E57" i="180"/>
  <c r="N56" i="180"/>
  <c r="J56" i="180"/>
  <c r="E56" i="180"/>
  <c r="N55" i="180"/>
  <c r="J55" i="180"/>
  <c r="E55" i="180"/>
  <c r="N54" i="180"/>
  <c r="J54" i="180"/>
  <c r="E54" i="180"/>
  <c r="N53" i="180"/>
  <c r="J53" i="180"/>
  <c r="E53" i="180"/>
  <c r="N52" i="180"/>
  <c r="J52" i="180"/>
  <c r="E52" i="180"/>
  <c r="N51" i="180"/>
  <c r="J51" i="180"/>
  <c r="E51" i="180"/>
  <c r="N50" i="180"/>
  <c r="J50" i="180"/>
  <c r="E50" i="180"/>
  <c r="N49" i="180"/>
  <c r="J49" i="180"/>
  <c r="E49" i="180"/>
  <c r="N47" i="180"/>
  <c r="J47" i="180"/>
  <c r="E47" i="180"/>
  <c r="N46" i="180"/>
  <c r="J46" i="180"/>
  <c r="E46" i="180"/>
  <c r="N45" i="180"/>
  <c r="J45" i="180"/>
  <c r="E45" i="180"/>
  <c r="N44" i="180"/>
  <c r="J44" i="180"/>
  <c r="E44" i="180"/>
  <c r="N43" i="180"/>
  <c r="J43" i="180"/>
  <c r="E43" i="180"/>
  <c r="N42" i="180"/>
  <c r="J42" i="180"/>
  <c r="E42" i="180"/>
  <c r="N41" i="180"/>
  <c r="J41" i="180"/>
  <c r="E41" i="180"/>
  <c r="N40" i="180"/>
  <c r="J40" i="180"/>
  <c r="E40" i="180"/>
  <c r="N39" i="180"/>
  <c r="J39" i="180"/>
  <c r="E39" i="180"/>
  <c r="N38" i="180"/>
  <c r="J38" i="180"/>
  <c r="E38" i="180"/>
  <c r="N37" i="180"/>
  <c r="J37" i="180"/>
  <c r="E37" i="180"/>
  <c r="N35" i="180"/>
  <c r="J35" i="180"/>
  <c r="E35" i="180"/>
  <c r="N34" i="180"/>
  <c r="J34" i="180"/>
  <c r="E34" i="180"/>
  <c r="N33" i="180"/>
  <c r="J33" i="180"/>
  <c r="E33" i="180"/>
  <c r="N32" i="180"/>
  <c r="J32" i="180"/>
  <c r="E32" i="180"/>
  <c r="N31" i="180"/>
  <c r="J31" i="180"/>
  <c r="E31" i="180"/>
  <c r="N30" i="180"/>
  <c r="J30" i="180"/>
  <c r="E30" i="180"/>
  <c r="N29" i="180"/>
  <c r="J29" i="180"/>
  <c r="E29" i="180"/>
  <c r="N27" i="180"/>
  <c r="J27" i="180"/>
  <c r="E27" i="180"/>
  <c r="N26" i="180"/>
  <c r="J26" i="180"/>
  <c r="E26" i="180"/>
  <c r="N25" i="180"/>
  <c r="J25" i="180"/>
  <c r="E25" i="180"/>
  <c r="N24" i="180"/>
  <c r="J24" i="180"/>
  <c r="E24" i="180"/>
  <c r="N23" i="180"/>
  <c r="J23" i="180"/>
  <c r="E23" i="180"/>
  <c r="N22" i="180"/>
  <c r="J22" i="180"/>
  <c r="E22" i="180"/>
  <c r="N21" i="180"/>
  <c r="J21" i="180"/>
  <c r="E21" i="180"/>
  <c r="N20" i="180"/>
  <c r="J20" i="180"/>
  <c r="E20" i="180"/>
  <c r="N19" i="180"/>
  <c r="J19" i="180"/>
  <c r="E19" i="180"/>
  <c r="N18" i="180"/>
  <c r="J18" i="180"/>
  <c r="E18" i="180"/>
  <c r="N17" i="180"/>
  <c r="J17" i="180"/>
  <c r="E17" i="180"/>
  <c r="N16" i="180"/>
  <c r="J16" i="180"/>
  <c r="E16" i="180"/>
  <c r="N15" i="180"/>
  <c r="J15" i="180"/>
  <c r="E15" i="180"/>
  <c r="N14" i="180"/>
  <c r="J14" i="180"/>
  <c r="E14" i="180"/>
  <c r="N13" i="180"/>
  <c r="J13" i="180"/>
  <c r="E13" i="180"/>
  <c r="N12" i="180"/>
  <c r="J12" i="180"/>
  <c r="E12" i="180"/>
  <c r="N11" i="180"/>
  <c r="J11" i="180"/>
  <c r="E11" i="180"/>
  <c r="N10" i="180"/>
  <c r="J10" i="180"/>
  <c r="E10" i="180"/>
  <c r="N9" i="180"/>
  <c r="J9" i="180"/>
  <c r="E9" i="180"/>
  <c r="N8" i="180"/>
  <c r="J8" i="180"/>
  <c r="E8" i="180"/>
  <c r="N7" i="180"/>
  <c r="J7" i="180"/>
  <c r="E7" i="180"/>
  <c r="N6" i="180"/>
  <c r="J6" i="180"/>
  <c r="E6" i="180"/>
  <c r="N5" i="180"/>
  <c r="J5" i="180"/>
  <c r="E5" i="180"/>
  <c r="N4" i="180"/>
  <c r="J4" i="180"/>
  <c r="E4" i="180"/>
  <c r="N3" i="180"/>
  <c r="J3" i="180"/>
  <c r="E3" i="180"/>
  <c r="J77" i="1"/>
  <c r="N77" i="1"/>
  <c r="R77" i="1"/>
  <c r="J76" i="1"/>
  <c r="N76" i="1"/>
  <c r="R76" i="1"/>
  <c r="E77" i="1"/>
  <c r="F77" i="1"/>
  <c r="E76" i="1"/>
  <c r="F76" i="1"/>
  <c r="J14" i="179"/>
  <c r="I14" i="179"/>
  <c r="J13" i="179"/>
  <c r="I13" i="179"/>
  <c r="J12" i="179"/>
  <c r="I12" i="179"/>
  <c r="J11" i="179"/>
  <c r="I11" i="179"/>
  <c r="J10" i="179"/>
  <c r="I10" i="179"/>
  <c r="J9" i="179"/>
  <c r="I9" i="179"/>
  <c r="J8" i="179"/>
  <c r="I8" i="179"/>
  <c r="J7" i="179"/>
  <c r="I7" i="179"/>
  <c r="J6" i="179"/>
  <c r="I6" i="179"/>
  <c r="J5" i="179"/>
  <c r="I5" i="179"/>
  <c r="I15" i="179" s="1"/>
  <c r="J14" i="178"/>
  <c r="I14" i="178"/>
  <c r="J13" i="178"/>
  <c r="I13" i="178"/>
  <c r="J12" i="178"/>
  <c r="I12" i="178"/>
  <c r="J11" i="178"/>
  <c r="I11" i="178"/>
  <c r="J10" i="178"/>
  <c r="I10" i="178"/>
  <c r="J9" i="178"/>
  <c r="I9" i="178"/>
  <c r="J8" i="178"/>
  <c r="I8" i="178"/>
  <c r="J7" i="178"/>
  <c r="I7" i="178"/>
  <c r="J6" i="178"/>
  <c r="I6" i="178"/>
  <c r="J5" i="178"/>
  <c r="I5" i="178"/>
  <c r="I15" i="178" s="1"/>
  <c r="J91" i="1"/>
  <c r="N91" i="1"/>
  <c r="R91" i="1"/>
  <c r="J90" i="1"/>
  <c r="N90" i="1"/>
  <c r="R90" i="1"/>
  <c r="E91" i="1"/>
  <c r="F91" i="1"/>
  <c r="E90" i="1"/>
  <c r="F90" i="1"/>
  <c r="J14" i="177"/>
  <c r="I14" i="177"/>
  <c r="J13" i="177"/>
  <c r="I13" i="177"/>
  <c r="J12" i="177"/>
  <c r="I12" i="177"/>
  <c r="J11" i="177"/>
  <c r="I11" i="177"/>
  <c r="J10" i="177"/>
  <c r="I10" i="177"/>
  <c r="J9" i="177"/>
  <c r="I9" i="177"/>
  <c r="J8" i="177"/>
  <c r="I8" i="177"/>
  <c r="J7" i="177"/>
  <c r="I7" i="177"/>
  <c r="J6" i="177"/>
  <c r="I6" i="177"/>
  <c r="J5" i="177"/>
  <c r="J15" i="177" s="1"/>
  <c r="G91" i="1" s="1"/>
  <c r="I5" i="177"/>
  <c r="J14" i="176"/>
  <c r="I14" i="176"/>
  <c r="J13" i="176"/>
  <c r="I13" i="176"/>
  <c r="J12" i="176"/>
  <c r="I12" i="176"/>
  <c r="J11" i="176"/>
  <c r="I11" i="176"/>
  <c r="J10" i="176"/>
  <c r="I10" i="176"/>
  <c r="J9" i="176"/>
  <c r="I9" i="176"/>
  <c r="J8" i="176"/>
  <c r="I8" i="176"/>
  <c r="J7" i="176"/>
  <c r="I7" i="176"/>
  <c r="J6" i="176"/>
  <c r="I6" i="176"/>
  <c r="J5" i="176"/>
  <c r="J15" i="176" s="1"/>
  <c r="G90" i="1" s="1"/>
  <c r="I5" i="176"/>
  <c r="J28" i="1"/>
  <c r="N28" i="1"/>
  <c r="R28" i="1"/>
  <c r="J29" i="1"/>
  <c r="N29" i="1"/>
  <c r="R29" i="1"/>
  <c r="E29" i="1"/>
  <c r="F29" i="1"/>
  <c r="E28" i="1"/>
  <c r="F28" i="1"/>
  <c r="J14" i="175"/>
  <c r="I14" i="175"/>
  <c r="J13" i="175"/>
  <c r="I13" i="175"/>
  <c r="J12" i="175"/>
  <c r="I12" i="175"/>
  <c r="J11" i="175"/>
  <c r="I11" i="175"/>
  <c r="J10" i="175"/>
  <c r="I10" i="175"/>
  <c r="J9" i="175"/>
  <c r="I9" i="175"/>
  <c r="J8" i="175"/>
  <c r="I8" i="175"/>
  <c r="J7" i="175"/>
  <c r="I7" i="175"/>
  <c r="J6" i="175"/>
  <c r="I6" i="175"/>
  <c r="J5" i="175"/>
  <c r="I5" i="175"/>
  <c r="J14" i="174"/>
  <c r="I14" i="174"/>
  <c r="J13" i="174"/>
  <c r="I13" i="174"/>
  <c r="J12" i="174"/>
  <c r="I12" i="174"/>
  <c r="J11" i="174"/>
  <c r="I11" i="174"/>
  <c r="J10" i="174"/>
  <c r="I10" i="174"/>
  <c r="J9" i="174"/>
  <c r="I9" i="174"/>
  <c r="J8" i="174"/>
  <c r="I8" i="174"/>
  <c r="J7" i="174"/>
  <c r="I7" i="174"/>
  <c r="J6" i="174"/>
  <c r="I6" i="174"/>
  <c r="J5" i="174"/>
  <c r="J15" i="174" s="1"/>
  <c r="G28" i="1" s="1"/>
  <c r="H28" i="1" s="1"/>
  <c r="I5" i="174"/>
  <c r="R30" i="1"/>
  <c r="J30" i="1"/>
  <c r="N30" i="1"/>
  <c r="E30" i="1"/>
  <c r="F30" i="1"/>
  <c r="J19" i="173"/>
  <c r="I19" i="173"/>
  <c r="J18" i="173"/>
  <c r="I18" i="173"/>
  <c r="J17" i="173"/>
  <c r="I17" i="173"/>
  <c r="J16" i="173"/>
  <c r="I16" i="173"/>
  <c r="J15" i="173"/>
  <c r="I15" i="173"/>
  <c r="J14" i="173"/>
  <c r="I14" i="173"/>
  <c r="J13" i="173"/>
  <c r="I13" i="173"/>
  <c r="J12" i="173"/>
  <c r="I12" i="173"/>
  <c r="J11" i="173"/>
  <c r="I11" i="173"/>
  <c r="J10" i="173"/>
  <c r="I10" i="173"/>
  <c r="J9" i="173"/>
  <c r="I9" i="173"/>
  <c r="J8" i="173"/>
  <c r="I8" i="173"/>
  <c r="J7" i="173"/>
  <c r="I7" i="173"/>
  <c r="J6" i="173"/>
  <c r="I6" i="173"/>
  <c r="J5" i="173"/>
  <c r="J20" i="173" s="1"/>
  <c r="G30" i="1" s="1"/>
  <c r="K30" i="1" s="1"/>
  <c r="I5" i="173"/>
  <c r="H6" i="147"/>
  <c r="H7" i="147"/>
  <c r="H8" i="147"/>
  <c r="H9" i="147"/>
  <c r="H10" i="147"/>
  <c r="H11" i="147"/>
  <c r="H12" i="147"/>
  <c r="H5" i="147"/>
  <c r="I6" i="90"/>
  <c r="I7" i="90"/>
  <c r="I8" i="90"/>
  <c r="I9" i="90"/>
  <c r="I10" i="90"/>
  <c r="I11" i="90"/>
  <c r="I12" i="90"/>
  <c r="I5" i="90"/>
  <c r="I6" i="89"/>
  <c r="I7" i="89"/>
  <c r="I8" i="89"/>
  <c r="I9" i="89"/>
  <c r="I10" i="89"/>
  <c r="I11" i="89"/>
  <c r="I12" i="89"/>
  <c r="I13" i="89"/>
  <c r="I14" i="89"/>
  <c r="I15" i="89"/>
  <c r="I16" i="89"/>
  <c r="I17" i="89"/>
  <c r="I5" i="89"/>
  <c r="I5" i="88"/>
  <c r="I6" i="88"/>
  <c r="I7" i="88"/>
  <c r="I8" i="88"/>
  <c r="I9" i="88"/>
  <c r="I10" i="88"/>
  <c r="I11" i="88"/>
  <c r="I12" i="88"/>
  <c r="I13" i="88"/>
  <c r="I6" i="87"/>
  <c r="I7" i="87"/>
  <c r="I8" i="87"/>
  <c r="I9" i="87"/>
  <c r="I10" i="87"/>
  <c r="I11" i="87"/>
  <c r="I12" i="87"/>
  <c r="I13" i="87"/>
  <c r="I14" i="87"/>
  <c r="I15" i="87"/>
  <c r="I16" i="87"/>
  <c r="I17" i="87"/>
  <c r="I18" i="87"/>
  <c r="I19" i="87"/>
  <c r="I5" i="87"/>
  <c r="H6" i="126"/>
  <c r="H7" i="126"/>
  <c r="H8" i="126"/>
  <c r="H9" i="126"/>
  <c r="H10" i="126"/>
  <c r="H11" i="126"/>
  <c r="H12" i="126"/>
  <c r="H13" i="126"/>
  <c r="H14" i="126"/>
  <c r="H15" i="126"/>
  <c r="H6" i="132"/>
  <c r="H7" i="132"/>
  <c r="H8" i="132"/>
  <c r="H9" i="132"/>
  <c r="H10" i="132"/>
  <c r="H11" i="132"/>
  <c r="H12" i="132"/>
  <c r="H13" i="132"/>
  <c r="H14" i="132"/>
  <c r="H15" i="132"/>
  <c r="H6" i="150"/>
  <c r="H7" i="150"/>
  <c r="H8" i="150"/>
  <c r="H9" i="150"/>
  <c r="H10" i="150"/>
  <c r="H11" i="150"/>
  <c r="H12" i="150"/>
  <c r="H13" i="150"/>
  <c r="H14" i="150"/>
  <c r="H15" i="150"/>
  <c r="H6" i="144"/>
  <c r="H7" i="144"/>
  <c r="H8" i="144"/>
  <c r="H9" i="144"/>
  <c r="H10" i="144"/>
  <c r="H11" i="144"/>
  <c r="H12" i="144"/>
  <c r="H13" i="144"/>
  <c r="H14" i="144"/>
  <c r="H15" i="144"/>
  <c r="H5" i="126"/>
  <c r="H5" i="132"/>
  <c r="H5" i="150"/>
  <c r="H5" i="144"/>
  <c r="I6" i="51"/>
  <c r="I7" i="51"/>
  <c r="I8" i="51"/>
  <c r="I9" i="51"/>
  <c r="I10" i="51"/>
  <c r="I11" i="51"/>
  <c r="I12" i="51"/>
  <c r="I13" i="51"/>
  <c r="I14" i="51"/>
  <c r="I15" i="51"/>
  <c r="I16" i="51"/>
  <c r="I5" i="51"/>
  <c r="I6" i="66"/>
  <c r="I7" i="66"/>
  <c r="I8" i="66"/>
  <c r="I9" i="66"/>
  <c r="I10" i="66"/>
  <c r="I11" i="66"/>
  <c r="I12" i="66"/>
  <c r="I13" i="66"/>
  <c r="I14" i="66"/>
  <c r="I15" i="66"/>
  <c r="I16" i="66"/>
  <c r="I17" i="66"/>
  <c r="I18" i="66"/>
  <c r="I19" i="66"/>
  <c r="I6" i="77"/>
  <c r="I7" i="77"/>
  <c r="I8" i="77"/>
  <c r="I9" i="77"/>
  <c r="I10" i="77"/>
  <c r="I11" i="77"/>
  <c r="I12" i="77"/>
  <c r="I13" i="77"/>
  <c r="I14" i="77"/>
  <c r="I15" i="77"/>
  <c r="I16" i="77"/>
  <c r="I17" i="77"/>
  <c r="I18" i="77"/>
  <c r="I19" i="77"/>
  <c r="I6" i="91"/>
  <c r="I7" i="91"/>
  <c r="I8" i="91"/>
  <c r="I9" i="91"/>
  <c r="I10" i="91"/>
  <c r="I11" i="91"/>
  <c r="I12" i="91"/>
  <c r="I13" i="91"/>
  <c r="I14" i="91"/>
  <c r="I15" i="91"/>
  <c r="I16" i="91"/>
  <c r="I17" i="91"/>
  <c r="I18" i="91"/>
  <c r="I19" i="91"/>
  <c r="I6" i="97"/>
  <c r="I7" i="97"/>
  <c r="I8" i="97"/>
  <c r="I9" i="97"/>
  <c r="I10" i="97"/>
  <c r="I11" i="97"/>
  <c r="I12" i="97"/>
  <c r="I13" i="97"/>
  <c r="I14" i="97"/>
  <c r="I15" i="97"/>
  <c r="I16" i="97"/>
  <c r="I17" i="97"/>
  <c r="I18" i="97"/>
  <c r="I19" i="97"/>
  <c r="I6" i="57"/>
  <c r="I7" i="57"/>
  <c r="I8" i="57"/>
  <c r="I9" i="57"/>
  <c r="I10" i="57"/>
  <c r="I11" i="57"/>
  <c r="I12" i="57"/>
  <c r="I13" i="57"/>
  <c r="I14" i="57"/>
  <c r="I15" i="57"/>
  <c r="I16" i="57"/>
  <c r="I17" i="57"/>
  <c r="I18" i="57"/>
  <c r="I19" i="57"/>
  <c r="I6" i="49"/>
  <c r="I7" i="49"/>
  <c r="I8" i="49"/>
  <c r="I9" i="49"/>
  <c r="I10" i="49"/>
  <c r="I11" i="49"/>
  <c r="I12" i="49"/>
  <c r="I13" i="49"/>
  <c r="I14" i="49"/>
  <c r="I15" i="49"/>
  <c r="I16" i="49"/>
  <c r="I17" i="49"/>
  <c r="I18" i="49"/>
  <c r="I19" i="49"/>
  <c r="I5" i="66"/>
  <c r="I20" i="66" s="1"/>
  <c r="I5" i="77"/>
  <c r="I5" i="91"/>
  <c r="I5" i="97"/>
  <c r="I5" i="57"/>
  <c r="I20" i="57" s="1"/>
  <c r="I5" i="49"/>
  <c r="H6" i="123"/>
  <c r="H7" i="123"/>
  <c r="H8" i="123"/>
  <c r="H9" i="123"/>
  <c r="H10" i="123"/>
  <c r="H11" i="123"/>
  <c r="H12" i="123"/>
  <c r="H6" i="129"/>
  <c r="H7" i="129"/>
  <c r="H8" i="129"/>
  <c r="H9" i="129"/>
  <c r="H10" i="129"/>
  <c r="H11" i="129"/>
  <c r="H12" i="129"/>
  <c r="H6" i="135"/>
  <c r="H7" i="135"/>
  <c r="H8" i="135"/>
  <c r="H9" i="135"/>
  <c r="H10" i="135"/>
  <c r="H11" i="135"/>
  <c r="H12" i="135"/>
  <c r="H6" i="141"/>
  <c r="H7" i="141"/>
  <c r="H8" i="141"/>
  <c r="H9" i="141"/>
  <c r="H10" i="141"/>
  <c r="H11" i="141"/>
  <c r="H12" i="141"/>
  <c r="H6" i="117"/>
  <c r="H7" i="117"/>
  <c r="H8" i="117"/>
  <c r="H9" i="117"/>
  <c r="H10" i="117"/>
  <c r="H11" i="117"/>
  <c r="H12" i="117"/>
  <c r="H5" i="123"/>
  <c r="H13" i="123" s="1"/>
  <c r="H5" i="129"/>
  <c r="H5" i="135"/>
  <c r="H5" i="141"/>
  <c r="H5" i="117"/>
  <c r="H13" i="117" s="1"/>
  <c r="I5" i="123"/>
  <c r="I5" i="129"/>
  <c r="I5" i="135"/>
  <c r="I5" i="141"/>
  <c r="I5" i="117"/>
  <c r="H6" i="115"/>
  <c r="H7" i="115"/>
  <c r="H8" i="115"/>
  <c r="H9" i="115"/>
  <c r="H10" i="115"/>
  <c r="H11" i="115"/>
  <c r="H12" i="115"/>
  <c r="H13" i="115"/>
  <c r="H14" i="115"/>
  <c r="H6" i="121"/>
  <c r="H7" i="121"/>
  <c r="H8" i="121"/>
  <c r="H9" i="121"/>
  <c r="H10" i="121"/>
  <c r="H11" i="121"/>
  <c r="H12" i="121"/>
  <c r="H13" i="121"/>
  <c r="H14" i="121"/>
  <c r="H6" i="127"/>
  <c r="H7" i="127"/>
  <c r="H8" i="127"/>
  <c r="H9" i="127"/>
  <c r="H10" i="127"/>
  <c r="H11" i="127"/>
  <c r="H12" i="127"/>
  <c r="H13" i="127"/>
  <c r="H14" i="127"/>
  <c r="H6" i="133"/>
  <c r="H7" i="133"/>
  <c r="H8" i="133"/>
  <c r="H9" i="133"/>
  <c r="H10" i="133"/>
  <c r="H11" i="133"/>
  <c r="H12" i="133"/>
  <c r="H13" i="133"/>
  <c r="H14" i="133"/>
  <c r="H6" i="139"/>
  <c r="H7" i="139"/>
  <c r="H8" i="139"/>
  <c r="H9" i="139"/>
  <c r="H10" i="139"/>
  <c r="H11" i="139"/>
  <c r="H12" i="139"/>
  <c r="H13" i="139"/>
  <c r="H14" i="139"/>
  <c r="H6" i="151"/>
  <c r="H7" i="151"/>
  <c r="H8" i="151"/>
  <c r="H9" i="151"/>
  <c r="H10" i="151"/>
  <c r="H11" i="151"/>
  <c r="H12" i="151"/>
  <c r="H13" i="151"/>
  <c r="H14" i="151"/>
  <c r="H6" i="145"/>
  <c r="H7" i="145"/>
  <c r="H8" i="145"/>
  <c r="H9" i="145"/>
  <c r="H10" i="145"/>
  <c r="H11" i="145"/>
  <c r="H12" i="145"/>
  <c r="H13" i="145"/>
  <c r="H14" i="145"/>
  <c r="H5" i="115"/>
  <c r="H5" i="121"/>
  <c r="H5" i="127"/>
  <c r="H5" i="133"/>
  <c r="H15" i="133" s="1"/>
  <c r="H5" i="139"/>
  <c r="H5" i="151"/>
  <c r="H5" i="145"/>
  <c r="I6" i="76"/>
  <c r="I7" i="76"/>
  <c r="I8" i="76"/>
  <c r="I9" i="76"/>
  <c r="I10" i="76"/>
  <c r="I11" i="76"/>
  <c r="I12" i="76"/>
  <c r="I13" i="76"/>
  <c r="I14" i="76"/>
  <c r="I15" i="76"/>
  <c r="I16" i="76"/>
  <c r="I17" i="76"/>
  <c r="I18" i="76"/>
  <c r="I19" i="76"/>
  <c r="I6" i="96"/>
  <c r="I7" i="96"/>
  <c r="I8" i="96"/>
  <c r="I9" i="96"/>
  <c r="I10" i="96"/>
  <c r="I11" i="96"/>
  <c r="I12" i="96"/>
  <c r="I13" i="96"/>
  <c r="I14" i="96"/>
  <c r="I15" i="96"/>
  <c r="I16" i="96"/>
  <c r="I17" i="96"/>
  <c r="I18" i="96"/>
  <c r="I19" i="96"/>
  <c r="I6" i="102"/>
  <c r="I7" i="102"/>
  <c r="I8" i="102"/>
  <c r="I9" i="102"/>
  <c r="I10" i="102"/>
  <c r="I11" i="102"/>
  <c r="I12" i="102"/>
  <c r="I13" i="102"/>
  <c r="I14" i="102"/>
  <c r="I15" i="102"/>
  <c r="I16" i="102"/>
  <c r="I17" i="102"/>
  <c r="I18" i="102"/>
  <c r="I19" i="102"/>
  <c r="I6" i="65"/>
  <c r="I7" i="65"/>
  <c r="I8" i="65"/>
  <c r="I9" i="65"/>
  <c r="I10" i="65"/>
  <c r="I11" i="65"/>
  <c r="I12" i="65"/>
  <c r="I13" i="65"/>
  <c r="I14" i="65"/>
  <c r="I15" i="65"/>
  <c r="I16" i="65"/>
  <c r="I17" i="65"/>
  <c r="I18" i="65"/>
  <c r="I19" i="65"/>
  <c r="I6" i="48"/>
  <c r="I7" i="48"/>
  <c r="I8" i="48"/>
  <c r="I9" i="48"/>
  <c r="I10" i="48"/>
  <c r="I11" i="48"/>
  <c r="I12" i="48"/>
  <c r="I13" i="48"/>
  <c r="I14" i="48"/>
  <c r="I15" i="48"/>
  <c r="I16" i="48"/>
  <c r="I17" i="48"/>
  <c r="I18" i="48"/>
  <c r="I19" i="48"/>
  <c r="I5" i="76"/>
  <c r="I5" i="96"/>
  <c r="I20" i="96" s="1"/>
  <c r="I5" i="102"/>
  <c r="I5" i="65"/>
  <c r="I5" i="48"/>
  <c r="I6" i="75"/>
  <c r="I7" i="75"/>
  <c r="I8" i="75"/>
  <c r="I9" i="75"/>
  <c r="I10" i="75"/>
  <c r="I11" i="75"/>
  <c r="I12" i="75"/>
  <c r="I13" i="75"/>
  <c r="I14" i="75"/>
  <c r="I6" i="86"/>
  <c r="I7" i="86"/>
  <c r="I8" i="86"/>
  <c r="I9" i="86"/>
  <c r="I10" i="86"/>
  <c r="I11" i="86"/>
  <c r="I12" i="86"/>
  <c r="I13" i="86"/>
  <c r="I14" i="86"/>
  <c r="I6" i="64"/>
  <c r="I7" i="64"/>
  <c r="I8" i="64"/>
  <c r="I9" i="64"/>
  <c r="I10" i="64"/>
  <c r="I11" i="64"/>
  <c r="I12" i="64"/>
  <c r="I13" i="64"/>
  <c r="I14" i="64"/>
  <c r="I6" i="47"/>
  <c r="I7" i="47"/>
  <c r="I8" i="47"/>
  <c r="I9" i="47"/>
  <c r="I10" i="47"/>
  <c r="I11" i="47"/>
  <c r="I12" i="47"/>
  <c r="I13" i="47"/>
  <c r="I14" i="47"/>
  <c r="I5" i="75"/>
  <c r="I15" i="75" s="1"/>
  <c r="I5" i="86"/>
  <c r="I5" i="64"/>
  <c r="I5" i="47"/>
  <c r="I6" i="74"/>
  <c r="I7" i="74"/>
  <c r="I8" i="74"/>
  <c r="I9" i="74"/>
  <c r="I10" i="74"/>
  <c r="I11" i="74"/>
  <c r="I12" i="74"/>
  <c r="I13" i="74"/>
  <c r="I14" i="74"/>
  <c r="I6" i="85"/>
  <c r="I7" i="85"/>
  <c r="I8" i="85"/>
  <c r="I9" i="85"/>
  <c r="I10" i="85"/>
  <c r="I11" i="85"/>
  <c r="I12" i="85"/>
  <c r="I13" i="85"/>
  <c r="I14" i="85"/>
  <c r="I6" i="63"/>
  <c r="I7" i="63"/>
  <c r="I8" i="63"/>
  <c r="I9" i="63"/>
  <c r="I10" i="63"/>
  <c r="I11" i="63"/>
  <c r="I12" i="63"/>
  <c r="I13" i="63"/>
  <c r="I14" i="63"/>
  <c r="I6" i="46"/>
  <c r="I7" i="46"/>
  <c r="I8" i="46"/>
  <c r="I9" i="46"/>
  <c r="I10" i="46"/>
  <c r="I11" i="46"/>
  <c r="I12" i="46"/>
  <c r="I13" i="46"/>
  <c r="I14" i="46"/>
  <c r="I5" i="74"/>
  <c r="I15" i="74" s="1"/>
  <c r="I5" i="85"/>
  <c r="I5" i="63"/>
  <c r="I5" i="46"/>
  <c r="J5" i="74"/>
  <c r="J5" i="85"/>
  <c r="J5" i="63"/>
  <c r="J5" i="46"/>
  <c r="I6" i="56"/>
  <c r="I7" i="56"/>
  <c r="I8" i="56"/>
  <c r="I9" i="56"/>
  <c r="I10" i="56"/>
  <c r="I11" i="56"/>
  <c r="I12" i="56"/>
  <c r="I13" i="56"/>
  <c r="I14" i="56"/>
  <c r="I15" i="56"/>
  <c r="I16" i="56"/>
  <c r="I17" i="56"/>
  <c r="I18" i="56"/>
  <c r="I6" i="73"/>
  <c r="I7" i="73"/>
  <c r="I8" i="73"/>
  <c r="I9" i="73"/>
  <c r="I10" i="73"/>
  <c r="I11" i="73"/>
  <c r="I12" i="73"/>
  <c r="I13" i="73"/>
  <c r="I14" i="73"/>
  <c r="I15" i="73"/>
  <c r="I16" i="73"/>
  <c r="I17" i="73"/>
  <c r="I18" i="73"/>
  <c r="I6" i="84"/>
  <c r="I7" i="84"/>
  <c r="I8" i="84"/>
  <c r="I9" i="84"/>
  <c r="I10" i="84"/>
  <c r="I11" i="84"/>
  <c r="I12" i="84"/>
  <c r="I13" i="84"/>
  <c r="I14" i="84"/>
  <c r="I15" i="84"/>
  <c r="I16" i="84"/>
  <c r="I17" i="84"/>
  <c r="I18" i="84"/>
  <c r="I6" i="45"/>
  <c r="I7" i="45"/>
  <c r="I8" i="45"/>
  <c r="I9" i="45"/>
  <c r="I10" i="45"/>
  <c r="I11" i="45"/>
  <c r="I12" i="45"/>
  <c r="I13" i="45"/>
  <c r="I14" i="45"/>
  <c r="I15" i="45"/>
  <c r="I16" i="45"/>
  <c r="I17" i="45"/>
  <c r="I18" i="45"/>
  <c r="I5" i="56"/>
  <c r="I19" i="56" s="1"/>
  <c r="I5" i="73"/>
  <c r="I5" i="84"/>
  <c r="I5" i="45"/>
  <c r="I6" i="55"/>
  <c r="I7" i="55"/>
  <c r="I8" i="55"/>
  <c r="I9" i="55"/>
  <c r="I10" i="55"/>
  <c r="I11" i="55"/>
  <c r="I12" i="55"/>
  <c r="I13" i="55"/>
  <c r="I14" i="55"/>
  <c r="I15" i="55"/>
  <c r="I16" i="55"/>
  <c r="I6" i="72"/>
  <c r="I7" i="72"/>
  <c r="I8" i="72"/>
  <c r="I9" i="72"/>
  <c r="I10" i="72"/>
  <c r="I11" i="72"/>
  <c r="I12" i="72"/>
  <c r="I13" i="72"/>
  <c r="I14" i="72"/>
  <c r="I15" i="72"/>
  <c r="I16" i="72"/>
  <c r="I6" i="83"/>
  <c r="I7" i="83"/>
  <c r="I8" i="83"/>
  <c r="I9" i="83"/>
  <c r="I10" i="83"/>
  <c r="I11" i="83"/>
  <c r="I12" i="83"/>
  <c r="I13" i="83"/>
  <c r="I14" i="83"/>
  <c r="I15" i="83"/>
  <c r="I16" i="83"/>
  <c r="I6" i="62"/>
  <c r="I7" i="62"/>
  <c r="I8" i="62"/>
  <c r="I9" i="62"/>
  <c r="I10" i="62"/>
  <c r="I11" i="62"/>
  <c r="I12" i="62"/>
  <c r="I13" i="62"/>
  <c r="I14" i="62"/>
  <c r="I15" i="62"/>
  <c r="I16" i="62"/>
  <c r="I6" i="44"/>
  <c r="I7" i="44"/>
  <c r="I8" i="44"/>
  <c r="I9" i="44"/>
  <c r="I10" i="44"/>
  <c r="I11" i="44"/>
  <c r="I12" i="44"/>
  <c r="I13" i="44"/>
  <c r="I14" i="44"/>
  <c r="I15" i="44"/>
  <c r="I16" i="44"/>
  <c r="I5" i="55"/>
  <c r="I5" i="72"/>
  <c r="I5" i="83"/>
  <c r="I5" i="62"/>
  <c r="I5" i="44"/>
  <c r="I6" i="43"/>
  <c r="I7" i="43"/>
  <c r="I8" i="43"/>
  <c r="I9" i="43"/>
  <c r="I10" i="43"/>
  <c r="I11" i="43"/>
  <c r="I12" i="43"/>
  <c r="I6" i="54"/>
  <c r="I7" i="54"/>
  <c r="I8" i="54"/>
  <c r="I9" i="54"/>
  <c r="I10" i="54"/>
  <c r="I11" i="54"/>
  <c r="I12" i="54"/>
  <c r="I6" i="71"/>
  <c r="I7" i="71"/>
  <c r="I8" i="71"/>
  <c r="I9" i="71"/>
  <c r="I10" i="71"/>
  <c r="I11" i="71"/>
  <c r="I12" i="71"/>
  <c r="I6" i="82"/>
  <c r="I7" i="82"/>
  <c r="I8" i="82"/>
  <c r="I9" i="82"/>
  <c r="I10" i="82"/>
  <c r="I11" i="82"/>
  <c r="I12" i="82"/>
  <c r="I6" i="95"/>
  <c r="I7" i="95"/>
  <c r="I8" i="95"/>
  <c r="I9" i="95"/>
  <c r="I10" i="95"/>
  <c r="I11" i="95"/>
  <c r="I12" i="95"/>
  <c r="I6" i="101"/>
  <c r="I7" i="101"/>
  <c r="I8" i="101"/>
  <c r="I9" i="101"/>
  <c r="I10" i="101"/>
  <c r="I11" i="101"/>
  <c r="I12" i="101"/>
  <c r="I6" i="61"/>
  <c r="I7" i="61"/>
  <c r="I8" i="61"/>
  <c r="I9" i="61"/>
  <c r="I10" i="61"/>
  <c r="I11" i="61"/>
  <c r="I12" i="61"/>
  <c r="I5" i="43"/>
  <c r="I5" i="54"/>
  <c r="I5" i="71"/>
  <c r="I5" i="82"/>
  <c r="I13" i="82" s="1"/>
  <c r="I5" i="95"/>
  <c r="I5" i="101"/>
  <c r="I5" i="61"/>
  <c r="I6" i="53"/>
  <c r="I7" i="53"/>
  <c r="I8" i="53"/>
  <c r="I9" i="53"/>
  <c r="I10" i="53"/>
  <c r="I11" i="53"/>
  <c r="I12" i="53"/>
  <c r="I13" i="53"/>
  <c r="I14" i="53"/>
  <c r="I15" i="53"/>
  <c r="I16" i="53"/>
  <c r="I6" i="70"/>
  <c r="I7" i="70"/>
  <c r="I8" i="70"/>
  <c r="I9" i="70"/>
  <c r="I10" i="70"/>
  <c r="I11" i="70"/>
  <c r="I12" i="70"/>
  <c r="I13" i="70"/>
  <c r="I14" i="70"/>
  <c r="I15" i="70"/>
  <c r="I16" i="70"/>
  <c r="I6" i="81"/>
  <c r="I7" i="81"/>
  <c r="I8" i="81"/>
  <c r="I9" i="81"/>
  <c r="I10" i="81"/>
  <c r="I11" i="81"/>
  <c r="I12" i="81"/>
  <c r="I13" i="81"/>
  <c r="I14" i="81"/>
  <c r="I15" i="81"/>
  <c r="I16" i="81"/>
  <c r="I6" i="94"/>
  <c r="I7" i="94"/>
  <c r="I8" i="94"/>
  <c r="I9" i="94"/>
  <c r="I10" i="94"/>
  <c r="I11" i="94"/>
  <c r="I12" i="94"/>
  <c r="I13" i="94"/>
  <c r="I14" i="94"/>
  <c r="I15" i="94"/>
  <c r="I16" i="94"/>
  <c r="I6" i="100"/>
  <c r="I7" i="100"/>
  <c r="I8" i="100"/>
  <c r="I9" i="100"/>
  <c r="I10" i="100"/>
  <c r="I11" i="100"/>
  <c r="I12" i="100"/>
  <c r="I13" i="100"/>
  <c r="I14" i="100"/>
  <c r="I15" i="100"/>
  <c r="I16" i="100"/>
  <c r="I6" i="60"/>
  <c r="I7" i="60"/>
  <c r="I8" i="60"/>
  <c r="I9" i="60"/>
  <c r="I10" i="60"/>
  <c r="I11" i="60"/>
  <c r="I12" i="60"/>
  <c r="I13" i="60"/>
  <c r="I14" i="60"/>
  <c r="I15" i="60"/>
  <c r="I16" i="60"/>
  <c r="I6" i="42"/>
  <c r="I7" i="42"/>
  <c r="I8" i="42"/>
  <c r="I9" i="42"/>
  <c r="I10" i="42"/>
  <c r="I11" i="42"/>
  <c r="I12" i="42"/>
  <c r="I13" i="42"/>
  <c r="I14" i="42"/>
  <c r="I15" i="42"/>
  <c r="I16" i="42"/>
  <c r="I5" i="53"/>
  <c r="I5" i="70"/>
  <c r="I5" i="81"/>
  <c r="I5" i="94"/>
  <c r="I17" i="94" s="1"/>
  <c r="I5" i="100"/>
  <c r="I5" i="60"/>
  <c r="I5" i="42"/>
  <c r="I5" i="52"/>
  <c r="I6" i="52"/>
  <c r="I7" i="52"/>
  <c r="I8" i="52"/>
  <c r="I9" i="52"/>
  <c r="I10" i="52"/>
  <c r="I5" i="69"/>
  <c r="I6" i="69"/>
  <c r="I7" i="69"/>
  <c r="I8" i="69"/>
  <c r="I9" i="69"/>
  <c r="I10" i="69"/>
  <c r="I5" i="80"/>
  <c r="I6" i="80"/>
  <c r="I7" i="80"/>
  <c r="I8" i="80"/>
  <c r="I9" i="80"/>
  <c r="I10" i="80"/>
  <c r="I5" i="93"/>
  <c r="I6" i="93"/>
  <c r="I7" i="93"/>
  <c r="I8" i="93"/>
  <c r="I9" i="93"/>
  <c r="I10" i="93"/>
  <c r="I5" i="99"/>
  <c r="I6" i="99"/>
  <c r="I7" i="99"/>
  <c r="I8" i="99"/>
  <c r="I9" i="99"/>
  <c r="I10" i="99"/>
  <c r="I5" i="59"/>
  <c r="I6" i="59"/>
  <c r="I7" i="59"/>
  <c r="I8" i="59"/>
  <c r="I9" i="59"/>
  <c r="I10" i="59"/>
  <c r="I5" i="41"/>
  <c r="I6" i="41"/>
  <c r="I7" i="41"/>
  <c r="I8" i="41"/>
  <c r="I9" i="41"/>
  <c r="I10" i="41"/>
  <c r="I12" i="52"/>
  <c r="I13" i="52"/>
  <c r="I14" i="52"/>
  <c r="I15" i="52"/>
  <c r="I16" i="52"/>
  <c r="I12" i="69"/>
  <c r="I13" i="69"/>
  <c r="I14" i="69"/>
  <c r="I15" i="69"/>
  <c r="I16" i="69"/>
  <c r="I12" i="80"/>
  <c r="I13" i="80"/>
  <c r="I14" i="80"/>
  <c r="I15" i="80"/>
  <c r="I16" i="80"/>
  <c r="I12" i="93"/>
  <c r="I13" i="93"/>
  <c r="I14" i="93"/>
  <c r="I15" i="93"/>
  <c r="I16" i="93"/>
  <c r="I12" i="99"/>
  <c r="I13" i="99"/>
  <c r="I14" i="99"/>
  <c r="I15" i="99"/>
  <c r="I16" i="99"/>
  <c r="I12" i="59"/>
  <c r="I13" i="59"/>
  <c r="I14" i="59"/>
  <c r="I15" i="59"/>
  <c r="I16" i="59"/>
  <c r="I12" i="41"/>
  <c r="I13" i="41"/>
  <c r="I14" i="41"/>
  <c r="I15" i="41"/>
  <c r="I16" i="41"/>
  <c r="I11" i="52"/>
  <c r="I11" i="69"/>
  <c r="I11" i="80"/>
  <c r="I11" i="93"/>
  <c r="I11" i="99"/>
  <c r="I11" i="59"/>
  <c r="I11" i="41"/>
  <c r="I6" i="50"/>
  <c r="I7" i="50"/>
  <c r="I8" i="50"/>
  <c r="I9" i="50"/>
  <c r="I10" i="50"/>
  <c r="I11" i="50"/>
  <c r="I12" i="50"/>
  <c r="I13" i="50"/>
  <c r="I14" i="50"/>
  <c r="I6" i="67"/>
  <c r="I7" i="67"/>
  <c r="I8" i="67"/>
  <c r="I9" i="67"/>
  <c r="I10" i="67"/>
  <c r="I11" i="67"/>
  <c r="I12" i="67"/>
  <c r="I13" i="67"/>
  <c r="I14" i="67"/>
  <c r="I6" i="78"/>
  <c r="I7" i="78"/>
  <c r="I8" i="78"/>
  <c r="I9" i="78"/>
  <c r="I10" i="78"/>
  <c r="I11" i="78"/>
  <c r="I12" i="78"/>
  <c r="I13" i="78"/>
  <c r="I14" i="78"/>
  <c r="I6" i="92"/>
  <c r="I7" i="92"/>
  <c r="I8" i="92"/>
  <c r="I9" i="92"/>
  <c r="I10" i="92"/>
  <c r="I11" i="92"/>
  <c r="I12" i="92"/>
  <c r="I13" i="92"/>
  <c r="I14" i="92"/>
  <c r="I6" i="98"/>
  <c r="I7" i="98"/>
  <c r="I8" i="98"/>
  <c r="I9" i="98"/>
  <c r="I10" i="98"/>
  <c r="I11" i="98"/>
  <c r="I12" i="98"/>
  <c r="I13" i="98"/>
  <c r="I14" i="98"/>
  <c r="I6" i="58"/>
  <c r="I7" i="58"/>
  <c r="I8" i="58"/>
  <c r="I9" i="58"/>
  <c r="I10" i="58"/>
  <c r="I11" i="58"/>
  <c r="I12" i="58"/>
  <c r="I13" i="58"/>
  <c r="I14" i="58"/>
  <c r="I6" i="40"/>
  <c r="I7" i="40"/>
  <c r="I8" i="40"/>
  <c r="I9" i="40"/>
  <c r="I10" i="40"/>
  <c r="I11" i="40"/>
  <c r="I12" i="40"/>
  <c r="I13" i="40"/>
  <c r="I14" i="40"/>
  <c r="I5" i="50"/>
  <c r="I5" i="67"/>
  <c r="I15" i="67" s="1"/>
  <c r="I5" i="78"/>
  <c r="I5" i="92"/>
  <c r="I5" i="98"/>
  <c r="I5" i="58"/>
  <c r="I15" i="58" s="1"/>
  <c r="I5" i="40"/>
  <c r="I6" i="104"/>
  <c r="I7" i="104"/>
  <c r="I8" i="104"/>
  <c r="I9" i="104"/>
  <c r="I10" i="104"/>
  <c r="I11" i="104"/>
  <c r="I12" i="104"/>
  <c r="I13" i="104"/>
  <c r="I6" i="105"/>
  <c r="I7" i="105"/>
  <c r="I8" i="105"/>
  <c r="I9" i="105"/>
  <c r="I10" i="105"/>
  <c r="I11" i="105"/>
  <c r="I12" i="105"/>
  <c r="I13" i="105"/>
  <c r="I6" i="106"/>
  <c r="I7" i="106"/>
  <c r="I8" i="106"/>
  <c r="I9" i="106"/>
  <c r="I10" i="106"/>
  <c r="I11" i="106"/>
  <c r="I12" i="106"/>
  <c r="I13" i="106"/>
  <c r="I6" i="107"/>
  <c r="I7" i="107"/>
  <c r="I8" i="107"/>
  <c r="I9" i="107"/>
  <c r="I10" i="107"/>
  <c r="I11" i="107"/>
  <c r="I12" i="107"/>
  <c r="I13" i="107"/>
  <c r="I6" i="108"/>
  <c r="I7" i="108"/>
  <c r="I8" i="108"/>
  <c r="I9" i="108"/>
  <c r="I10" i="108"/>
  <c r="I11" i="108"/>
  <c r="I12" i="108"/>
  <c r="I13" i="108"/>
  <c r="I6" i="109"/>
  <c r="I7" i="109"/>
  <c r="I8" i="109"/>
  <c r="I9" i="109"/>
  <c r="I10" i="109"/>
  <c r="I11" i="109"/>
  <c r="I12" i="109"/>
  <c r="I13" i="109"/>
  <c r="I6" i="103"/>
  <c r="I7" i="103"/>
  <c r="I8" i="103"/>
  <c r="I9" i="103"/>
  <c r="I10" i="103"/>
  <c r="I11" i="103"/>
  <c r="I12" i="103"/>
  <c r="I13" i="103"/>
  <c r="I5" i="104"/>
  <c r="I5" i="105"/>
  <c r="I5" i="106"/>
  <c r="I14" i="106" s="1"/>
  <c r="I5" i="107"/>
  <c r="I5" i="108"/>
  <c r="I5" i="109"/>
  <c r="I5" i="103"/>
  <c r="H6" i="119"/>
  <c r="H7" i="119"/>
  <c r="H8" i="119"/>
  <c r="H9" i="119"/>
  <c r="H10" i="119"/>
  <c r="H11" i="119"/>
  <c r="H6" i="125"/>
  <c r="H7" i="125"/>
  <c r="H8" i="125"/>
  <c r="H9" i="125"/>
  <c r="H10" i="125"/>
  <c r="H11" i="125"/>
  <c r="H6" i="131"/>
  <c r="H7" i="131"/>
  <c r="H8" i="131"/>
  <c r="H9" i="131"/>
  <c r="H10" i="131"/>
  <c r="H11" i="131"/>
  <c r="H6" i="137"/>
  <c r="H7" i="137"/>
  <c r="H8" i="137"/>
  <c r="H9" i="137"/>
  <c r="H10" i="137"/>
  <c r="H11" i="137"/>
  <c r="H6" i="149"/>
  <c r="H7" i="149"/>
  <c r="H8" i="149"/>
  <c r="H9" i="149"/>
  <c r="H10" i="149"/>
  <c r="H11" i="149"/>
  <c r="H6" i="143"/>
  <c r="H7" i="143"/>
  <c r="H8" i="143"/>
  <c r="H9" i="143"/>
  <c r="H10" i="143"/>
  <c r="H11" i="143"/>
  <c r="H6" i="113"/>
  <c r="H7" i="113"/>
  <c r="H8" i="113"/>
  <c r="H9" i="113"/>
  <c r="H10" i="113"/>
  <c r="H11" i="113"/>
  <c r="H5" i="119"/>
  <c r="H12" i="119" s="1"/>
  <c r="H5" i="125"/>
  <c r="H5" i="131"/>
  <c r="H5" i="137"/>
  <c r="H5" i="149"/>
  <c r="H12" i="149" s="1"/>
  <c r="H5" i="143"/>
  <c r="H5" i="113"/>
  <c r="H6" i="116"/>
  <c r="H7" i="116"/>
  <c r="H8" i="116"/>
  <c r="H9" i="116"/>
  <c r="H10" i="116"/>
  <c r="H11" i="116"/>
  <c r="H12" i="116"/>
  <c r="H6" i="122"/>
  <c r="H7" i="122"/>
  <c r="H8" i="122"/>
  <c r="H9" i="122"/>
  <c r="H10" i="122"/>
  <c r="H11" i="122"/>
  <c r="H12" i="122"/>
  <c r="H6" i="128"/>
  <c r="H7" i="128"/>
  <c r="H8" i="128"/>
  <c r="H9" i="128"/>
  <c r="H10" i="128"/>
  <c r="H11" i="128"/>
  <c r="H12" i="128"/>
  <c r="H6" i="134"/>
  <c r="H7" i="134"/>
  <c r="H8" i="134"/>
  <c r="H9" i="134"/>
  <c r="H10" i="134"/>
  <c r="H11" i="134"/>
  <c r="H12" i="134"/>
  <c r="H6" i="146"/>
  <c r="H7" i="146"/>
  <c r="H8" i="146"/>
  <c r="H9" i="146"/>
  <c r="H10" i="146"/>
  <c r="H11" i="146"/>
  <c r="H12" i="146"/>
  <c r="H6" i="140"/>
  <c r="H7" i="140"/>
  <c r="H8" i="140"/>
  <c r="H9" i="140"/>
  <c r="H10" i="140"/>
  <c r="H11" i="140"/>
  <c r="H12" i="140"/>
  <c r="H6" i="110"/>
  <c r="H7" i="110"/>
  <c r="H8" i="110"/>
  <c r="H9" i="110"/>
  <c r="H10" i="110"/>
  <c r="H11" i="110"/>
  <c r="H12" i="110"/>
  <c r="H5" i="116"/>
  <c r="H5" i="122"/>
  <c r="H5" i="128"/>
  <c r="H5" i="134"/>
  <c r="H5" i="146"/>
  <c r="H5" i="140"/>
  <c r="H5" i="110"/>
  <c r="I6" i="170"/>
  <c r="I7" i="170"/>
  <c r="I8" i="170"/>
  <c r="I9" i="170"/>
  <c r="I10" i="170"/>
  <c r="I11" i="170"/>
  <c r="I12" i="170"/>
  <c r="I13" i="170"/>
  <c r="I14" i="170"/>
  <c r="I15" i="170"/>
  <c r="I16" i="170"/>
  <c r="I17" i="170"/>
  <c r="I18" i="170"/>
  <c r="I5" i="170"/>
  <c r="J6" i="62"/>
  <c r="J7" i="62"/>
  <c r="J8" i="62"/>
  <c r="J9" i="62"/>
  <c r="J10" i="62"/>
  <c r="J11" i="62"/>
  <c r="J12" i="62"/>
  <c r="J13" i="62"/>
  <c r="J14" i="62"/>
  <c r="J15" i="62"/>
  <c r="J16" i="62"/>
  <c r="I6" i="143"/>
  <c r="I7" i="143"/>
  <c r="I8" i="143"/>
  <c r="I9" i="143"/>
  <c r="I10" i="143"/>
  <c r="I11" i="143"/>
  <c r="I5" i="143"/>
  <c r="I6" i="149"/>
  <c r="I7" i="149"/>
  <c r="I8" i="149"/>
  <c r="I9" i="149"/>
  <c r="I10" i="149"/>
  <c r="I11" i="149"/>
  <c r="I5" i="149"/>
  <c r="I6" i="140"/>
  <c r="I7" i="140"/>
  <c r="I8" i="140"/>
  <c r="I9" i="140"/>
  <c r="I10" i="140"/>
  <c r="I11" i="140"/>
  <c r="I12" i="140"/>
  <c r="I5" i="140"/>
  <c r="I6" i="146"/>
  <c r="I7" i="146"/>
  <c r="I8" i="146"/>
  <c r="I9" i="146"/>
  <c r="I10" i="146"/>
  <c r="I11" i="146"/>
  <c r="I12" i="146"/>
  <c r="I5" i="146"/>
  <c r="J6" i="95"/>
  <c r="J7" i="95"/>
  <c r="J8" i="95"/>
  <c r="J9" i="95"/>
  <c r="J10" i="95"/>
  <c r="J11" i="95"/>
  <c r="J12" i="95"/>
  <c r="I6" i="137"/>
  <c r="I7" i="137"/>
  <c r="I8" i="137"/>
  <c r="I9" i="137"/>
  <c r="I10" i="137"/>
  <c r="I11" i="137"/>
  <c r="I5" i="137"/>
  <c r="I6" i="134"/>
  <c r="I7" i="134"/>
  <c r="I8" i="134"/>
  <c r="I9" i="134"/>
  <c r="I10" i="134"/>
  <c r="I11" i="134"/>
  <c r="I12" i="134"/>
  <c r="I5" i="134"/>
  <c r="J16" i="83"/>
  <c r="J6" i="83"/>
  <c r="J7" i="83"/>
  <c r="J8" i="83"/>
  <c r="J9" i="83"/>
  <c r="J10" i="83"/>
  <c r="J11" i="83"/>
  <c r="J12" i="83"/>
  <c r="J13" i="83"/>
  <c r="J14" i="83"/>
  <c r="J15" i="83"/>
  <c r="I6" i="131"/>
  <c r="I7" i="131"/>
  <c r="I8" i="131"/>
  <c r="I9" i="131"/>
  <c r="I10" i="131"/>
  <c r="I11" i="131"/>
  <c r="I5" i="131"/>
  <c r="I6" i="128"/>
  <c r="I7" i="128"/>
  <c r="I8" i="128"/>
  <c r="I9" i="128"/>
  <c r="I10" i="128"/>
  <c r="I11" i="128"/>
  <c r="I12" i="128"/>
  <c r="I5" i="128"/>
  <c r="J6" i="72"/>
  <c r="J7" i="72"/>
  <c r="J8" i="72"/>
  <c r="J9" i="72"/>
  <c r="J10" i="72"/>
  <c r="J11" i="72"/>
  <c r="J12" i="72"/>
  <c r="J13" i="72"/>
  <c r="J14" i="72"/>
  <c r="J15" i="72"/>
  <c r="J16" i="72"/>
  <c r="J6" i="78"/>
  <c r="J7" i="78"/>
  <c r="J8" i="78"/>
  <c r="J9" i="78"/>
  <c r="J10" i="78"/>
  <c r="J11" i="78"/>
  <c r="J12" i="78"/>
  <c r="J13" i="78"/>
  <c r="J14" i="78"/>
  <c r="J6" i="92"/>
  <c r="J7" i="92"/>
  <c r="J8" i="92"/>
  <c r="J9" i="92"/>
  <c r="J10" i="92"/>
  <c r="J11" i="92"/>
  <c r="J12" i="92"/>
  <c r="J13" i="92"/>
  <c r="J14" i="92"/>
  <c r="J6" i="98"/>
  <c r="J7" i="98"/>
  <c r="J8" i="98"/>
  <c r="J9" i="98"/>
  <c r="J10" i="98"/>
  <c r="J11" i="98"/>
  <c r="J12" i="98"/>
  <c r="J13" i="98"/>
  <c r="J14" i="98"/>
  <c r="J6" i="58"/>
  <c r="J7" i="58"/>
  <c r="J8" i="58"/>
  <c r="J9" i="58"/>
  <c r="J10" i="58"/>
  <c r="J11" i="58"/>
  <c r="J12" i="58"/>
  <c r="J13" i="58"/>
  <c r="J14" i="58"/>
  <c r="J6" i="67"/>
  <c r="J7" i="67"/>
  <c r="J8" i="67"/>
  <c r="J9" i="67"/>
  <c r="J10" i="67"/>
  <c r="J11" i="67"/>
  <c r="J12" i="67"/>
  <c r="J13" i="67"/>
  <c r="J14" i="67"/>
  <c r="J5" i="78"/>
  <c r="J5" i="92"/>
  <c r="J5" i="98"/>
  <c r="J5" i="58"/>
  <c r="J5" i="67"/>
  <c r="I6" i="125"/>
  <c r="I7" i="125"/>
  <c r="I8" i="125"/>
  <c r="I9" i="125"/>
  <c r="I10" i="125"/>
  <c r="I11" i="125"/>
  <c r="I5" i="125"/>
  <c r="I6" i="122"/>
  <c r="I7" i="122"/>
  <c r="I8" i="122"/>
  <c r="I9" i="122"/>
  <c r="I10" i="122"/>
  <c r="I11" i="122"/>
  <c r="I12" i="122"/>
  <c r="I5" i="122"/>
  <c r="J6" i="56"/>
  <c r="J7" i="56"/>
  <c r="J8" i="56"/>
  <c r="J9" i="56"/>
  <c r="J10" i="56"/>
  <c r="J11" i="56"/>
  <c r="J12" i="56"/>
  <c r="J13" i="56"/>
  <c r="J14" i="56"/>
  <c r="J15" i="56"/>
  <c r="J16" i="56"/>
  <c r="J17" i="56"/>
  <c r="J18" i="56"/>
  <c r="J6" i="55"/>
  <c r="J7" i="55"/>
  <c r="J8" i="55"/>
  <c r="J9" i="55"/>
  <c r="J10" i="55"/>
  <c r="J11" i="55"/>
  <c r="J12" i="55"/>
  <c r="J13" i="55"/>
  <c r="J14" i="55"/>
  <c r="J15" i="55"/>
  <c r="J16" i="55"/>
  <c r="J6" i="50"/>
  <c r="J7" i="50"/>
  <c r="J8" i="50"/>
  <c r="J9" i="50"/>
  <c r="J10" i="50"/>
  <c r="J11" i="50"/>
  <c r="J12" i="50"/>
  <c r="J13" i="50"/>
  <c r="J14" i="50"/>
  <c r="J5" i="50"/>
  <c r="I6" i="119"/>
  <c r="I7" i="119"/>
  <c r="I8" i="119"/>
  <c r="I9" i="119"/>
  <c r="I10" i="119"/>
  <c r="I11" i="119"/>
  <c r="I5" i="119"/>
  <c r="I6" i="116"/>
  <c r="I7" i="116"/>
  <c r="I8" i="116"/>
  <c r="I9" i="116"/>
  <c r="I10" i="116"/>
  <c r="I11" i="116"/>
  <c r="I12" i="116"/>
  <c r="I5" i="116"/>
  <c r="J6" i="48"/>
  <c r="J7" i="48"/>
  <c r="J8" i="48"/>
  <c r="J9" i="48"/>
  <c r="J10" i="48"/>
  <c r="J11" i="48"/>
  <c r="J12" i="48"/>
  <c r="J13" i="48"/>
  <c r="J14" i="48"/>
  <c r="J15" i="48"/>
  <c r="J16" i="48"/>
  <c r="J17" i="48"/>
  <c r="J18" i="48"/>
  <c r="J19" i="48"/>
  <c r="J6" i="44"/>
  <c r="J7" i="44"/>
  <c r="J8" i="44"/>
  <c r="J9" i="44"/>
  <c r="J10" i="44"/>
  <c r="J11" i="44"/>
  <c r="J12" i="44"/>
  <c r="J13" i="44"/>
  <c r="J14" i="44"/>
  <c r="J15" i="44"/>
  <c r="J16" i="44"/>
  <c r="J6" i="43"/>
  <c r="J7" i="43"/>
  <c r="J8" i="43"/>
  <c r="J9" i="43"/>
  <c r="J10" i="43"/>
  <c r="J11" i="43"/>
  <c r="J12" i="43"/>
  <c r="J6" i="40"/>
  <c r="J7" i="40"/>
  <c r="J8" i="40"/>
  <c r="J9" i="40"/>
  <c r="J10" i="40"/>
  <c r="J11" i="40"/>
  <c r="J12" i="40"/>
  <c r="J13" i="40"/>
  <c r="J14" i="40"/>
  <c r="J6" i="90"/>
  <c r="J7" i="90"/>
  <c r="J8" i="90"/>
  <c r="J9" i="90"/>
  <c r="J10" i="90"/>
  <c r="J11" i="90"/>
  <c r="J12" i="90"/>
  <c r="J5" i="90"/>
  <c r="J6" i="89"/>
  <c r="J7" i="89"/>
  <c r="J8" i="89"/>
  <c r="J9" i="89"/>
  <c r="J10" i="89"/>
  <c r="J11" i="89"/>
  <c r="J12" i="89"/>
  <c r="J13" i="89"/>
  <c r="J14" i="89"/>
  <c r="J15" i="89"/>
  <c r="J16" i="89"/>
  <c r="J17" i="89"/>
  <c r="J5" i="89"/>
  <c r="J6" i="88"/>
  <c r="J7" i="88"/>
  <c r="J8" i="88"/>
  <c r="J9" i="88"/>
  <c r="J10" i="88"/>
  <c r="J11" i="88"/>
  <c r="J12" i="88"/>
  <c r="J13" i="88"/>
  <c r="J5" i="88"/>
  <c r="J5" i="40"/>
  <c r="J6" i="66"/>
  <c r="J7" i="66"/>
  <c r="J8" i="66"/>
  <c r="J9" i="66"/>
  <c r="J10" i="66"/>
  <c r="J11" i="66"/>
  <c r="J12" i="66"/>
  <c r="J13" i="66"/>
  <c r="J14" i="66"/>
  <c r="J15" i="66"/>
  <c r="J16" i="66"/>
  <c r="J17" i="66"/>
  <c r="J18" i="66"/>
  <c r="J19" i="66"/>
  <c r="J6" i="77"/>
  <c r="J7" i="77"/>
  <c r="J8" i="77"/>
  <c r="J9" i="77"/>
  <c r="J10" i="77"/>
  <c r="J11" i="77"/>
  <c r="J12" i="77"/>
  <c r="J13" i="77"/>
  <c r="J14" i="77"/>
  <c r="J15" i="77"/>
  <c r="J16" i="77"/>
  <c r="J17" i="77"/>
  <c r="J18" i="77"/>
  <c r="J19" i="77"/>
  <c r="J6" i="91"/>
  <c r="J7" i="91"/>
  <c r="J8" i="91"/>
  <c r="J9" i="91"/>
  <c r="J10" i="91"/>
  <c r="J11" i="91"/>
  <c r="J12" i="91"/>
  <c r="J13" i="91"/>
  <c r="J14" i="91"/>
  <c r="J15" i="91"/>
  <c r="J16" i="91"/>
  <c r="J17" i="91"/>
  <c r="J18" i="91"/>
  <c r="J19" i="91"/>
  <c r="J6" i="97"/>
  <c r="J7" i="97"/>
  <c r="J8" i="97"/>
  <c r="J9" i="97"/>
  <c r="J10" i="97"/>
  <c r="J11" i="97"/>
  <c r="J12" i="97"/>
  <c r="J13" i="97"/>
  <c r="J14" i="97"/>
  <c r="J15" i="97"/>
  <c r="J16" i="97"/>
  <c r="J17" i="97"/>
  <c r="J18" i="97"/>
  <c r="J19" i="97"/>
  <c r="J6" i="57"/>
  <c r="J7" i="57"/>
  <c r="J8" i="57"/>
  <c r="J9" i="57"/>
  <c r="J10" i="57"/>
  <c r="J11" i="57"/>
  <c r="J12" i="57"/>
  <c r="J13" i="57"/>
  <c r="J14" i="57"/>
  <c r="J15" i="57"/>
  <c r="J16" i="57"/>
  <c r="J17" i="57"/>
  <c r="J18" i="57"/>
  <c r="J19" i="57"/>
  <c r="J6" i="49"/>
  <c r="J7" i="49"/>
  <c r="J8" i="49"/>
  <c r="J9" i="49"/>
  <c r="J10" i="49"/>
  <c r="J11" i="49"/>
  <c r="J12" i="49"/>
  <c r="J13" i="49"/>
  <c r="J14" i="49"/>
  <c r="J15" i="49"/>
  <c r="J16" i="49"/>
  <c r="J17" i="49"/>
  <c r="J18" i="49"/>
  <c r="J19" i="49"/>
  <c r="J5" i="66"/>
  <c r="J5" i="77"/>
  <c r="J5" i="91"/>
  <c r="J5" i="97"/>
  <c r="J5" i="57"/>
  <c r="J5" i="49"/>
  <c r="I11" i="132"/>
  <c r="I12" i="132"/>
  <c r="I13" i="132"/>
  <c r="I14" i="132"/>
  <c r="I15" i="132"/>
  <c r="I11" i="150"/>
  <c r="I12" i="150"/>
  <c r="I13" i="150"/>
  <c r="I14" i="150"/>
  <c r="I15" i="150"/>
  <c r="I11" i="144"/>
  <c r="I12" i="144"/>
  <c r="I13" i="144"/>
  <c r="I14" i="144"/>
  <c r="I15" i="144"/>
  <c r="I11" i="126"/>
  <c r="I12" i="126"/>
  <c r="I13" i="126"/>
  <c r="I14" i="126"/>
  <c r="I15" i="126"/>
  <c r="I5" i="132"/>
  <c r="I6" i="132"/>
  <c r="I7" i="132"/>
  <c r="I8" i="132"/>
  <c r="I9" i="132"/>
  <c r="I5" i="150"/>
  <c r="I6" i="150"/>
  <c r="I7" i="150"/>
  <c r="I8" i="150"/>
  <c r="I9" i="150"/>
  <c r="I5" i="144"/>
  <c r="I6" i="144"/>
  <c r="I7" i="144"/>
  <c r="I8" i="144"/>
  <c r="I9" i="144"/>
  <c r="I5" i="126"/>
  <c r="I6" i="126"/>
  <c r="I7" i="126"/>
  <c r="I8" i="126"/>
  <c r="I9" i="126"/>
  <c r="I10" i="132"/>
  <c r="I10" i="150"/>
  <c r="I10" i="144"/>
  <c r="I10" i="126"/>
  <c r="I5" i="121"/>
  <c r="I5" i="127"/>
  <c r="I5" i="133"/>
  <c r="I5" i="139"/>
  <c r="I5" i="151"/>
  <c r="I5" i="145"/>
  <c r="I5" i="115"/>
  <c r="I6" i="121"/>
  <c r="I7" i="121"/>
  <c r="I8" i="121"/>
  <c r="I9" i="121"/>
  <c r="I10" i="121"/>
  <c r="I11" i="121"/>
  <c r="I12" i="121"/>
  <c r="I13" i="121"/>
  <c r="I14" i="121"/>
  <c r="I6" i="127"/>
  <c r="I7" i="127"/>
  <c r="I8" i="127"/>
  <c r="I9" i="127"/>
  <c r="I10" i="127"/>
  <c r="I11" i="127"/>
  <c r="I12" i="127"/>
  <c r="I13" i="127"/>
  <c r="I14" i="127"/>
  <c r="I6" i="133"/>
  <c r="I7" i="133"/>
  <c r="I8" i="133"/>
  <c r="I9" i="133"/>
  <c r="I10" i="133"/>
  <c r="I11" i="133"/>
  <c r="I12" i="133"/>
  <c r="I13" i="133"/>
  <c r="I14" i="133"/>
  <c r="I6" i="139"/>
  <c r="I7" i="139"/>
  <c r="I8" i="139"/>
  <c r="I9" i="139"/>
  <c r="I10" i="139"/>
  <c r="I11" i="139"/>
  <c r="I12" i="139"/>
  <c r="I13" i="139"/>
  <c r="I14" i="139"/>
  <c r="I6" i="151"/>
  <c r="I7" i="151"/>
  <c r="I8" i="151"/>
  <c r="I9" i="151"/>
  <c r="I10" i="151"/>
  <c r="I11" i="151"/>
  <c r="I12" i="151"/>
  <c r="I13" i="151"/>
  <c r="I14" i="151"/>
  <c r="I6" i="145"/>
  <c r="I7" i="145"/>
  <c r="I8" i="145"/>
  <c r="I9" i="145"/>
  <c r="I10" i="145"/>
  <c r="I11" i="145"/>
  <c r="I12" i="145"/>
  <c r="I13" i="145"/>
  <c r="I14" i="145"/>
  <c r="I6" i="115"/>
  <c r="I7" i="115"/>
  <c r="I8" i="115"/>
  <c r="I9" i="115"/>
  <c r="I10" i="115"/>
  <c r="I11" i="115"/>
  <c r="I12" i="115"/>
  <c r="I13" i="115"/>
  <c r="I14" i="115"/>
  <c r="J6" i="51"/>
  <c r="J7" i="51"/>
  <c r="J8" i="51"/>
  <c r="J9" i="51"/>
  <c r="J10" i="51"/>
  <c r="J11" i="51"/>
  <c r="J12" i="51"/>
  <c r="J13" i="51"/>
  <c r="J14" i="51"/>
  <c r="J15" i="51"/>
  <c r="J16" i="51"/>
  <c r="J5" i="51"/>
  <c r="I6" i="123"/>
  <c r="I7" i="123"/>
  <c r="I8" i="123"/>
  <c r="I9" i="123"/>
  <c r="I10" i="123"/>
  <c r="I11" i="123"/>
  <c r="I12" i="123"/>
  <c r="I6" i="129"/>
  <c r="I7" i="129"/>
  <c r="I8" i="129"/>
  <c r="I9" i="129"/>
  <c r="I10" i="129"/>
  <c r="I11" i="129"/>
  <c r="I12" i="129"/>
  <c r="I6" i="135"/>
  <c r="I7" i="135"/>
  <c r="I8" i="135"/>
  <c r="I9" i="135"/>
  <c r="I10" i="135"/>
  <c r="I11" i="135"/>
  <c r="I12" i="135"/>
  <c r="I6" i="147"/>
  <c r="I7" i="147"/>
  <c r="I8" i="147"/>
  <c r="I9" i="147"/>
  <c r="I10" i="147"/>
  <c r="I11" i="147"/>
  <c r="I12" i="147"/>
  <c r="I6" i="141"/>
  <c r="I7" i="141"/>
  <c r="I8" i="141"/>
  <c r="I9" i="141"/>
  <c r="I10" i="141"/>
  <c r="I11" i="141"/>
  <c r="I12" i="141"/>
  <c r="I6" i="117"/>
  <c r="I7" i="117"/>
  <c r="I8" i="117"/>
  <c r="I9" i="117"/>
  <c r="I10" i="117"/>
  <c r="I11" i="117"/>
  <c r="I12" i="117"/>
  <c r="I5" i="147"/>
  <c r="J6" i="76"/>
  <c r="J7" i="76"/>
  <c r="J8" i="76"/>
  <c r="J9" i="76"/>
  <c r="J10" i="76"/>
  <c r="J11" i="76"/>
  <c r="J12" i="76"/>
  <c r="J13" i="76"/>
  <c r="J14" i="76"/>
  <c r="J15" i="76"/>
  <c r="J16" i="76"/>
  <c r="J17" i="76"/>
  <c r="J18" i="76"/>
  <c r="J19" i="76"/>
  <c r="J6" i="87"/>
  <c r="J7" i="87"/>
  <c r="J8" i="87"/>
  <c r="J9" i="87"/>
  <c r="J10" i="87"/>
  <c r="J11" i="87"/>
  <c r="J12" i="87"/>
  <c r="J13" i="87"/>
  <c r="J14" i="87"/>
  <c r="J15" i="87"/>
  <c r="J16" i="87"/>
  <c r="J17" i="87"/>
  <c r="J18" i="87"/>
  <c r="J19" i="87"/>
  <c r="J6" i="96"/>
  <c r="J7" i="96"/>
  <c r="J8" i="96"/>
  <c r="J9" i="96"/>
  <c r="J10" i="96"/>
  <c r="J11" i="96"/>
  <c r="J12" i="96"/>
  <c r="J13" i="96"/>
  <c r="J14" i="96"/>
  <c r="J15" i="96"/>
  <c r="J16" i="96"/>
  <c r="J17" i="96"/>
  <c r="J18" i="96"/>
  <c r="J19" i="96"/>
  <c r="J6" i="102"/>
  <c r="J7" i="102"/>
  <c r="J8" i="102"/>
  <c r="J9" i="102"/>
  <c r="J10" i="102"/>
  <c r="J11" i="102"/>
  <c r="J12" i="102"/>
  <c r="J13" i="102"/>
  <c r="J14" i="102"/>
  <c r="J15" i="102"/>
  <c r="J16" i="102"/>
  <c r="J17" i="102"/>
  <c r="J18" i="102"/>
  <c r="J19" i="102"/>
  <c r="J6" i="65"/>
  <c r="J7" i="65"/>
  <c r="J8" i="65"/>
  <c r="J9" i="65"/>
  <c r="J10" i="65"/>
  <c r="J11" i="65"/>
  <c r="J12" i="65"/>
  <c r="J13" i="65"/>
  <c r="J14" i="65"/>
  <c r="J15" i="65"/>
  <c r="J16" i="65"/>
  <c r="J17" i="65"/>
  <c r="J18" i="65"/>
  <c r="J19" i="65"/>
  <c r="J5" i="76"/>
  <c r="J5" i="87"/>
  <c r="J5" i="96"/>
  <c r="J5" i="102"/>
  <c r="J5" i="65"/>
  <c r="J5" i="48"/>
  <c r="J6" i="75"/>
  <c r="J7" i="75"/>
  <c r="J8" i="75"/>
  <c r="J9" i="75"/>
  <c r="J10" i="75"/>
  <c r="J11" i="75"/>
  <c r="J12" i="75"/>
  <c r="J13" i="75"/>
  <c r="J14" i="75"/>
  <c r="J6" i="86"/>
  <c r="J7" i="86"/>
  <c r="J8" i="86"/>
  <c r="J9" i="86"/>
  <c r="J10" i="86"/>
  <c r="J11" i="86"/>
  <c r="J12" i="86"/>
  <c r="J13" i="86"/>
  <c r="J14" i="86"/>
  <c r="J6" i="64"/>
  <c r="J7" i="64"/>
  <c r="J8" i="64"/>
  <c r="J9" i="64"/>
  <c r="J10" i="64"/>
  <c r="J11" i="64"/>
  <c r="J12" i="64"/>
  <c r="J13" i="64"/>
  <c r="J14" i="64"/>
  <c r="J6" i="47"/>
  <c r="J7" i="47"/>
  <c r="J8" i="47"/>
  <c r="J9" i="47"/>
  <c r="J10" i="47"/>
  <c r="J11" i="47"/>
  <c r="J12" i="47"/>
  <c r="J13" i="47"/>
  <c r="J14" i="47"/>
  <c r="J5" i="75"/>
  <c r="J5" i="86"/>
  <c r="J5" i="64"/>
  <c r="J5" i="47"/>
  <c r="J6" i="74"/>
  <c r="J7" i="74"/>
  <c r="J8" i="74"/>
  <c r="J9" i="74"/>
  <c r="J10" i="74"/>
  <c r="J11" i="74"/>
  <c r="J12" i="74"/>
  <c r="J13" i="74"/>
  <c r="J14" i="74"/>
  <c r="J6" i="85"/>
  <c r="J7" i="85"/>
  <c r="J8" i="85"/>
  <c r="J9" i="85"/>
  <c r="J10" i="85"/>
  <c r="J11" i="85"/>
  <c r="J12" i="85"/>
  <c r="J13" i="85"/>
  <c r="J14" i="85"/>
  <c r="J6" i="63"/>
  <c r="J7" i="63"/>
  <c r="J8" i="63"/>
  <c r="J9" i="63"/>
  <c r="J10" i="63"/>
  <c r="J11" i="63"/>
  <c r="J12" i="63"/>
  <c r="J13" i="63"/>
  <c r="J14" i="63"/>
  <c r="J6" i="46"/>
  <c r="J7" i="46"/>
  <c r="J8" i="46"/>
  <c r="J9" i="46"/>
  <c r="J10" i="46"/>
  <c r="J11" i="46"/>
  <c r="J12" i="46"/>
  <c r="J13" i="46"/>
  <c r="J14" i="46"/>
  <c r="J6" i="73"/>
  <c r="J7" i="73"/>
  <c r="J8" i="73"/>
  <c r="J9" i="73"/>
  <c r="J10" i="73"/>
  <c r="J11" i="73"/>
  <c r="J12" i="73"/>
  <c r="J13" i="73"/>
  <c r="J14" i="73"/>
  <c r="J15" i="73"/>
  <c r="J16" i="73"/>
  <c r="J17" i="73"/>
  <c r="J18" i="73"/>
  <c r="J6" i="84"/>
  <c r="J7" i="84"/>
  <c r="J8" i="84"/>
  <c r="J9" i="84"/>
  <c r="J10" i="84"/>
  <c r="J11" i="84"/>
  <c r="J12" i="84"/>
  <c r="J13" i="84"/>
  <c r="J14" i="84"/>
  <c r="J15" i="84"/>
  <c r="J16" i="84"/>
  <c r="J17" i="84"/>
  <c r="J18" i="84"/>
  <c r="J6" i="45"/>
  <c r="J7" i="45"/>
  <c r="J8" i="45"/>
  <c r="J9" i="45"/>
  <c r="J10" i="45"/>
  <c r="J11" i="45"/>
  <c r="J12" i="45"/>
  <c r="J13" i="45"/>
  <c r="J14" i="45"/>
  <c r="J15" i="45"/>
  <c r="J16" i="45"/>
  <c r="J17" i="45"/>
  <c r="J18" i="45"/>
  <c r="J5" i="56"/>
  <c r="J5" i="73"/>
  <c r="J5" i="84"/>
  <c r="J5" i="45"/>
  <c r="J5" i="55"/>
  <c r="J5" i="72"/>
  <c r="J5" i="83"/>
  <c r="J5" i="62"/>
  <c r="J5" i="44"/>
  <c r="J6" i="54"/>
  <c r="J7" i="54"/>
  <c r="J8" i="54"/>
  <c r="J9" i="54"/>
  <c r="J10" i="54"/>
  <c r="J11" i="54"/>
  <c r="J12" i="54"/>
  <c r="J6" i="71"/>
  <c r="J7" i="71"/>
  <c r="J8" i="71"/>
  <c r="J9" i="71"/>
  <c r="J10" i="71"/>
  <c r="J11" i="71"/>
  <c r="J12" i="71"/>
  <c r="J6" i="82"/>
  <c r="J7" i="82"/>
  <c r="J8" i="82"/>
  <c r="J9" i="82"/>
  <c r="J10" i="82"/>
  <c r="J11" i="82"/>
  <c r="J12" i="82"/>
  <c r="J6" i="101"/>
  <c r="J7" i="101"/>
  <c r="J8" i="101"/>
  <c r="J9" i="101"/>
  <c r="J10" i="101"/>
  <c r="J11" i="101"/>
  <c r="J12" i="101"/>
  <c r="J6" i="61"/>
  <c r="J7" i="61"/>
  <c r="J8" i="61"/>
  <c r="J9" i="61"/>
  <c r="J10" i="61"/>
  <c r="J11" i="61"/>
  <c r="J12" i="61"/>
  <c r="J5" i="54"/>
  <c r="J5" i="71"/>
  <c r="J5" i="82"/>
  <c r="J5" i="95"/>
  <c r="J5" i="101"/>
  <c r="J5" i="61"/>
  <c r="J5" i="43"/>
  <c r="J9" i="53"/>
  <c r="J9" i="70"/>
  <c r="J9" i="81"/>
  <c r="J9" i="94"/>
  <c r="J9" i="100"/>
  <c r="J9" i="60"/>
  <c r="J9" i="42"/>
  <c r="J6" i="53"/>
  <c r="J7" i="53"/>
  <c r="J8" i="53"/>
  <c r="J10" i="53"/>
  <c r="J11" i="53"/>
  <c r="J12" i="53"/>
  <c r="J13" i="53"/>
  <c r="J14" i="53"/>
  <c r="J15" i="53"/>
  <c r="J16" i="53"/>
  <c r="J6" i="70"/>
  <c r="J7" i="70"/>
  <c r="J8" i="70"/>
  <c r="J10" i="70"/>
  <c r="J11" i="70"/>
  <c r="J12" i="70"/>
  <c r="J13" i="70"/>
  <c r="J14" i="70"/>
  <c r="J15" i="70"/>
  <c r="J16" i="70"/>
  <c r="J6" i="81"/>
  <c r="J7" i="81"/>
  <c r="J8" i="81"/>
  <c r="J10" i="81"/>
  <c r="J11" i="81"/>
  <c r="J12" i="81"/>
  <c r="J13" i="81"/>
  <c r="J14" i="81"/>
  <c r="J15" i="81"/>
  <c r="J16" i="81"/>
  <c r="J6" i="94"/>
  <c r="J7" i="94"/>
  <c r="J8" i="94"/>
  <c r="J10" i="94"/>
  <c r="J11" i="94"/>
  <c r="J12" i="94"/>
  <c r="J13" i="94"/>
  <c r="J14" i="94"/>
  <c r="J15" i="94"/>
  <c r="J16" i="94"/>
  <c r="J6" i="100"/>
  <c r="J7" i="100"/>
  <c r="J8" i="100"/>
  <c r="J10" i="100"/>
  <c r="J11" i="100"/>
  <c r="J12" i="100"/>
  <c r="J13" i="100"/>
  <c r="J14" i="100"/>
  <c r="J15" i="100"/>
  <c r="J16" i="100"/>
  <c r="J6" i="60"/>
  <c r="J7" i="60"/>
  <c r="J8" i="60"/>
  <c r="J10" i="60"/>
  <c r="J11" i="60"/>
  <c r="J12" i="60"/>
  <c r="J13" i="60"/>
  <c r="J14" i="60"/>
  <c r="J15" i="60"/>
  <c r="J16" i="60"/>
  <c r="J6" i="42"/>
  <c r="J7" i="42"/>
  <c r="J8" i="42"/>
  <c r="J10" i="42"/>
  <c r="J11" i="42"/>
  <c r="J12" i="42"/>
  <c r="J13" i="42"/>
  <c r="J14" i="42"/>
  <c r="J15" i="42"/>
  <c r="J16" i="42"/>
  <c r="J5" i="53"/>
  <c r="J5" i="70"/>
  <c r="J5" i="81"/>
  <c r="J5" i="94"/>
  <c r="J5" i="100"/>
  <c r="J5" i="60"/>
  <c r="J5" i="42"/>
  <c r="J16" i="52"/>
  <c r="J16" i="69"/>
  <c r="J16" i="80"/>
  <c r="J16" i="93"/>
  <c r="J16" i="99"/>
  <c r="J16" i="59"/>
  <c r="J16" i="41"/>
  <c r="J6" i="52"/>
  <c r="J7" i="52"/>
  <c r="J8" i="52"/>
  <c r="J9" i="52"/>
  <c r="J10" i="52"/>
  <c r="J11" i="52"/>
  <c r="J12" i="52"/>
  <c r="J13" i="52"/>
  <c r="J14" i="52"/>
  <c r="J15" i="52"/>
  <c r="J6" i="69"/>
  <c r="J7" i="69"/>
  <c r="J8" i="69"/>
  <c r="J9" i="69"/>
  <c r="J10" i="69"/>
  <c r="J11" i="69"/>
  <c r="J12" i="69"/>
  <c r="J13" i="69"/>
  <c r="J14" i="69"/>
  <c r="J15" i="69"/>
  <c r="J6" i="80"/>
  <c r="J7" i="80"/>
  <c r="J8" i="80"/>
  <c r="J9" i="80"/>
  <c r="J10" i="80"/>
  <c r="J11" i="80"/>
  <c r="J12" i="80"/>
  <c r="J13" i="80"/>
  <c r="J14" i="80"/>
  <c r="J15" i="80"/>
  <c r="J6" i="93"/>
  <c r="J7" i="93"/>
  <c r="J8" i="93"/>
  <c r="J9" i="93"/>
  <c r="J10" i="93"/>
  <c r="J11" i="93"/>
  <c r="J12" i="93"/>
  <c r="J13" i="93"/>
  <c r="J14" i="93"/>
  <c r="J15" i="93"/>
  <c r="J6" i="99"/>
  <c r="J7" i="99"/>
  <c r="J8" i="99"/>
  <c r="J9" i="99"/>
  <c r="J10" i="99"/>
  <c r="J11" i="99"/>
  <c r="J12" i="99"/>
  <c r="J13" i="99"/>
  <c r="J14" i="99"/>
  <c r="J15" i="99"/>
  <c r="J6" i="59"/>
  <c r="J7" i="59"/>
  <c r="J8" i="59"/>
  <c r="J9" i="59"/>
  <c r="J10" i="59"/>
  <c r="J11" i="59"/>
  <c r="J12" i="59"/>
  <c r="J13" i="59"/>
  <c r="J14" i="59"/>
  <c r="J15" i="59"/>
  <c r="J6" i="41"/>
  <c r="J7" i="41"/>
  <c r="J8" i="41"/>
  <c r="J9" i="41"/>
  <c r="J10" i="41"/>
  <c r="J11" i="41"/>
  <c r="J12" i="41"/>
  <c r="J13" i="41"/>
  <c r="J14" i="41"/>
  <c r="J15" i="41"/>
  <c r="J5" i="52"/>
  <c r="J5" i="69"/>
  <c r="J5" i="80"/>
  <c r="J5" i="93"/>
  <c r="J5" i="99"/>
  <c r="J5" i="59"/>
  <c r="J5" i="41"/>
  <c r="J11" i="104"/>
  <c r="J11" i="105"/>
  <c r="J11" i="106"/>
  <c r="J11" i="107"/>
  <c r="J11" i="108"/>
  <c r="J11" i="109"/>
  <c r="J11" i="103"/>
  <c r="J6" i="104"/>
  <c r="J7" i="104"/>
  <c r="J8" i="104"/>
  <c r="J9" i="104"/>
  <c r="J10" i="104"/>
  <c r="J12" i="104"/>
  <c r="J13" i="104"/>
  <c r="J6" i="105"/>
  <c r="J7" i="105"/>
  <c r="J8" i="105"/>
  <c r="J9" i="105"/>
  <c r="J10" i="105"/>
  <c r="J12" i="105"/>
  <c r="J13" i="105"/>
  <c r="J6" i="106"/>
  <c r="J7" i="106"/>
  <c r="J8" i="106"/>
  <c r="J9" i="106"/>
  <c r="J10" i="106"/>
  <c r="J12" i="106"/>
  <c r="J13" i="106"/>
  <c r="J6" i="107"/>
  <c r="J7" i="107"/>
  <c r="J8" i="107"/>
  <c r="J9" i="107"/>
  <c r="J10" i="107"/>
  <c r="J12" i="107"/>
  <c r="J13" i="107"/>
  <c r="J6" i="108"/>
  <c r="J7" i="108"/>
  <c r="J8" i="108"/>
  <c r="J9" i="108"/>
  <c r="J10" i="108"/>
  <c r="J12" i="108"/>
  <c r="J13" i="108"/>
  <c r="J6" i="109"/>
  <c r="J7" i="109"/>
  <c r="J8" i="109"/>
  <c r="J9" i="109"/>
  <c r="J10" i="109"/>
  <c r="J12" i="109"/>
  <c r="J13" i="109"/>
  <c r="J6" i="103"/>
  <c r="J7" i="103"/>
  <c r="J8" i="103"/>
  <c r="J9" i="103"/>
  <c r="J10" i="103"/>
  <c r="J12" i="103"/>
  <c r="J13" i="103"/>
  <c r="J5" i="104"/>
  <c r="J5" i="105"/>
  <c r="J5" i="106"/>
  <c r="J5" i="107"/>
  <c r="J5" i="108"/>
  <c r="J5" i="109"/>
  <c r="J5" i="103"/>
  <c r="I6" i="113"/>
  <c r="I7" i="113"/>
  <c r="I8" i="113"/>
  <c r="I9" i="113"/>
  <c r="I10" i="113"/>
  <c r="I11" i="113"/>
  <c r="I5" i="113"/>
  <c r="H16" i="172"/>
  <c r="J14" i="172" s="1"/>
  <c r="I14" i="172"/>
  <c r="J13" i="172"/>
  <c r="I13" i="172"/>
  <c r="I12" i="172"/>
  <c r="J11" i="172"/>
  <c r="I11" i="172"/>
  <c r="I10" i="172"/>
  <c r="J9" i="172"/>
  <c r="I9" i="172"/>
  <c r="I8" i="172"/>
  <c r="J7" i="172"/>
  <c r="I7" i="172"/>
  <c r="I6" i="172"/>
  <c r="J5" i="172"/>
  <c r="I5" i="172"/>
  <c r="I4" i="172"/>
  <c r="J3" i="172"/>
  <c r="I3" i="172"/>
  <c r="I15" i="172" s="1"/>
  <c r="I12" i="110"/>
  <c r="I11" i="110"/>
  <c r="I10" i="110"/>
  <c r="I9" i="110"/>
  <c r="I8" i="110"/>
  <c r="I7" i="110"/>
  <c r="I6" i="110"/>
  <c r="I5" i="110"/>
  <c r="H14" i="171"/>
  <c r="I12" i="171" s="1"/>
  <c r="I10" i="171"/>
  <c r="I9" i="171"/>
  <c r="I6" i="171"/>
  <c r="I5" i="171"/>
  <c r="I3" i="171"/>
  <c r="R4" i="1"/>
  <c r="R5" i="1"/>
  <c r="R6" i="1"/>
  <c r="R7" i="1"/>
  <c r="R8" i="1"/>
  <c r="R9" i="1"/>
  <c r="R10" i="1"/>
  <c r="R11" i="1"/>
  <c r="R12" i="1"/>
  <c r="R13" i="1"/>
  <c r="R14" i="1"/>
  <c r="R15" i="1"/>
  <c r="R16" i="1"/>
  <c r="R17" i="1"/>
  <c r="R18" i="1"/>
  <c r="R19" i="1"/>
  <c r="R20" i="1"/>
  <c r="R21" i="1"/>
  <c r="R22" i="1"/>
  <c r="R23" i="1"/>
  <c r="R24" i="1"/>
  <c r="R25" i="1"/>
  <c r="R26" i="1"/>
  <c r="R27"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60" i="1"/>
  <c r="R61" i="1"/>
  <c r="R62" i="1"/>
  <c r="R63" i="1"/>
  <c r="R64" i="1"/>
  <c r="R65" i="1"/>
  <c r="R66" i="1"/>
  <c r="R67" i="1"/>
  <c r="R68" i="1"/>
  <c r="R69" i="1"/>
  <c r="R70" i="1"/>
  <c r="R71" i="1"/>
  <c r="R72" i="1"/>
  <c r="R73" i="1"/>
  <c r="R74" i="1"/>
  <c r="R75" i="1"/>
  <c r="R78" i="1"/>
  <c r="R79" i="1"/>
  <c r="R80" i="1"/>
  <c r="R81" i="1"/>
  <c r="R82" i="1"/>
  <c r="R83" i="1"/>
  <c r="R84" i="1"/>
  <c r="R85" i="1"/>
  <c r="R86" i="1"/>
  <c r="R87" i="1"/>
  <c r="R88" i="1"/>
  <c r="R89" i="1"/>
  <c r="R92" i="1"/>
  <c r="R93" i="1"/>
  <c r="R94" i="1"/>
  <c r="R95" i="1"/>
  <c r="R96" i="1"/>
  <c r="R97" i="1"/>
  <c r="R98" i="1"/>
  <c r="R99" i="1"/>
  <c r="R100" i="1"/>
  <c r="R101" i="1"/>
  <c r="R102" i="1"/>
  <c r="R103" i="1"/>
  <c r="R104" i="1"/>
  <c r="R105" i="1"/>
  <c r="R106" i="1"/>
  <c r="R107" i="1"/>
  <c r="R108" i="1"/>
  <c r="R3" i="1"/>
  <c r="J18" i="1"/>
  <c r="J17" i="1"/>
  <c r="J16" i="1"/>
  <c r="J15" i="1"/>
  <c r="J14" i="1"/>
  <c r="H59" i="1" l="1"/>
  <c r="O59" i="1"/>
  <c r="P59" i="1" s="1"/>
  <c r="Q59" i="1" s="1"/>
  <c r="L59" i="1"/>
  <c r="J19" i="262"/>
  <c r="G84" i="180" s="1"/>
  <c r="H84" i="180" s="1"/>
  <c r="I14" i="235"/>
  <c r="K84" i="180"/>
  <c r="I19" i="190"/>
  <c r="I14" i="236"/>
  <c r="I14" i="251"/>
  <c r="J15" i="264"/>
  <c r="G66" i="180" s="1"/>
  <c r="I14" i="217"/>
  <c r="J14" i="251"/>
  <c r="G73" i="180" s="1"/>
  <c r="J15" i="253"/>
  <c r="G75" i="180" s="1"/>
  <c r="H91" i="1"/>
  <c r="K91" i="1"/>
  <c r="L91" i="1" s="1"/>
  <c r="I17" i="81"/>
  <c r="I17" i="72"/>
  <c r="I17" i="55"/>
  <c r="I14" i="109"/>
  <c r="I14" i="105"/>
  <c r="I13" i="61"/>
  <c r="I13" i="71"/>
  <c r="I15" i="63"/>
  <c r="I17" i="51"/>
  <c r="I20" i="87"/>
  <c r="I14" i="88"/>
  <c r="I15" i="98"/>
  <c r="I15" i="50"/>
  <c r="I14" i="108"/>
  <c r="I14" i="104"/>
  <c r="I15" i="92"/>
  <c r="I17" i="60"/>
  <c r="I17" i="70"/>
  <c r="I13" i="101"/>
  <c r="I13" i="54"/>
  <c r="I17" i="62"/>
  <c r="I19" i="84"/>
  <c r="I15" i="64"/>
  <c r="I15" i="86"/>
  <c r="I20" i="65"/>
  <c r="I20" i="91"/>
  <c r="I14" i="107"/>
  <c r="I15" i="78"/>
  <c r="I17" i="100"/>
  <c r="I17" i="53"/>
  <c r="I13" i="95"/>
  <c r="I17" i="83"/>
  <c r="I19" i="73"/>
  <c r="I15" i="85"/>
  <c r="I20" i="102"/>
  <c r="I20" i="76"/>
  <c r="I20" i="49"/>
  <c r="I20" i="77"/>
  <c r="I20" i="97"/>
  <c r="I18" i="89"/>
  <c r="I13" i="90"/>
  <c r="J15" i="175"/>
  <c r="G29" i="1" s="1"/>
  <c r="K29" i="1" s="1"/>
  <c r="L29" i="1" s="1"/>
  <c r="L30" i="1"/>
  <c r="O30" i="1"/>
  <c r="H90" i="1"/>
  <c r="K90" i="1"/>
  <c r="I17" i="80"/>
  <c r="I17" i="52"/>
  <c r="I17" i="59"/>
  <c r="I17" i="93"/>
  <c r="I17" i="69"/>
  <c r="I20" i="173"/>
  <c r="I15" i="174"/>
  <c r="I15" i="175"/>
  <c r="I15" i="176"/>
  <c r="I15" i="177"/>
  <c r="J15" i="178"/>
  <c r="G76" i="1" s="1"/>
  <c r="J15" i="179"/>
  <c r="G77" i="1" s="1"/>
  <c r="K77" i="1" s="1"/>
  <c r="O77" i="1" s="1"/>
  <c r="P77" i="1" s="1"/>
  <c r="Q77" i="1" s="1"/>
  <c r="I17" i="99"/>
  <c r="O91" i="1"/>
  <c r="P91" i="1" s="1"/>
  <c r="Q91" i="1" s="1"/>
  <c r="I14" i="103"/>
  <c r="I15" i="46"/>
  <c r="I13" i="43"/>
  <c r="I17" i="44"/>
  <c r="I19" i="45"/>
  <c r="I17" i="42"/>
  <c r="I20" i="48"/>
  <c r="I15" i="40"/>
  <c r="I15" i="47"/>
  <c r="I17" i="41"/>
  <c r="I13" i="200"/>
  <c r="G17" i="180" s="1"/>
  <c r="H17" i="180" s="1"/>
  <c r="I15" i="213"/>
  <c r="G33" i="180" s="1"/>
  <c r="K33" i="180" s="1"/>
  <c r="P33" i="180" s="1"/>
  <c r="Q33" i="180" s="1"/>
  <c r="I13" i="247"/>
  <c r="G69" i="180" s="1"/>
  <c r="I13" i="248"/>
  <c r="G70" i="180" s="1"/>
  <c r="I19" i="249"/>
  <c r="I12" i="250"/>
  <c r="I15" i="263"/>
  <c r="G85" i="180" s="1"/>
  <c r="H69" i="180"/>
  <c r="K69" i="180"/>
  <c r="P69" i="180" s="1"/>
  <c r="Q69" i="180" s="1"/>
  <c r="H19" i="170"/>
  <c r="H13" i="214"/>
  <c r="H13" i="215"/>
  <c r="H12" i="216"/>
  <c r="H15" i="230"/>
  <c r="I13" i="232"/>
  <c r="G52" i="180" s="1"/>
  <c r="I19" i="233"/>
  <c r="G53" i="180" s="1"/>
  <c r="I12" i="234"/>
  <c r="G54" i="180" s="1"/>
  <c r="K54" i="180" s="1"/>
  <c r="P54" i="180" s="1"/>
  <c r="Q54" i="180" s="1"/>
  <c r="K17" i="180"/>
  <c r="L17" i="180" s="1"/>
  <c r="I13" i="214"/>
  <c r="G34" i="180" s="1"/>
  <c r="I13" i="215"/>
  <c r="G35" i="180" s="1"/>
  <c r="H35" i="180" s="1"/>
  <c r="I15" i="230"/>
  <c r="G50" i="180" s="1"/>
  <c r="H15" i="246"/>
  <c r="H13" i="247"/>
  <c r="H13" i="248"/>
  <c r="H19" i="249"/>
  <c r="H12" i="250"/>
  <c r="H15" i="263"/>
  <c r="H15" i="121"/>
  <c r="H16" i="144"/>
  <c r="H13" i="146"/>
  <c r="H12" i="137"/>
  <c r="H15" i="145"/>
  <c r="H16" i="150"/>
  <c r="H13" i="134"/>
  <c r="H13" i="140"/>
  <c r="H13" i="122"/>
  <c r="H13" i="116"/>
  <c r="H15" i="127"/>
  <c r="H15" i="139"/>
  <c r="H15" i="115"/>
  <c r="H13" i="141"/>
  <c r="H13" i="110"/>
  <c r="H13" i="128"/>
  <c r="H12" i="113"/>
  <c r="H12" i="131"/>
  <c r="H13" i="135"/>
  <c r="H16" i="132"/>
  <c r="H13" i="147"/>
  <c r="H15" i="151"/>
  <c r="H12" i="143"/>
  <c r="H12" i="125"/>
  <c r="H13" i="129"/>
  <c r="H16" i="126"/>
  <c r="J14" i="257"/>
  <c r="G79" i="180" s="1"/>
  <c r="G72" i="180"/>
  <c r="K72" i="180" s="1"/>
  <c r="P72" i="180" s="1"/>
  <c r="Q72" i="180" s="1"/>
  <c r="G71" i="180"/>
  <c r="I15" i="246"/>
  <c r="G68" i="180" s="1"/>
  <c r="J14" i="235"/>
  <c r="G55" i="180" s="1"/>
  <c r="H55" i="180" s="1"/>
  <c r="I13" i="231"/>
  <c r="G51" i="180" s="1"/>
  <c r="H51" i="180" s="1"/>
  <c r="J14" i="217"/>
  <c r="G38" i="180" s="1"/>
  <c r="I12" i="216"/>
  <c r="G37" i="180" s="1"/>
  <c r="J16" i="205"/>
  <c r="G24" i="180" s="1"/>
  <c r="J14" i="186"/>
  <c r="G21" i="180" s="1"/>
  <c r="J14" i="203"/>
  <c r="G20" i="180" s="1"/>
  <c r="I12" i="202"/>
  <c r="G19" i="180" s="1"/>
  <c r="I13" i="201"/>
  <c r="G18" i="180" s="1"/>
  <c r="H18" i="180" s="1"/>
  <c r="J14" i="191"/>
  <c r="G10" i="180" s="1"/>
  <c r="H10" i="180" s="1"/>
  <c r="I15" i="185"/>
  <c r="J15" i="185"/>
  <c r="G48" i="180" s="1"/>
  <c r="I18" i="193"/>
  <c r="J18" i="193"/>
  <c r="G28" i="180" s="1"/>
  <c r="J14" i="237"/>
  <c r="G58" i="180" s="1"/>
  <c r="I14" i="220"/>
  <c r="I14" i="188"/>
  <c r="J14" i="188"/>
  <c r="G23" i="180" s="1"/>
  <c r="I14" i="254"/>
  <c r="J14" i="220"/>
  <c r="G41" i="180" s="1"/>
  <c r="I14" i="237"/>
  <c r="J14" i="254"/>
  <c r="G76" i="180" s="1"/>
  <c r="J14" i="252"/>
  <c r="G74" i="180" s="1"/>
  <c r="H74" i="180" s="1"/>
  <c r="J14" i="218"/>
  <c r="G39" i="180" s="1"/>
  <c r="J14" i="236"/>
  <c r="G56" i="180" s="1"/>
  <c r="H56" i="180" s="1"/>
  <c r="I14" i="218"/>
  <c r="I14" i="252"/>
  <c r="I14" i="186"/>
  <c r="J18" i="211"/>
  <c r="G31" i="180" s="1"/>
  <c r="I18" i="211"/>
  <c r="J18" i="228"/>
  <c r="G47" i="180" s="1"/>
  <c r="I18" i="244"/>
  <c r="I18" i="228"/>
  <c r="J18" i="244"/>
  <c r="G65" i="180" s="1"/>
  <c r="H65" i="180" s="1"/>
  <c r="I18" i="261"/>
  <c r="J18" i="261"/>
  <c r="G83" i="180" s="1"/>
  <c r="I19" i="229"/>
  <c r="I19" i="245"/>
  <c r="I19" i="197"/>
  <c r="I19" i="212"/>
  <c r="J19" i="229"/>
  <c r="G49" i="180" s="1"/>
  <c r="J19" i="245"/>
  <c r="G67" i="180" s="1"/>
  <c r="J19" i="197"/>
  <c r="G15" i="180" s="1"/>
  <c r="J19" i="212"/>
  <c r="G32" i="180" s="1"/>
  <c r="I19" i="262"/>
  <c r="J18" i="196"/>
  <c r="G14" i="180" s="1"/>
  <c r="I17" i="260"/>
  <c r="J17" i="210"/>
  <c r="G30" i="180" s="1"/>
  <c r="I17" i="210"/>
  <c r="J17" i="260"/>
  <c r="G82" i="180" s="1"/>
  <c r="H82" i="180" s="1"/>
  <c r="I17" i="227"/>
  <c r="I17" i="243"/>
  <c r="J17" i="227"/>
  <c r="G46" i="180" s="1"/>
  <c r="J17" i="243"/>
  <c r="G64" i="180" s="1"/>
  <c r="H64" i="180" s="1"/>
  <c r="J17" i="195"/>
  <c r="G13" i="180" s="1"/>
  <c r="J16" i="209"/>
  <c r="G29" i="180" s="1"/>
  <c r="H29" i="180" s="1"/>
  <c r="I16" i="209"/>
  <c r="I16" i="226"/>
  <c r="J16" i="226"/>
  <c r="G63" i="180" s="1"/>
  <c r="I16" i="194"/>
  <c r="I16" i="259"/>
  <c r="J16" i="194"/>
  <c r="G12" i="180" s="1"/>
  <c r="H12" i="180" s="1"/>
  <c r="J16" i="259"/>
  <c r="G81" i="180" s="1"/>
  <c r="I17" i="208"/>
  <c r="I17" i="224"/>
  <c r="J17" i="242"/>
  <c r="G62" i="180" s="1"/>
  <c r="I17" i="192"/>
  <c r="J17" i="192"/>
  <c r="G11" i="180" s="1"/>
  <c r="J17" i="208"/>
  <c r="G27" i="180" s="1"/>
  <c r="J17" i="224"/>
  <c r="G45" i="180" s="1"/>
  <c r="I17" i="258"/>
  <c r="I17" i="242"/>
  <c r="J17" i="258"/>
  <c r="G80" i="180" s="1"/>
  <c r="J14" i="207"/>
  <c r="G26" i="180" s="1"/>
  <c r="H26" i="180" s="1"/>
  <c r="I14" i="223"/>
  <c r="J14" i="241"/>
  <c r="G61" i="180" s="1"/>
  <c r="I14" i="191"/>
  <c r="I14" i="207"/>
  <c r="J14" i="223"/>
  <c r="G44" i="180" s="1"/>
  <c r="H44" i="180" s="1"/>
  <c r="I14" i="241"/>
  <c r="I14" i="257"/>
  <c r="I19" i="222"/>
  <c r="J19" i="206"/>
  <c r="G25" i="180" s="1"/>
  <c r="I19" i="240"/>
  <c r="J19" i="190"/>
  <c r="G9" i="180" s="1"/>
  <c r="J19" i="222"/>
  <c r="G43" i="180" s="1"/>
  <c r="J19" i="240"/>
  <c r="G60" i="180" s="1"/>
  <c r="I19" i="256"/>
  <c r="I19" i="206"/>
  <c r="J19" i="256"/>
  <c r="G78" i="180" s="1"/>
  <c r="J16" i="221"/>
  <c r="G42" i="180" s="1"/>
  <c r="I16" i="189"/>
  <c r="I16" i="255"/>
  <c r="J16" i="255"/>
  <c r="G77" i="180" s="1"/>
  <c r="J16" i="189"/>
  <c r="G8" i="180" s="1"/>
  <c r="I16" i="221"/>
  <c r="I16" i="239"/>
  <c r="I16" i="205"/>
  <c r="J16" i="239"/>
  <c r="G59" i="180" s="1"/>
  <c r="I15" i="204"/>
  <c r="J15" i="219"/>
  <c r="G40" i="180" s="1"/>
  <c r="J15" i="204"/>
  <c r="G22" i="180" s="1"/>
  <c r="I15" i="238"/>
  <c r="I15" i="219"/>
  <c r="J15" i="238"/>
  <c r="G57" i="180" s="1"/>
  <c r="I15" i="253"/>
  <c r="J15" i="187"/>
  <c r="G7" i="180" s="1"/>
  <c r="H15" i="199"/>
  <c r="I15" i="199"/>
  <c r="G16" i="180" s="1"/>
  <c r="I15" i="187"/>
  <c r="J14" i="183"/>
  <c r="G6" i="180" s="1"/>
  <c r="I12" i="182"/>
  <c r="G5" i="180" s="1"/>
  <c r="I13" i="184"/>
  <c r="G4" i="180" s="1"/>
  <c r="H4" i="180" s="1"/>
  <c r="I13" i="181"/>
  <c r="G3" i="180" s="1"/>
  <c r="L33" i="180"/>
  <c r="L54" i="180"/>
  <c r="L72" i="180"/>
  <c r="K74" i="180"/>
  <c r="O74" i="180" s="1"/>
  <c r="P17" i="180"/>
  <c r="Q17" i="180" s="1"/>
  <c r="K58" i="180"/>
  <c r="O58" i="180" s="1"/>
  <c r="H58" i="180"/>
  <c r="K12" i="180"/>
  <c r="O12" i="180" s="1"/>
  <c r="K20" i="180"/>
  <c r="O20" i="180" s="1"/>
  <c r="H20" i="180"/>
  <c r="K29" i="180"/>
  <c r="O29" i="180" s="1"/>
  <c r="K38" i="180"/>
  <c r="O38" i="180" s="1"/>
  <c r="H38" i="180"/>
  <c r="K26" i="180"/>
  <c r="O26" i="180" s="1"/>
  <c r="H33" i="180"/>
  <c r="K35" i="180"/>
  <c r="K44" i="180"/>
  <c r="O44" i="180" s="1"/>
  <c r="K51" i="180"/>
  <c r="H54" i="180"/>
  <c r="L69" i="180"/>
  <c r="H72" i="180"/>
  <c r="K28" i="1"/>
  <c r="O28" i="1" s="1"/>
  <c r="H30" i="1"/>
  <c r="P30" i="1"/>
  <c r="Q30" i="1" s="1"/>
  <c r="J17" i="42"/>
  <c r="J4" i="172"/>
  <c r="J6" i="172"/>
  <c r="J8" i="172"/>
  <c r="J10" i="172"/>
  <c r="J12" i="172"/>
  <c r="J3" i="171"/>
  <c r="J14" i="171" s="1"/>
  <c r="I7" i="171"/>
  <c r="I11" i="171"/>
  <c r="I4" i="171"/>
  <c r="I13" i="171" s="1"/>
  <c r="I8" i="171"/>
  <c r="I19" i="170"/>
  <c r="G36" i="180" s="1"/>
  <c r="H77" i="1" l="1"/>
  <c r="L77" i="1"/>
  <c r="K10" i="180"/>
  <c r="O10" i="180" s="1"/>
  <c r="K65" i="180"/>
  <c r="O65" i="180" s="1"/>
  <c r="K82" i="180"/>
  <c r="O82" i="180" s="1"/>
  <c r="K64" i="180"/>
  <c r="O64" i="180" s="1"/>
  <c r="H6" i="180"/>
  <c r="K6" i="180"/>
  <c r="H27" i="180"/>
  <c r="K27" i="180"/>
  <c r="H46" i="180"/>
  <c r="K46" i="180"/>
  <c r="H31" i="180"/>
  <c r="K31" i="180"/>
  <c r="H24" i="180"/>
  <c r="K24" i="180"/>
  <c r="H79" i="180"/>
  <c r="K79" i="180"/>
  <c r="H75" i="180"/>
  <c r="K75" i="180"/>
  <c r="K55" i="180"/>
  <c r="O55" i="180" s="1"/>
  <c r="H61" i="180"/>
  <c r="K61" i="180"/>
  <c r="H11" i="180"/>
  <c r="K11" i="180"/>
  <c r="H30" i="180"/>
  <c r="K30" i="180"/>
  <c r="H32" i="180"/>
  <c r="K32" i="180"/>
  <c r="H83" i="180"/>
  <c r="K83" i="180"/>
  <c r="H39" i="180"/>
  <c r="K39" i="180"/>
  <c r="H41" i="180"/>
  <c r="K41" i="180"/>
  <c r="H48" i="180"/>
  <c r="K48" i="180"/>
  <c r="H73" i="180"/>
  <c r="K73" i="180"/>
  <c r="H40" i="180"/>
  <c r="K40" i="180"/>
  <c r="K56" i="180"/>
  <c r="O56" i="180" s="1"/>
  <c r="H7" i="180"/>
  <c r="K7" i="180"/>
  <c r="H59" i="180"/>
  <c r="K59" i="180"/>
  <c r="H8" i="180"/>
  <c r="K8" i="180"/>
  <c r="H42" i="180"/>
  <c r="K42" i="180"/>
  <c r="H60" i="180"/>
  <c r="K60" i="180"/>
  <c r="H25" i="180"/>
  <c r="K25" i="180"/>
  <c r="H81" i="180"/>
  <c r="K81" i="180"/>
  <c r="H63" i="180"/>
  <c r="K63" i="180"/>
  <c r="H13" i="180"/>
  <c r="K13" i="180"/>
  <c r="H15" i="180"/>
  <c r="K15" i="180"/>
  <c r="H47" i="180"/>
  <c r="K47" i="180"/>
  <c r="H57" i="180"/>
  <c r="K57" i="180"/>
  <c r="H9" i="180"/>
  <c r="K9" i="180"/>
  <c r="H80" i="180"/>
  <c r="K80" i="180"/>
  <c r="H49" i="180"/>
  <c r="K49" i="180"/>
  <c r="H22" i="180"/>
  <c r="K22" i="180"/>
  <c r="H77" i="180"/>
  <c r="K77" i="180"/>
  <c r="H78" i="180"/>
  <c r="K78" i="180"/>
  <c r="H43" i="180"/>
  <c r="K43" i="180"/>
  <c r="H45" i="180"/>
  <c r="K45" i="180"/>
  <c r="H62" i="180"/>
  <c r="K62" i="180"/>
  <c r="H14" i="180"/>
  <c r="K14" i="180"/>
  <c r="H67" i="180"/>
  <c r="K67" i="180"/>
  <c r="H76" i="180"/>
  <c r="K76" i="180"/>
  <c r="H23" i="180"/>
  <c r="K23" i="180"/>
  <c r="H28" i="180"/>
  <c r="K28" i="180"/>
  <c r="H21" i="180"/>
  <c r="K21" i="180"/>
  <c r="H66" i="180"/>
  <c r="K66" i="180"/>
  <c r="L84" i="180"/>
  <c r="O84" i="180"/>
  <c r="P84" i="180" s="1"/>
  <c r="Q84" i="180" s="1"/>
  <c r="H29" i="1"/>
  <c r="O29" i="1"/>
  <c r="P29" i="1" s="1"/>
  <c r="Q29" i="1" s="1"/>
  <c r="L90" i="1"/>
  <c r="O90" i="1"/>
  <c r="P90" i="1" s="1"/>
  <c r="Q90" i="1" s="1"/>
  <c r="H76" i="1"/>
  <c r="K76" i="1"/>
  <c r="H70" i="180"/>
  <c r="K70" i="180"/>
  <c r="H85" i="180"/>
  <c r="K85" i="180"/>
  <c r="H52" i="180"/>
  <c r="K52" i="180"/>
  <c r="K18" i="180"/>
  <c r="L18" i="180" s="1"/>
  <c r="H19" i="180"/>
  <c r="K19" i="180"/>
  <c r="H68" i="180"/>
  <c r="K68" i="180"/>
  <c r="H36" i="180"/>
  <c r="K36" i="180"/>
  <c r="K4" i="180"/>
  <c r="H5" i="180"/>
  <c r="K5" i="180"/>
  <c r="H71" i="180"/>
  <c r="K71" i="180"/>
  <c r="H50" i="180"/>
  <c r="K50" i="180"/>
  <c r="H3" i="180"/>
  <c r="K3" i="180"/>
  <c r="H34" i="180"/>
  <c r="K34" i="180"/>
  <c r="H16" i="180"/>
  <c r="K16" i="180"/>
  <c r="H37" i="180"/>
  <c r="K37" i="180"/>
  <c r="H53" i="180"/>
  <c r="K53" i="180"/>
  <c r="P44" i="180"/>
  <c r="Q44" i="180" s="1"/>
  <c r="L44" i="180"/>
  <c r="P10" i="180"/>
  <c r="Q10" i="180" s="1"/>
  <c r="L10" i="180"/>
  <c r="P51" i="180"/>
  <c r="Q51" i="180" s="1"/>
  <c r="L51" i="180"/>
  <c r="P18" i="180"/>
  <c r="Q18" i="180" s="1"/>
  <c r="P55" i="180"/>
  <c r="Q55" i="180" s="1"/>
  <c r="L55" i="180"/>
  <c r="P64" i="180"/>
  <c r="Q64" i="180" s="1"/>
  <c r="P35" i="180"/>
  <c r="Q35" i="180" s="1"/>
  <c r="L35" i="180"/>
  <c r="P74" i="180"/>
  <c r="Q74" i="180" s="1"/>
  <c r="L74" i="180"/>
  <c r="L38" i="180"/>
  <c r="P38" i="180"/>
  <c r="Q38" i="180" s="1"/>
  <c r="L20" i="180"/>
  <c r="P20" i="180"/>
  <c r="Q20" i="180" s="1"/>
  <c r="L4" i="180"/>
  <c r="P4" i="180"/>
  <c r="Q4" i="180" s="1"/>
  <c r="L58" i="180"/>
  <c r="P58" i="180"/>
  <c r="Q58" i="180" s="1"/>
  <c r="P65" i="180"/>
  <c r="Q65" i="180" s="1"/>
  <c r="L65" i="180"/>
  <c r="P26" i="180"/>
  <c r="Q26" i="180" s="1"/>
  <c r="L26" i="180"/>
  <c r="P82" i="180"/>
  <c r="Q82" i="180" s="1"/>
  <c r="L82" i="180"/>
  <c r="P56" i="180"/>
  <c r="Q56" i="180" s="1"/>
  <c r="L29" i="180"/>
  <c r="P29" i="180"/>
  <c r="Q29" i="180" s="1"/>
  <c r="L12" i="180"/>
  <c r="P12" i="180"/>
  <c r="Q12" i="180" s="1"/>
  <c r="P28" i="1"/>
  <c r="Q28" i="1" s="1"/>
  <c r="L28" i="1"/>
  <c r="I15" i="145"/>
  <c r="J17" i="59"/>
  <c r="I15" i="139"/>
  <c r="J17" i="81"/>
  <c r="J13" i="71"/>
  <c r="I12" i="125"/>
  <c r="I13" i="123"/>
  <c r="J20" i="65"/>
  <c r="I12" i="149"/>
  <c r="J15" i="85"/>
  <c r="L64" i="180" l="1"/>
  <c r="L66" i="180"/>
  <c r="O66" i="180"/>
  <c r="P66" i="180" s="1"/>
  <c r="Q66" i="180" s="1"/>
  <c r="L14" i="180"/>
  <c r="O14" i="180"/>
  <c r="P14" i="180" s="1"/>
  <c r="Q14" i="180" s="1"/>
  <c r="O80" i="180"/>
  <c r="P80" i="180" s="1"/>
  <c r="Q80" i="180" s="1"/>
  <c r="L80" i="180"/>
  <c r="L63" i="180"/>
  <c r="O63" i="180"/>
  <c r="P63" i="180" s="1"/>
  <c r="Q63" i="180" s="1"/>
  <c r="L79" i="180"/>
  <c r="O79" i="180"/>
  <c r="P79" i="180" s="1"/>
  <c r="Q79" i="180" s="1"/>
  <c r="L31" i="180"/>
  <c r="O31" i="180"/>
  <c r="P31" i="180" s="1"/>
  <c r="Q31" i="180" s="1"/>
  <c r="O27" i="180"/>
  <c r="P27" i="180" s="1"/>
  <c r="Q27" i="180" s="1"/>
  <c r="L27" i="180"/>
  <c r="L40" i="180"/>
  <c r="O40" i="180"/>
  <c r="P40" i="180" s="1"/>
  <c r="Q40" i="180" s="1"/>
  <c r="L48" i="180"/>
  <c r="O48" i="180"/>
  <c r="P48" i="180" s="1"/>
  <c r="Q48" i="180" s="1"/>
  <c r="O39" i="180"/>
  <c r="P39" i="180" s="1"/>
  <c r="Q39" i="180" s="1"/>
  <c r="L39" i="180"/>
  <c r="L32" i="180"/>
  <c r="O32" i="180"/>
  <c r="P32" i="180" s="1"/>
  <c r="Q32" i="180" s="1"/>
  <c r="O11" i="180"/>
  <c r="P11" i="180" s="1"/>
  <c r="Q11" i="180" s="1"/>
  <c r="L11" i="180"/>
  <c r="L28" i="180"/>
  <c r="O28" i="180"/>
  <c r="P28" i="180" s="1"/>
  <c r="Q28" i="180" s="1"/>
  <c r="O45" i="180"/>
  <c r="P45" i="180" s="1"/>
  <c r="Q45" i="180" s="1"/>
  <c r="L45" i="180"/>
  <c r="L22" i="180"/>
  <c r="O22" i="180"/>
  <c r="P22" i="180" s="1"/>
  <c r="Q22" i="180" s="1"/>
  <c r="L15" i="180"/>
  <c r="O15" i="180"/>
  <c r="P15" i="180" s="1"/>
  <c r="Q15" i="180" s="1"/>
  <c r="O25" i="180"/>
  <c r="P25" i="180" s="1"/>
  <c r="Q25" i="180" s="1"/>
  <c r="L25" i="180"/>
  <c r="P42" i="180"/>
  <c r="Q42" i="180" s="1"/>
  <c r="O42" i="180"/>
  <c r="L42" i="180"/>
  <c r="O21" i="180"/>
  <c r="P21" i="180" s="1"/>
  <c r="Q21" i="180" s="1"/>
  <c r="L21" i="180"/>
  <c r="L23" i="180"/>
  <c r="O23" i="180"/>
  <c r="P23" i="180" s="1"/>
  <c r="Q23" i="180" s="1"/>
  <c r="O67" i="180"/>
  <c r="P67" i="180" s="1"/>
  <c r="Q67" i="180" s="1"/>
  <c r="L67" i="180"/>
  <c r="O62" i="180"/>
  <c r="P62" i="180" s="1"/>
  <c r="Q62" i="180" s="1"/>
  <c r="L62" i="180"/>
  <c r="O43" i="180"/>
  <c r="P43" i="180" s="1"/>
  <c r="Q43" i="180" s="1"/>
  <c r="L43" i="180"/>
  <c r="O77" i="180"/>
  <c r="P77" i="180" s="1"/>
  <c r="Q77" i="180" s="1"/>
  <c r="L77" i="180"/>
  <c r="O49" i="180"/>
  <c r="P49" i="180" s="1"/>
  <c r="Q49" i="180" s="1"/>
  <c r="L49" i="180"/>
  <c r="O9" i="180"/>
  <c r="P9" i="180" s="1"/>
  <c r="Q9" i="180" s="1"/>
  <c r="L9" i="180"/>
  <c r="L47" i="180"/>
  <c r="O47" i="180"/>
  <c r="P47" i="180" s="1"/>
  <c r="Q47" i="180" s="1"/>
  <c r="P13" i="180"/>
  <c r="Q13" i="180" s="1"/>
  <c r="O13" i="180"/>
  <c r="L13" i="180"/>
  <c r="P81" i="180"/>
  <c r="Q81" i="180" s="1"/>
  <c r="O81" i="180"/>
  <c r="L81" i="180"/>
  <c r="L60" i="180"/>
  <c r="O60" i="180"/>
  <c r="P60" i="180" s="1"/>
  <c r="Q60" i="180" s="1"/>
  <c r="P8" i="180"/>
  <c r="Q8" i="180" s="1"/>
  <c r="O8" i="180"/>
  <c r="L8" i="180"/>
  <c r="L7" i="180"/>
  <c r="O7" i="180"/>
  <c r="P7" i="180" s="1"/>
  <c r="Q7" i="180" s="1"/>
  <c r="O75" i="180"/>
  <c r="P75" i="180" s="1"/>
  <c r="Q75" i="180" s="1"/>
  <c r="L75" i="180"/>
  <c r="P24" i="180"/>
  <c r="Q24" i="180" s="1"/>
  <c r="O24" i="180"/>
  <c r="L24" i="180"/>
  <c r="L46" i="180"/>
  <c r="O46" i="180"/>
  <c r="P46" i="180" s="1"/>
  <c r="Q46" i="180" s="1"/>
  <c r="L6" i="180"/>
  <c r="O6" i="180"/>
  <c r="P6" i="180" s="1"/>
  <c r="Q6" i="180" s="1"/>
  <c r="L76" i="180"/>
  <c r="O76" i="180"/>
  <c r="P76" i="180" s="1"/>
  <c r="Q76" i="180" s="1"/>
  <c r="L78" i="180"/>
  <c r="O78" i="180"/>
  <c r="P78" i="180" s="1"/>
  <c r="Q78" i="180" s="1"/>
  <c r="O57" i="180"/>
  <c r="P57" i="180" s="1"/>
  <c r="Q57" i="180" s="1"/>
  <c r="L57" i="180"/>
  <c r="P59" i="180"/>
  <c r="Q59" i="180" s="1"/>
  <c r="O59" i="180"/>
  <c r="L59" i="180"/>
  <c r="L56" i="180"/>
  <c r="O73" i="180"/>
  <c r="P73" i="180" s="1"/>
  <c r="Q73" i="180" s="1"/>
  <c r="L73" i="180"/>
  <c r="L41" i="180"/>
  <c r="O41" i="180"/>
  <c r="P41" i="180" s="1"/>
  <c r="Q41" i="180" s="1"/>
  <c r="O83" i="180"/>
  <c r="P83" i="180" s="1"/>
  <c r="Q83" i="180" s="1"/>
  <c r="L83" i="180"/>
  <c r="O30" i="180"/>
  <c r="P30" i="180" s="1"/>
  <c r="Q30" i="180" s="1"/>
  <c r="L30" i="180"/>
  <c r="L61" i="180"/>
  <c r="O61" i="180"/>
  <c r="P61" i="180" s="1"/>
  <c r="Q61" i="180" s="1"/>
  <c r="O76" i="1"/>
  <c r="P76" i="1" s="1"/>
  <c r="Q76" i="1" s="1"/>
  <c r="L76" i="1"/>
  <c r="P85" i="180"/>
  <c r="Q85" i="180" s="1"/>
  <c r="L85" i="180"/>
  <c r="L70" i="180"/>
  <c r="P70" i="180"/>
  <c r="Q70" i="180" s="1"/>
  <c r="P37" i="180"/>
  <c r="Q37" i="180" s="1"/>
  <c r="L37" i="180"/>
  <c r="L68" i="180"/>
  <c r="P68" i="180"/>
  <c r="Q68" i="180" s="1"/>
  <c r="L53" i="180"/>
  <c r="P53" i="180"/>
  <c r="Q53" i="180" s="1"/>
  <c r="P16" i="180"/>
  <c r="Q16" i="180" s="1"/>
  <c r="L16" i="180"/>
  <c r="P3" i="180"/>
  <c r="Q3" i="180" s="1"/>
  <c r="L3" i="180"/>
  <c r="L71" i="180"/>
  <c r="P71" i="180"/>
  <c r="Q71" i="180" s="1"/>
  <c r="L52" i="180"/>
  <c r="P52" i="180"/>
  <c r="Q52" i="180" s="1"/>
  <c r="L34" i="180"/>
  <c r="P34" i="180"/>
  <c r="Q34" i="180" s="1"/>
  <c r="L50" i="180"/>
  <c r="P50" i="180"/>
  <c r="Q50" i="180" s="1"/>
  <c r="P5" i="180"/>
  <c r="Q5" i="180" s="1"/>
  <c r="L5" i="180"/>
  <c r="L36" i="180"/>
  <c r="P36" i="180"/>
  <c r="Q36" i="180" s="1"/>
  <c r="P19" i="180"/>
  <c r="Q19" i="180" s="1"/>
  <c r="L19" i="180"/>
  <c r="J17" i="53"/>
  <c r="J15" i="64"/>
  <c r="J15" i="63"/>
  <c r="J17" i="62"/>
  <c r="J13" i="61"/>
  <c r="J17" i="60"/>
  <c r="G102" i="1" s="1"/>
  <c r="H102" i="1" s="1"/>
  <c r="J15" i="58"/>
  <c r="J20" i="57"/>
  <c r="J14" i="109"/>
  <c r="I12" i="143"/>
  <c r="I13" i="140"/>
  <c r="J20" i="102"/>
  <c r="J13" i="101"/>
  <c r="J17" i="100"/>
  <c r="J17" i="99"/>
  <c r="J15" i="98"/>
  <c r="J20" i="97"/>
  <c r="J14" i="108"/>
  <c r="I13" i="146"/>
  <c r="J20" i="96"/>
  <c r="J13" i="95"/>
  <c r="J17" i="94"/>
  <c r="J17" i="93"/>
  <c r="J15" i="92"/>
  <c r="J20" i="91"/>
  <c r="J14" i="107"/>
  <c r="I13" i="134"/>
  <c r="J13" i="90"/>
  <c r="J18" i="89"/>
  <c r="J14" i="88"/>
  <c r="J20" i="87"/>
  <c r="J15" i="86"/>
  <c r="J19" i="84"/>
  <c r="J17" i="83"/>
  <c r="J13" i="82"/>
  <c r="J17" i="80"/>
  <c r="J15" i="78"/>
  <c r="J20" i="77"/>
  <c r="J14" i="106"/>
  <c r="I12" i="131"/>
  <c r="I15" i="127"/>
  <c r="J15" i="74"/>
  <c r="J19" i="73"/>
  <c r="J17" i="72"/>
  <c r="J17" i="69"/>
  <c r="J20" i="66"/>
  <c r="J14" i="105"/>
  <c r="J20" i="76"/>
  <c r="J15" i="75"/>
  <c r="J17" i="70"/>
  <c r="J15" i="67"/>
  <c r="I13" i="122"/>
  <c r="J17" i="55"/>
  <c r="J13" i="54"/>
  <c r="J17" i="51"/>
  <c r="J15" i="50"/>
  <c r="J20" i="49"/>
  <c r="J14" i="104"/>
  <c r="I12" i="119"/>
  <c r="J19" i="56"/>
  <c r="J17" i="52"/>
  <c r="I13" i="128"/>
  <c r="I13" i="116"/>
  <c r="J19" i="45"/>
  <c r="J13" i="43"/>
  <c r="J15" i="47"/>
  <c r="J20" i="48"/>
  <c r="J15" i="46"/>
  <c r="J17" i="44"/>
  <c r="J17" i="41"/>
  <c r="J15" i="40"/>
  <c r="J14" i="103"/>
  <c r="I12" i="113"/>
  <c r="I13" i="110"/>
  <c r="G3" i="1" s="1"/>
  <c r="H3" i="1" s="1"/>
  <c r="J108" i="1" l="1"/>
  <c r="N108" i="1"/>
  <c r="G108" i="1"/>
  <c r="H108" i="1" s="1"/>
  <c r="E108" i="1"/>
  <c r="F108" i="1"/>
  <c r="J93" i="1"/>
  <c r="N93" i="1"/>
  <c r="J94" i="1"/>
  <c r="N94" i="1"/>
  <c r="J95" i="1"/>
  <c r="N95" i="1"/>
  <c r="J96" i="1"/>
  <c r="N96" i="1"/>
  <c r="J97" i="1"/>
  <c r="N97" i="1"/>
  <c r="G96" i="1"/>
  <c r="H96" i="1" s="1"/>
  <c r="G94" i="1"/>
  <c r="H94" i="1" s="1"/>
  <c r="G82" i="1"/>
  <c r="H82" i="1" s="1"/>
  <c r="G80" i="1"/>
  <c r="H80" i="1" s="1"/>
  <c r="G79" i="1"/>
  <c r="H79" i="1" s="1"/>
  <c r="G67" i="1"/>
  <c r="H67" i="1" s="1"/>
  <c r="G50" i="1"/>
  <c r="H50" i="1" s="1"/>
  <c r="G48" i="1"/>
  <c r="H48" i="1" s="1"/>
  <c r="G47" i="1"/>
  <c r="H47" i="1" s="1"/>
  <c r="G34" i="1"/>
  <c r="H34" i="1" s="1"/>
  <c r="G33" i="1"/>
  <c r="H33" i="1" s="1"/>
  <c r="G32" i="1"/>
  <c r="H32" i="1" s="1"/>
  <c r="G18" i="1"/>
  <c r="H18" i="1" s="1"/>
  <c r="G16" i="1"/>
  <c r="H16" i="1" s="1"/>
  <c r="G5" i="1"/>
  <c r="H5" i="1" s="1"/>
  <c r="G4" i="1"/>
  <c r="H4" i="1" s="1"/>
  <c r="E94" i="1"/>
  <c r="F94" i="1"/>
  <c r="E95" i="1"/>
  <c r="F95" i="1"/>
  <c r="E96" i="1"/>
  <c r="F96" i="1"/>
  <c r="E97" i="1"/>
  <c r="F97" i="1"/>
  <c r="E93" i="1"/>
  <c r="F93" i="1"/>
  <c r="J79" i="1"/>
  <c r="N79" i="1"/>
  <c r="J80" i="1"/>
  <c r="N80" i="1"/>
  <c r="J81" i="1"/>
  <c r="N81" i="1"/>
  <c r="J82" i="1"/>
  <c r="N82" i="1"/>
  <c r="J83" i="1"/>
  <c r="N83" i="1"/>
  <c r="F80" i="1"/>
  <c r="F81" i="1"/>
  <c r="F82" i="1"/>
  <c r="F83" i="1"/>
  <c r="E80" i="1"/>
  <c r="E81" i="1"/>
  <c r="E82" i="1"/>
  <c r="E83" i="1"/>
  <c r="E79" i="1"/>
  <c r="F79" i="1"/>
  <c r="J66" i="1"/>
  <c r="N66" i="1"/>
  <c r="J67" i="1"/>
  <c r="N67" i="1"/>
  <c r="J68" i="1"/>
  <c r="N68" i="1"/>
  <c r="J69" i="1"/>
  <c r="N69" i="1"/>
  <c r="E67" i="1"/>
  <c r="F67" i="1"/>
  <c r="E68" i="1"/>
  <c r="F68" i="1"/>
  <c r="E69" i="1"/>
  <c r="F69" i="1"/>
  <c r="E66" i="1"/>
  <c r="F66" i="1"/>
  <c r="J47" i="1"/>
  <c r="N47" i="1"/>
  <c r="J48" i="1"/>
  <c r="N48" i="1"/>
  <c r="J49" i="1"/>
  <c r="N49" i="1"/>
  <c r="J50" i="1"/>
  <c r="N50" i="1"/>
  <c r="J51" i="1"/>
  <c r="N51" i="1"/>
  <c r="F48" i="1"/>
  <c r="F49" i="1"/>
  <c r="F50" i="1"/>
  <c r="F51" i="1"/>
  <c r="E48" i="1"/>
  <c r="E49" i="1"/>
  <c r="E50" i="1"/>
  <c r="E51" i="1"/>
  <c r="E47" i="1"/>
  <c r="F47" i="1"/>
  <c r="J31" i="1"/>
  <c r="N31" i="1"/>
  <c r="J32" i="1"/>
  <c r="N32" i="1"/>
  <c r="J33" i="1"/>
  <c r="N33" i="1"/>
  <c r="J34" i="1"/>
  <c r="N34" i="1"/>
  <c r="J35" i="1"/>
  <c r="N35" i="1"/>
  <c r="F32" i="1"/>
  <c r="F33" i="1"/>
  <c r="F34" i="1"/>
  <c r="F35" i="1"/>
  <c r="E32" i="1"/>
  <c r="E33" i="1"/>
  <c r="E34" i="1"/>
  <c r="E35" i="1"/>
  <c r="E31" i="1"/>
  <c r="F31" i="1"/>
  <c r="N15" i="1"/>
  <c r="N16" i="1"/>
  <c r="N17" i="1"/>
  <c r="N18" i="1"/>
  <c r="F16" i="1"/>
  <c r="F17" i="1"/>
  <c r="F18" i="1"/>
  <c r="E16" i="1"/>
  <c r="E17" i="1"/>
  <c r="E18" i="1"/>
  <c r="E15" i="1"/>
  <c r="F15" i="1"/>
  <c r="E3" i="1"/>
  <c r="F3" i="1"/>
  <c r="E4" i="1"/>
  <c r="F4" i="1"/>
  <c r="J3" i="1"/>
  <c r="K3" i="1"/>
  <c r="N3" i="1"/>
  <c r="J4" i="1"/>
  <c r="N4" i="1"/>
  <c r="J98" i="1"/>
  <c r="N98" i="1"/>
  <c r="G98" i="1"/>
  <c r="H98" i="1" s="1"/>
  <c r="J84" i="1"/>
  <c r="N84" i="1"/>
  <c r="G84" i="1"/>
  <c r="H84" i="1" s="1"/>
  <c r="J70" i="1"/>
  <c r="N70" i="1"/>
  <c r="G70" i="1"/>
  <c r="H70" i="1" s="1"/>
  <c r="J52" i="1"/>
  <c r="N52" i="1"/>
  <c r="G52" i="1"/>
  <c r="H52" i="1" s="1"/>
  <c r="J19" i="1"/>
  <c r="N19" i="1"/>
  <c r="J36" i="1"/>
  <c r="N36" i="1"/>
  <c r="G36" i="1"/>
  <c r="H36" i="1" s="1"/>
  <c r="E98" i="1"/>
  <c r="F98" i="1"/>
  <c r="E84" i="1"/>
  <c r="F84" i="1"/>
  <c r="E70" i="1"/>
  <c r="F70" i="1"/>
  <c r="E52" i="1"/>
  <c r="F52" i="1"/>
  <c r="E36" i="1"/>
  <c r="F36" i="1"/>
  <c r="F6" i="1"/>
  <c r="F7" i="1"/>
  <c r="F8" i="1"/>
  <c r="F9" i="1"/>
  <c r="F10" i="1"/>
  <c r="F11" i="1"/>
  <c r="F12" i="1"/>
  <c r="F13" i="1"/>
  <c r="F14" i="1"/>
  <c r="F19" i="1"/>
  <c r="F20" i="1"/>
  <c r="F21" i="1"/>
  <c r="F22" i="1"/>
  <c r="F23" i="1"/>
  <c r="F24" i="1"/>
  <c r="F25" i="1"/>
  <c r="F26" i="1"/>
  <c r="F27" i="1"/>
  <c r="F37" i="1"/>
  <c r="F38" i="1"/>
  <c r="F39" i="1"/>
  <c r="F40" i="1"/>
  <c r="F41" i="1"/>
  <c r="F42" i="1"/>
  <c r="F43" i="1"/>
  <c r="F44" i="1"/>
  <c r="F45" i="1"/>
  <c r="F46" i="1"/>
  <c r="F53" i="1"/>
  <c r="F54" i="1"/>
  <c r="F55" i="1"/>
  <c r="F56" i="1"/>
  <c r="F57" i="1"/>
  <c r="F58" i="1"/>
  <c r="F60" i="1"/>
  <c r="F61" i="1"/>
  <c r="F62" i="1"/>
  <c r="F63" i="1"/>
  <c r="F64" i="1"/>
  <c r="F65" i="1"/>
  <c r="F71" i="1"/>
  <c r="F72" i="1"/>
  <c r="F73" i="1"/>
  <c r="F74" i="1"/>
  <c r="F75" i="1"/>
  <c r="F78" i="1"/>
  <c r="F85" i="1"/>
  <c r="F86" i="1"/>
  <c r="F87" i="1"/>
  <c r="F88" i="1"/>
  <c r="F89" i="1"/>
  <c r="F92" i="1"/>
  <c r="F99" i="1"/>
  <c r="F100" i="1"/>
  <c r="F101" i="1"/>
  <c r="F102" i="1"/>
  <c r="F103" i="1"/>
  <c r="F104" i="1"/>
  <c r="F105" i="1"/>
  <c r="F106" i="1"/>
  <c r="F107" i="1"/>
  <c r="F5" i="1"/>
  <c r="G19" i="1"/>
  <c r="H19" i="1" s="1"/>
  <c r="E19" i="1"/>
  <c r="J5" i="1"/>
  <c r="K5" i="1"/>
  <c r="N5" i="1"/>
  <c r="E5" i="1"/>
  <c r="N7" i="1"/>
  <c r="N8" i="1"/>
  <c r="N9" i="1"/>
  <c r="N10" i="1"/>
  <c r="N11" i="1"/>
  <c r="N12" i="1"/>
  <c r="N13" i="1"/>
  <c r="N14" i="1"/>
  <c r="N20" i="1"/>
  <c r="N21" i="1"/>
  <c r="N22" i="1"/>
  <c r="N23" i="1"/>
  <c r="N24" i="1"/>
  <c r="N25" i="1"/>
  <c r="N26" i="1"/>
  <c r="N27" i="1"/>
  <c r="N37" i="1"/>
  <c r="N38" i="1"/>
  <c r="N39" i="1"/>
  <c r="N40" i="1"/>
  <c r="N41" i="1"/>
  <c r="N42" i="1"/>
  <c r="N43" i="1"/>
  <c r="N44" i="1"/>
  <c r="N45" i="1"/>
  <c r="N46" i="1"/>
  <c r="N53" i="1"/>
  <c r="N54" i="1"/>
  <c r="N55" i="1"/>
  <c r="N56" i="1"/>
  <c r="N57" i="1"/>
  <c r="N58" i="1"/>
  <c r="N60" i="1"/>
  <c r="N61" i="1"/>
  <c r="N62" i="1"/>
  <c r="N63" i="1"/>
  <c r="N64" i="1"/>
  <c r="N65" i="1"/>
  <c r="N71" i="1"/>
  <c r="N72" i="1"/>
  <c r="N73" i="1"/>
  <c r="N74" i="1"/>
  <c r="N75" i="1"/>
  <c r="N78" i="1"/>
  <c r="N85" i="1"/>
  <c r="N86" i="1"/>
  <c r="N87" i="1"/>
  <c r="N88" i="1"/>
  <c r="N89" i="1"/>
  <c r="N92" i="1"/>
  <c r="N99" i="1"/>
  <c r="N100" i="1"/>
  <c r="N101" i="1"/>
  <c r="K102" i="1"/>
  <c r="N102" i="1"/>
  <c r="N103" i="1"/>
  <c r="N104" i="1"/>
  <c r="N105" i="1"/>
  <c r="N106" i="1"/>
  <c r="N107" i="1"/>
  <c r="J7" i="1"/>
  <c r="J8" i="1"/>
  <c r="J9" i="1"/>
  <c r="J10" i="1"/>
  <c r="J11" i="1"/>
  <c r="J12" i="1"/>
  <c r="J13" i="1"/>
  <c r="J20" i="1"/>
  <c r="J21" i="1"/>
  <c r="J22" i="1"/>
  <c r="J23" i="1"/>
  <c r="J24" i="1"/>
  <c r="J25" i="1"/>
  <c r="J26" i="1"/>
  <c r="J27" i="1"/>
  <c r="J37" i="1"/>
  <c r="J38" i="1"/>
  <c r="J39" i="1"/>
  <c r="J40" i="1"/>
  <c r="J41" i="1"/>
  <c r="J42" i="1"/>
  <c r="J43" i="1"/>
  <c r="J44" i="1"/>
  <c r="J45" i="1"/>
  <c r="J46" i="1"/>
  <c r="J53" i="1"/>
  <c r="J54" i="1"/>
  <c r="J55" i="1"/>
  <c r="J56" i="1"/>
  <c r="J57" i="1"/>
  <c r="J58" i="1"/>
  <c r="J60" i="1"/>
  <c r="J61" i="1"/>
  <c r="J62" i="1"/>
  <c r="J63" i="1"/>
  <c r="J64" i="1"/>
  <c r="J65" i="1"/>
  <c r="J71" i="1"/>
  <c r="J72" i="1"/>
  <c r="J73" i="1"/>
  <c r="J74" i="1"/>
  <c r="J75" i="1"/>
  <c r="J78" i="1"/>
  <c r="J85" i="1"/>
  <c r="J86" i="1"/>
  <c r="J87" i="1"/>
  <c r="J88" i="1"/>
  <c r="J89" i="1"/>
  <c r="J92" i="1"/>
  <c r="J99" i="1"/>
  <c r="J100" i="1"/>
  <c r="J101" i="1"/>
  <c r="J102" i="1"/>
  <c r="J103" i="1"/>
  <c r="J104" i="1"/>
  <c r="J105" i="1"/>
  <c r="J106" i="1"/>
  <c r="J107" i="1"/>
  <c r="G92" i="1"/>
  <c r="H92" i="1" s="1"/>
  <c r="G89" i="1"/>
  <c r="H89" i="1" s="1"/>
  <c r="G88" i="1"/>
  <c r="H88" i="1" s="1"/>
  <c r="G87" i="1"/>
  <c r="H87" i="1" s="1"/>
  <c r="G86" i="1"/>
  <c r="H86" i="1" s="1"/>
  <c r="G85" i="1"/>
  <c r="H85" i="1" s="1"/>
  <c r="G78" i="1"/>
  <c r="H78" i="1" s="1"/>
  <c r="G75" i="1"/>
  <c r="H75" i="1" s="1"/>
  <c r="G74" i="1"/>
  <c r="H74" i="1" s="1"/>
  <c r="G73" i="1"/>
  <c r="H73" i="1" s="1"/>
  <c r="G72" i="1"/>
  <c r="H72" i="1" s="1"/>
  <c r="G71" i="1"/>
  <c r="H71" i="1" s="1"/>
  <c r="E92" i="1"/>
  <c r="E85" i="1"/>
  <c r="E86" i="1"/>
  <c r="E87" i="1"/>
  <c r="E88" i="1"/>
  <c r="E89" i="1"/>
  <c r="E78" i="1"/>
  <c r="E75" i="1"/>
  <c r="E74" i="1"/>
  <c r="E73" i="1"/>
  <c r="E72" i="1"/>
  <c r="E71" i="1"/>
  <c r="G65" i="1"/>
  <c r="H65" i="1" s="1"/>
  <c r="G64" i="1"/>
  <c r="H64" i="1" s="1"/>
  <c r="G63" i="1"/>
  <c r="H63" i="1" s="1"/>
  <c r="G62" i="1"/>
  <c r="H62" i="1" s="1"/>
  <c r="G61" i="1"/>
  <c r="H61" i="1" s="1"/>
  <c r="G60" i="1"/>
  <c r="H60" i="1" s="1"/>
  <c r="G58" i="1"/>
  <c r="H58" i="1" s="1"/>
  <c r="G57" i="1"/>
  <c r="H57" i="1" s="1"/>
  <c r="G56" i="1"/>
  <c r="H56" i="1" s="1"/>
  <c r="G55" i="1"/>
  <c r="H55" i="1" s="1"/>
  <c r="G54" i="1"/>
  <c r="H54" i="1" s="1"/>
  <c r="G53" i="1"/>
  <c r="H53" i="1" s="1"/>
  <c r="E7" i="1"/>
  <c r="E8" i="1"/>
  <c r="E9" i="1"/>
  <c r="E10" i="1"/>
  <c r="E11" i="1"/>
  <c r="E12" i="1"/>
  <c r="E13" i="1"/>
  <c r="E14" i="1"/>
  <c r="E20" i="1"/>
  <c r="E21" i="1"/>
  <c r="E22" i="1"/>
  <c r="E23" i="1"/>
  <c r="E24" i="1"/>
  <c r="E25" i="1"/>
  <c r="E26" i="1"/>
  <c r="E27" i="1"/>
  <c r="E37" i="1"/>
  <c r="E38" i="1"/>
  <c r="E39" i="1"/>
  <c r="E40" i="1"/>
  <c r="E41" i="1"/>
  <c r="E42" i="1"/>
  <c r="E43" i="1"/>
  <c r="E44" i="1"/>
  <c r="E45" i="1"/>
  <c r="E46" i="1"/>
  <c r="E53" i="1"/>
  <c r="E54" i="1"/>
  <c r="E55" i="1"/>
  <c r="E56" i="1"/>
  <c r="E57" i="1"/>
  <c r="E58" i="1"/>
  <c r="E60" i="1"/>
  <c r="E61" i="1"/>
  <c r="E62" i="1"/>
  <c r="E63" i="1"/>
  <c r="E64" i="1"/>
  <c r="E65" i="1"/>
  <c r="E6" i="1"/>
  <c r="G46" i="1"/>
  <c r="H46" i="1" s="1"/>
  <c r="G45" i="1"/>
  <c r="H45" i="1" s="1"/>
  <c r="G44" i="1"/>
  <c r="H44" i="1" s="1"/>
  <c r="G43" i="1"/>
  <c r="H43" i="1" s="1"/>
  <c r="G42" i="1"/>
  <c r="H42" i="1" s="1"/>
  <c r="G41" i="1"/>
  <c r="H41" i="1" s="1"/>
  <c r="G40" i="1"/>
  <c r="H40" i="1" s="1"/>
  <c r="G39" i="1"/>
  <c r="H39" i="1" s="1"/>
  <c r="G38" i="1"/>
  <c r="H38" i="1" s="1"/>
  <c r="G37" i="1"/>
  <c r="H37" i="1" s="1"/>
  <c r="G107" i="1"/>
  <c r="H107" i="1" s="1"/>
  <c r="G106" i="1"/>
  <c r="H106" i="1" s="1"/>
  <c r="G105" i="1"/>
  <c r="H105" i="1" s="1"/>
  <c r="G104" i="1"/>
  <c r="H104" i="1" s="1"/>
  <c r="G103" i="1"/>
  <c r="H103" i="1" s="1"/>
  <c r="G101" i="1"/>
  <c r="H101" i="1" s="1"/>
  <c r="G100" i="1"/>
  <c r="H100" i="1" s="1"/>
  <c r="G99" i="1"/>
  <c r="H99" i="1" s="1"/>
  <c r="E99" i="1"/>
  <c r="E100" i="1"/>
  <c r="E101" i="1"/>
  <c r="E102" i="1"/>
  <c r="E103" i="1"/>
  <c r="E104" i="1"/>
  <c r="E105" i="1"/>
  <c r="E106" i="1"/>
  <c r="E107" i="1"/>
  <c r="G27" i="1"/>
  <c r="H27" i="1" s="1"/>
  <c r="G26" i="1"/>
  <c r="H26" i="1" s="1"/>
  <c r="G25" i="1"/>
  <c r="H25" i="1" s="1"/>
  <c r="G24" i="1"/>
  <c r="H24" i="1" s="1"/>
  <c r="G23" i="1"/>
  <c r="H23" i="1" s="1"/>
  <c r="G22" i="1"/>
  <c r="H22" i="1" s="1"/>
  <c r="G21" i="1"/>
  <c r="H21" i="1" s="1"/>
  <c r="G20" i="1"/>
  <c r="H20" i="1" s="1"/>
  <c r="G14" i="1"/>
  <c r="H14" i="1" s="1"/>
  <c r="G13" i="1"/>
  <c r="H13" i="1" s="1"/>
  <c r="G12" i="1"/>
  <c r="H12" i="1" s="1"/>
  <c r="G11" i="1"/>
  <c r="H11" i="1" s="1"/>
  <c r="G10" i="1"/>
  <c r="H10" i="1" s="1"/>
  <c r="G9" i="1"/>
  <c r="H9" i="1" s="1"/>
  <c r="G8" i="1"/>
  <c r="H8" i="1" s="1"/>
  <c r="G7" i="1"/>
  <c r="H7" i="1" s="1"/>
  <c r="G6" i="1"/>
  <c r="H6" i="1" s="1"/>
  <c r="L3" i="1" l="1"/>
  <c r="O3" i="1"/>
  <c r="L102" i="1"/>
  <c r="O102" i="1"/>
  <c r="P102" i="1" s="1"/>
  <c r="Q102" i="1" s="1"/>
  <c r="L5" i="1"/>
  <c r="O5" i="1"/>
  <c r="K80" i="1"/>
  <c r="K32" i="1"/>
  <c r="K79" i="1"/>
  <c r="K106" i="1"/>
  <c r="K101" i="1"/>
  <c r="K4" i="1"/>
  <c r="O4" i="1" s="1"/>
  <c r="K48" i="1"/>
  <c r="K94" i="1"/>
  <c r="K71" i="1"/>
  <c r="K26" i="1"/>
  <c r="K16" i="1"/>
  <c r="K9" i="1"/>
  <c r="K52" i="1"/>
  <c r="K98" i="1"/>
  <c r="K67" i="1"/>
  <c r="O67" i="1" s="1"/>
  <c r="K108" i="1"/>
  <c r="O108" i="1" s="1"/>
  <c r="K87" i="1"/>
  <c r="K70" i="1"/>
  <c r="O70" i="1" s="1"/>
  <c r="K33" i="1"/>
  <c r="K96" i="1"/>
  <c r="K92" i="1"/>
  <c r="K107" i="1"/>
  <c r="O107" i="1" s="1"/>
  <c r="K78" i="1"/>
  <c r="O78" i="1" s="1"/>
  <c r="K74" i="1"/>
  <c r="K72" i="1"/>
  <c r="K63" i="1"/>
  <c r="K53" i="1"/>
  <c r="K23" i="1"/>
  <c r="K34" i="1"/>
  <c r="K56" i="1"/>
  <c r="K105" i="1"/>
  <c r="K99" i="1"/>
  <c r="O99" i="1" s="1"/>
  <c r="K88" i="1"/>
  <c r="O88" i="1" s="1"/>
  <c r="K85" i="1"/>
  <c r="O85" i="1" s="1"/>
  <c r="K65" i="1"/>
  <c r="K25" i="1"/>
  <c r="K82" i="1"/>
  <c r="K104" i="1"/>
  <c r="K103" i="1"/>
  <c r="O103" i="1" s="1"/>
  <c r="K100" i="1"/>
  <c r="O100" i="1" s="1"/>
  <c r="K89" i="1"/>
  <c r="O89" i="1" s="1"/>
  <c r="K86" i="1"/>
  <c r="O86" i="1" s="1"/>
  <c r="K75" i="1"/>
  <c r="K73" i="1"/>
  <c r="K54" i="1"/>
  <c r="K42" i="1"/>
  <c r="K39" i="1"/>
  <c r="K13" i="1"/>
  <c r="K36" i="1"/>
  <c r="K84" i="1"/>
  <c r="O84" i="1" s="1"/>
  <c r="K60" i="1"/>
  <c r="K11" i="1"/>
  <c r="K64" i="1"/>
  <c r="K61" i="1"/>
  <c r="O61" i="1" s="1"/>
  <c r="K57" i="1"/>
  <c r="O57" i="1" s="1"/>
  <c r="K45" i="1"/>
  <c r="O45" i="1" s="1"/>
  <c r="K43" i="1"/>
  <c r="K41" i="1"/>
  <c r="K38" i="1"/>
  <c r="K24" i="1"/>
  <c r="K14" i="1"/>
  <c r="O14" i="1" s="1"/>
  <c r="K7" i="1"/>
  <c r="O7" i="1" s="1"/>
  <c r="K50" i="1"/>
  <c r="O50" i="1" s="1"/>
  <c r="K47" i="1"/>
  <c r="O47" i="1" s="1"/>
  <c r="K44" i="1"/>
  <c r="K19" i="1"/>
  <c r="O19" i="1" s="1"/>
  <c r="K40" i="1"/>
  <c r="O40" i="1" s="1"/>
  <c r="K37" i="1"/>
  <c r="O37" i="1" s="1"/>
  <c r="K21" i="1"/>
  <c r="K62" i="1"/>
  <c r="O62" i="1" s="1"/>
  <c r="K58" i="1"/>
  <c r="O58" i="1" s="1"/>
  <c r="K55" i="1"/>
  <c r="O55" i="1" s="1"/>
  <c r="K46" i="1"/>
  <c r="O46" i="1" s="1"/>
  <c r="K27" i="1"/>
  <c r="K22" i="1"/>
  <c r="O22" i="1" s="1"/>
  <c r="K20" i="1"/>
  <c r="K12" i="1"/>
  <c r="K10" i="1"/>
  <c r="K8" i="1"/>
  <c r="K18" i="1"/>
  <c r="O18" i="1" s="1"/>
  <c r="P3" i="1"/>
  <c r="Q3" i="1" s="1"/>
  <c r="P5" i="1"/>
  <c r="Q5" i="1" s="1"/>
  <c r="L82" i="1" l="1"/>
  <c r="O82" i="1"/>
  <c r="L96" i="1"/>
  <c r="O96" i="1"/>
  <c r="P96" i="1" s="1"/>
  <c r="Q96" i="1" s="1"/>
  <c r="L94" i="1"/>
  <c r="O94" i="1"/>
  <c r="L80" i="1"/>
  <c r="O80" i="1"/>
  <c r="P80" i="1" s="1"/>
  <c r="Q80" i="1" s="1"/>
  <c r="L33" i="1"/>
  <c r="O33" i="1"/>
  <c r="L16" i="1"/>
  <c r="O16" i="1"/>
  <c r="P16" i="1" s="1"/>
  <c r="Q16" i="1" s="1"/>
  <c r="L48" i="1"/>
  <c r="O48" i="1"/>
  <c r="L34" i="1"/>
  <c r="O34" i="1"/>
  <c r="P34" i="1" s="1"/>
  <c r="Q34" i="1" s="1"/>
  <c r="L32" i="1"/>
  <c r="O32" i="1"/>
  <c r="P32" i="1" s="1"/>
  <c r="Q32" i="1" s="1"/>
  <c r="L79" i="1"/>
  <c r="O79" i="1"/>
  <c r="P79" i="1" s="1"/>
  <c r="Q79" i="1" s="1"/>
  <c r="L39" i="1"/>
  <c r="O39" i="1"/>
  <c r="L75" i="1"/>
  <c r="O75" i="1"/>
  <c r="P75" i="1" s="1"/>
  <c r="Q75" i="1" s="1"/>
  <c r="L105" i="1"/>
  <c r="O105" i="1"/>
  <c r="L21" i="1"/>
  <c r="O21" i="1"/>
  <c r="P21" i="1" s="1"/>
  <c r="Q21" i="1" s="1"/>
  <c r="L27" i="1"/>
  <c r="O27" i="1"/>
  <c r="L60" i="1"/>
  <c r="O60" i="1"/>
  <c r="P60" i="1" s="1"/>
  <c r="Q60" i="1" s="1"/>
  <c r="L65" i="1"/>
  <c r="O65" i="1"/>
  <c r="L106" i="1"/>
  <c r="O106" i="1"/>
  <c r="P106" i="1" s="1"/>
  <c r="Q106" i="1" s="1"/>
  <c r="L56" i="1"/>
  <c r="O56" i="1"/>
  <c r="L63" i="1"/>
  <c r="O63" i="1"/>
  <c r="P63" i="1" s="1"/>
  <c r="Q63" i="1" s="1"/>
  <c r="L98" i="1"/>
  <c r="O98" i="1"/>
  <c r="L26" i="1"/>
  <c r="O26" i="1"/>
  <c r="P26" i="1" s="1"/>
  <c r="Q26" i="1" s="1"/>
  <c r="L20" i="1"/>
  <c r="O20" i="1"/>
  <c r="L43" i="1"/>
  <c r="O43" i="1"/>
  <c r="P43" i="1" s="1"/>
  <c r="Q43" i="1" s="1"/>
  <c r="L64" i="1"/>
  <c r="O64" i="1"/>
  <c r="L36" i="1"/>
  <c r="O36" i="1"/>
  <c r="P36" i="1" s="1"/>
  <c r="Q36" i="1" s="1"/>
  <c r="L54" i="1"/>
  <c r="O54" i="1"/>
  <c r="L72" i="1"/>
  <c r="O72" i="1"/>
  <c r="P72" i="1" s="1"/>
  <c r="Q72" i="1" s="1"/>
  <c r="L92" i="1"/>
  <c r="O92" i="1"/>
  <c r="L87" i="1"/>
  <c r="O87" i="1"/>
  <c r="P87" i="1" s="1"/>
  <c r="Q87" i="1" s="1"/>
  <c r="L52" i="1"/>
  <c r="O52" i="1"/>
  <c r="L71" i="1"/>
  <c r="O71" i="1"/>
  <c r="P71" i="1" s="1"/>
  <c r="Q71" i="1" s="1"/>
  <c r="L38" i="1"/>
  <c r="O38" i="1"/>
  <c r="L53" i="1"/>
  <c r="O53" i="1"/>
  <c r="P53" i="1" s="1"/>
  <c r="Q53" i="1" s="1"/>
  <c r="L44" i="1"/>
  <c r="O44" i="1"/>
  <c r="L41" i="1"/>
  <c r="O41" i="1"/>
  <c r="P41" i="1" s="1"/>
  <c r="Q41" i="1" s="1"/>
  <c r="L42" i="1"/>
  <c r="O42" i="1"/>
  <c r="L104" i="1"/>
  <c r="O104" i="1"/>
  <c r="P104" i="1" s="1"/>
  <c r="Q104" i="1" s="1"/>
  <c r="L24" i="1"/>
  <c r="O24" i="1"/>
  <c r="L73" i="1"/>
  <c r="O73" i="1"/>
  <c r="P73" i="1" s="1"/>
  <c r="Q73" i="1" s="1"/>
  <c r="L25" i="1"/>
  <c r="O25" i="1"/>
  <c r="L23" i="1"/>
  <c r="O23" i="1"/>
  <c r="P23" i="1" s="1"/>
  <c r="Q23" i="1" s="1"/>
  <c r="L74" i="1"/>
  <c r="O74" i="1"/>
  <c r="L101" i="1"/>
  <c r="O101" i="1"/>
  <c r="P101" i="1" s="1"/>
  <c r="Q101" i="1" s="1"/>
  <c r="L8" i="1"/>
  <c r="O8" i="1"/>
  <c r="P8" i="1" s="1"/>
  <c r="Q8" i="1" s="1"/>
  <c r="L11" i="1"/>
  <c r="O11" i="1"/>
  <c r="P11" i="1" s="1"/>
  <c r="Q11" i="1" s="1"/>
  <c r="L13" i="1"/>
  <c r="O13" i="1"/>
  <c r="P13" i="1" s="1"/>
  <c r="Q13" i="1" s="1"/>
  <c r="L9" i="1"/>
  <c r="O9" i="1"/>
  <c r="P9" i="1" s="1"/>
  <c r="Q9" i="1" s="1"/>
  <c r="L10" i="1"/>
  <c r="O10" i="1"/>
  <c r="L12" i="1"/>
  <c r="O12" i="1"/>
  <c r="P12" i="1" s="1"/>
  <c r="Q12" i="1" s="1"/>
  <c r="L4" i="1"/>
  <c r="P4" i="1"/>
  <c r="Q4" i="1" s="1"/>
  <c r="P48" i="1"/>
  <c r="Q48" i="1" s="1"/>
  <c r="P65" i="1"/>
  <c r="Q65" i="1" s="1"/>
  <c r="P33" i="1"/>
  <c r="Q33" i="1" s="1"/>
  <c r="P27" i="1"/>
  <c r="Q27" i="1" s="1"/>
  <c r="P42" i="1"/>
  <c r="Q42" i="1" s="1"/>
  <c r="P39" i="1"/>
  <c r="Q39" i="1" s="1"/>
  <c r="P98" i="1"/>
  <c r="Q98" i="1" s="1"/>
  <c r="P94" i="1"/>
  <c r="Q94" i="1" s="1"/>
  <c r="P25" i="1"/>
  <c r="Q25" i="1" s="1"/>
  <c r="P56" i="1"/>
  <c r="Q56" i="1" s="1"/>
  <c r="P52" i="1"/>
  <c r="Q52" i="1" s="1"/>
  <c r="P92" i="1"/>
  <c r="Q92" i="1" s="1"/>
  <c r="L108" i="1"/>
  <c r="P108" i="1"/>
  <c r="Q108" i="1" s="1"/>
  <c r="L67" i="1"/>
  <c r="P67" i="1"/>
  <c r="Q67" i="1" s="1"/>
  <c r="P74" i="1"/>
  <c r="Q74" i="1" s="1"/>
  <c r="P105" i="1"/>
  <c r="Q105" i="1" s="1"/>
  <c r="L70" i="1"/>
  <c r="P70" i="1"/>
  <c r="Q70" i="1" s="1"/>
  <c r="L89" i="1"/>
  <c r="P89" i="1"/>
  <c r="Q89" i="1" s="1"/>
  <c r="L100" i="1"/>
  <c r="P100" i="1"/>
  <c r="Q100" i="1" s="1"/>
  <c r="P54" i="1"/>
  <c r="Q54" i="1" s="1"/>
  <c r="L85" i="1"/>
  <c r="P85" i="1"/>
  <c r="Q85" i="1" s="1"/>
  <c r="L78" i="1"/>
  <c r="P78" i="1"/>
  <c r="Q78" i="1" s="1"/>
  <c r="P44" i="1"/>
  <c r="Q44" i="1" s="1"/>
  <c r="P82" i="1"/>
  <c r="Q82" i="1" s="1"/>
  <c r="L103" i="1"/>
  <c r="P103" i="1"/>
  <c r="Q103" i="1" s="1"/>
  <c r="L88" i="1"/>
  <c r="P88" i="1"/>
  <c r="Q88" i="1" s="1"/>
  <c r="L107" i="1"/>
  <c r="P107" i="1"/>
  <c r="Q107" i="1" s="1"/>
  <c r="P20" i="1"/>
  <c r="Q20" i="1" s="1"/>
  <c r="L84" i="1"/>
  <c r="P84" i="1"/>
  <c r="Q84" i="1" s="1"/>
  <c r="L86" i="1"/>
  <c r="P86" i="1"/>
  <c r="Q86" i="1" s="1"/>
  <c r="L99" i="1"/>
  <c r="P99" i="1"/>
  <c r="Q99" i="1" s="1"/>
  <c r="P24" i="1"/>
  <c r="Q24" i="1" s="1"/>
  <c r="L55" i="1"/>
  <c r="P55" i="1"/>
  <c r="Q55" i="1" s="1"/>
  <c r="L37" i="1"/>
  <c r="P37" i="1"/>
  <c r="Q37" i="1" s="1"/>
  <c r="L47" i="1"/>
  <c r="P47" i="1"/>
  <c r="Q47" i="1" s="1"/>
  <c r="L7" i="1"/>
  <c r="P7" i="1"/>
  <c r="Q7" i="1" s="1"/>
  <c r="L45" i="1"/>
  <c r="P45" i="1"/>
  <c r="Q45" i="1" s="1"/>
  <c r="P64" i="1"/>
  <c r="Q64" i="1" s="1"/>
  <c r="L22" i="1"/>
  <c r="P22" i="1"/>
  <c r="Q22" i="1" s="1"/>
  <c r="L58" i="1"/>
  <c r="P58" i="1"/>
  <c r="Q58" i="1" s="1"/>
  <c r="L40" i="1"/>
  <c r="P40" i="1"/>
  <c r="Q40" i="1" s="1"/>
  <c r="L50" i="1"/>
  <c r="P50" i="1"/>
  <c r="Q50" i="1" s="1"/>
  <c r="L14" i="1"/>
  <c r="P14" i="1"/>
  <c r="Q14" i="1" s="1"/>
  <c r="P10" i="1"/>
  <c r="Q10" i="1" s="1"/>
  <c r="L18" i="1"/>
  <c r="P18" i="1"/>
  <c r="Q18" i="1" s="1"/>
  <c r="L62" i="1"/>
  <c r="P62" i="1"/>
  <c r="Q62" i="1" s="1"/>
  <c r="L19" i="1"/>
  <c r="P19" i="1"/>
  <c r="Q19" i="1" s="1"/>
  <c r="L57" i="1"/>
  <c r="P57" i="1"/>
  <c r="Q57" i="1" s="1"/>
  <c r="P38" i="1"/>
  <c r="Q38" i="1" s="1"/>
  <c r="L46" i="1"/>
  <c r="P46" i="1"/>
  <c r="Q46" i="1" s="1"/>
  <c r="L61" i="1"/>
  <c r="P61" i="1"/>
  <c r="Q61" i="1" s="1"/>
  <c r="K6" i="1"/>
  <c r="N6" i="1"/>
  <c r="J6" i="1"/>
  <c r="L6" i="1" l="1"/>
  <c r="O6" i="1"/>
  <c r="P6" i="1" s="1"/>
  <c r="Q6" i="1" s="1"/>
  <c r="I15" i="133"/>
  <c r="G66" i="1" s="1"/>
  <c r="I12" i="137"/>
  <c r="G69" i="1" s="1"/>
  <c r="I15" i="151"/>
  <c r="G93" i="1" s="1"/>
  <c r="H93" i="1" l="1"/>
  <c r="K93" i="1"/>
  <c r="O93" i="1" s="1"/>
  <c r="H66" i="1"/>
  <c r="K66" i="1"/>
  <c r="O66" i="1" s="1"/>
  <c r="H69" i="1"/>
  <c r="K69" i="1"/>
  <c r="O69" i="1" s="1"/>
  <c r="L93" i="1" l="1"/>
  <c r="P93" i="1"/>
  <c r="Q93" i="1" s="1"/>
  <c r="L69" i="1"/>
  <c r="P69" i="1"/>
  <c r="Q69" i="1" s="1"/>
  <c r="L66" i="1"/>
  <c r="P66" i="1"/>
  <c r="Q66" i="1" s="1"/>
  <c r="I15" i="115"/>
  <c r="G15" i="1" s="1"/>
  <c r="H15" i="1" l="1"/>
  <c r="K15" i="1"/>
  <c r="O15" i="1" s="1"/>
  <c r="L15" i="1" l="1"/>
  <c r="P15" i="1"/>
  <c r="Q15" i="1" s="1"/>
  <c r="I13" i="117"/>
  <c r="G17" i="1" s="1"/>
  <c r="K17" i="1" s="1"/>
  <c r="O17" i="1" s="1"/>
  <c r="I13" i="135"/>
  <c r="G68" i="1" s="1"/>
  <c r="I13" i="141"/>
  <c r="G95" i="1" s="1"/>
  <c r="H95" i="1" s="1"/>
  <c r="I13" i="129"/>
  <c r="G49" i="1" s="1"/>
  <c r="I13" i="147"/>
  <c r="G81" i="1" s="1"/>
  <c r="K95" i="1" l="1"/>
  <c r="K49" i="1"/>
  <c r="O49" i="1" s="1"/>
  <c r="H49" i="1"/>
  <c r="K68" i="1"/>
  <c r="H68" i="1"/>
  <c r="P17" i="1"/>
  <c r="Q17" i="1" s="1"/>
  <c r="L17" i="1"/>
  <c r="K81" i="1"/>
  <c r="O81" i="1" s="1"/>
  <c r="H81" i="1"/>
  <c r="P49" i="1"/>
  <c r="Q49" i="1" s="1"/>
  <c r="L49" i="1"/>
  <c r="H17" i="1"/>
  <c r="O68" i="1" l="1"/>
  <c r="P68" i="1" s="1"/>
  <c r="Q68" i="1" s="1"/>
  <c r="O95" i="1"/>
  <c r="P95" i="1" s="1"/>
  <c r="Q95" i="1" s="1"/>
  <c r="L95" i="1"/>
  <c r="L68" i="1"/>
  <c r="P81" i="1"/>
  <c r="Q81" i="1" s="1"/>
  <c r="L81" i="1"/>
  <c r="I15" i="121"/>
  <c r="G31" i="1" s="1"/>
  <c r="K31" i="1" l="1"/>
  <c r="O31" i="1" s="1"/>
  <c r="H31" i="1"/>
  <c r="P31" i="1" l="1"/>
  <c r="Q31" i="1" s="1"/>
  <c r="L31" i="1"/>
  <c r="I16" i="132"/>
  <c r="G51" i="1" s="1"/>
  <c r="K51" i="1" s="1"/>
  <c r="O51" i="1" s="1"/>
  <c r="I16" i="126"/>
  <c r="G35" i="1" s="1"/>
  <c r="K35" i="1" s="1"/>
  <c r="I16" i="144"/>
  <c r="G97" i="1" s="1"/>
  <c r="K97" i="1" s="1"/>
  <c r="O97" i="1" s="1"/>
  <c r="I16" i="150"/>
  <c r="G83" i="1" s="1"/>
  <c r="K83" i="1" s="1"/>
  <c r="O83" i="1" s="1"/>
  <c r="O35" i="1" l="1"/>
  <c r="P35" i="1" s="1"/>
  <c r="Q35" i="1" s="1"/>
  <c r="H97" i="1"/>
  <c r="P97" i="1"/>
  <c r="Q97" i="1" s="1"/>
  <c r="L97" i="1"/>
  <c r="H35" i="1"/>
  <c r="L83" i="1"/>
  <c r="P83" i="1"/>
  <c r="Q83" i="1" s="1"/>
  <c r="H83" i="1"/>
  <c r="H51" i="1"/>
  <c r="P51" i="1"/>
  <c r="Q51" i="1" s="1"/>
  <c r="L51" i="1"/>
  <c r="L3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Samantha Nicole Muñoz Morales</author>
  </authors>
  <commentList>
    <comment ref="G2" authorId="0" shapeId="0" xr:uid="{1F483848-9034-46FC-85CD-75299B1BCC8B}">
      <text>
        <r>
          <rPr>
            <b/>
            <sz val="9"/>
            <color indexed="81"/>
            <rFont val="Tahoma"/>
            <family val="2"/>
          </rPr>
          <t xml:space="preserve">10: Muy Deficiente (MD): </t>
        </r>
        <r>
          <rPr>
            <sz val="9"/>
            <color indexed="81"/>
            <rFont val="Tahoma"/>
            <family val="2"/>
          </rPr>
          <t xml:space="preserve">Se han detectado factores de riesgo significativos que determinan como muy posible la generación de fallos.
</t>
        </r>
        <r>
          <rPr>
            <b/>
            <sz val="9"/>
            <color indexed="81"/>
            <rFont val="Tahoma"/>
            <family val="2"/>
          </rPr>
          <t xml:space="preserve">
6: Deficiente (D): </t>
        </r>
        <r>
          <rPr>
            <sz val="9"/>
            <color indexed="81"/>
            <rFont val="Tahoma"/>
            <family val="2"/>
          </rPr>
          <t xml:space="preserve">Se ha detectado algún factor de riesgo significativo que precise ser corregido.
</t>
        </r>
        <r>
          <rPr>
            <b/>
            <sz val="9"/>
            <color indexed="81"/>
            <rFont val="Tahoma"/>
            <family val="2"/>
          </rPr>
          <t xml:space="preserve">
2: Mejorable (M): </t>
        </r>
        <r>
          <rPr>
            <sz val="9"/>
            <color indexed="81"/>
            <rFont val="Tahoma"/>
            <family val="2"/>
          </rPr>
          <t xml:space="preserve">Se han detectado factores de riesgo de menor importancia. 
</t>
        </r>
        <r>
          <rPr>
            <b/>
            <sz val="9"/>
            <color indexed="81"/>
            <rFont val="Tahoma"/>
            <family val="2"/>
          </rPr>
          <t xml:space="preserve">
0: Aceptable (B): </t>
        </r>
        <r>
          <rPr>
            <sz val="9"/>
            <color indexed="81"/>
            <rFont val="Tahoma"/>
            <family val="2"/>
          </rPr>
          <t>No se ha detectado anomalía destacable alguna.</t>
        </r>
      </text>
    </comment>
    <comment ref="I2" authorId="0" shapeId="0" xr:uid="{B3E8FCCA-D74D-4EF5-A4DD-C58558F46718}">
      <text>
        <r>
          <rPr>
            <b/>
            <sz val="9"/>
            <color indexed="81"/>
            <rFont val="Tahoma"/>
            <family val="2"/>
          </rPr>
          <t xml:space="preserve">4: Continuada (EC): </t>
        </r>
        <r>
          <rPr>
            <sz val="9"/>
            <color indexed="81"/>
            <rFont val="Tahoma"/>
            <family val="2"/>
          </rPr>
          <t xml:space="preserve">Continuamente. Varias veces en su jornada laboral con tiempo prolongado.
</t>
        </r>
        <r>
          <rPr>
            <b/>
            <sz val="9"/>
            <color indexed="81"/>
            <rFont val="Tahoma"/>
            <family val="2"/>
          </rPr>
          <t>3: Frecuente (EF):</t>
        </r>
        <r>
          <rPr>
            <sz val="9"/>
            <color indexed="81"/>
            <rFont val="Tahoma"/>
            <family val="2"/>
          </rPr>
          <t xml:space="preserve"> Varias veces en su jornada laboral, aunque sea en tiempos cortos.
</t>
        </r>
        <r>
          <rPr>
            <b/>
            <sz val="9"/>
            <color indexed="81"/>
            <rFont val="Tahoma"/>
            <family val="2"/>
          </rPr>
          <t>2: Ocasional (EO):</t>
        </r>
        <r>
          <rPr>
            <sz val="9"/>
            <color indexed="81"/>
            <rFont val="Tahoma"/>
            <family val="2"/>
          </rPr>
          <t xml:space="preserve"> Alguna vez en su jornada laboral y con periodo corto de tiempo.
</t>
        </r>
        <r>
          <rPr>
            <b/>
            <sz val="9"/>
            <color indexed="81"/>
            <rFont val="Tahoma"/>
            <family val="2"/>
          </rPr>
          <t xml:space="preserve">1: Esporádica (EE): </t>
        </r>
        <r>
          <rPr>
            <sz val="9"/>
            <color indexed="81"/>
            <rFont val="Tahoma"/>
            <family val="2"/>
          </rPr>
          <t xml:space="preserve">Irregularmente.
</t>
        </r>
      </text>
    </comment>
    <comment ref="M2" authorId="0" shapeId="0" xr:uid="{1F4488E3-AF35-4CD2-9C22-6D28DC965598}">
      <text>
        <r>
          <rPr>
            <b/>
            <sz val="9"/>
            <color indexed="81"/>
            <rFont val="Tahoma"/>
            <family val="2"/>
          </rPr>
          <t xml:space="preserve">100: Mortal o Catastrófico (M): </t>
        </r>
        <r>
          <rPr>
            <sz val="9"/>
            <color indexed="81"/>
            <rFont val="Tahoma"/>
            <family val="2"/>
          </rPr>
          <t xml:space="preserve">1 muerto o más.
</t>
        </r>
        <r>
          <rPr>
            <b/>
            <sz val="9"/>
            <color indexed="81"/>
            <rFont val="Tahoma"/>
            <family val="2"/>
          </rPr>
          <t>60: Muy Grave (MG):</t>
        </r>
        <r>
          <rPr>
            <sz val="9"/>
            <color indexed="81"/>
            <rFont val="Tahoma"/>
            <family val="2"/>
          </rPr>
          <t xml:space="preserve"> Lesiones graves que pueden ser irreparables.
</t>
        </r>
        <r>
          <rPr>
            <b/>
            <sz val="9"/>
            <color indexed="81"/>
            <rFont val="Tahoma"/>
            <family val="2"/>
          </rPr>
          <t xml:space="preserve">25: Grave (G): </t>
        </r>
        <r>
          <rPr>
            <sz val="9"/>
            <color indexed="81"/>
            <rFont val="Tahoma"/>
            <family val="2"/>
          </rPr>
          <t xml:space="preserve">Lesiones con incapacidad laboral transitoria (I. L. T.).
</t>
        </r>
        <r>
          <rPr>
            <b/>
            <sz val="9"/>
            <color indexed="81"/>
            <rFont val="Tahoma"/>
            <family val="2"/>
          </rPr>
          <t>10: Leve (L):</t>
        </r>
        <r>
          <rPr>
            <sz val="9"/>
            <color indexed="81"/>
            <rFont val="Tahoma"/>
            <family val="2"/>
          </rPr>
          <t xml:space="preserve"> Pequeñas lesiones que no requieren hospitalización.</t>
        </r>
      </text>
    </comment>
  </commentList>
</comments>
</file>

<file path=xl/sharedStrings.xml><?xml version="1.0" encoding="utf-8"?>
<sst xmlns="http://schemas.openxmlformats.org/spreadsheetml/2006/main" count="7774" uniqueCount="498">
  <si>
    <t>Proceso</t>
  </si>
  <si>
    <t>Rutinario
(Si/No)</t>
  </si>
  <si>
    <t>Identificación</t>
  </si>
  <si>
    <t>Evaluación del riesgo</t>
  </si>
  <si>
    <t>Criterios para establecer controles</t>
  </si>
  <si>
    <t>Peligro</t>
  </si>
  <si>
    <t>Código</t>
  </si>
  <si>
    <t>Riesgo</t>
  </si>
  <si>
    <t>Clasificación</t>
  </si>
  <si>
    <t>Nivel de Deficiencia
(ND)</t>
  </si>
  <si>
    <t>Interpretación del
Nivel de Deficiencia,(ND)</t>
  </si>
  <si>
    <t>Nivel de Exposición
(NE)</t>
  </si>
  <si>
    <t>Interpretación del
Nivel de Exposición (NE)</t>
  </si>
  <si>
    <t>Nivel de Probabilidad
(NP)
[ND X NE]</t>
  </si>
  <si>
    <t>Interpretación del
Nivel de Probabilidad (NP)</t>
  </si>
  <si>
    <t>Nivel de Consecuencia (NC)</t>
  </si>
  <si>
    <t>Interpretación del
Nivel de Consecuencia (NC)</t>
  </si>
  <si>
    <t>Nivel de Riesgo (NR)</t>
  </si>
  <si>
    <t>Nivel de Intervención (NI)</t>
  </si>
  <si>
    <t>Interpretación del NR</t>
  </si>
  <si>
    <t>Peor consecuencia</t>
  </si>
  <si>
    <t>Existencia Requisito Legal
Específico Asociado (Si/No)</t>
  </si>
  <si>
    <t>I-Resumen'!A1</t>
  </si>
  <si>
    <t>Obras preliminares</t>
  </si>
  <si>
    <t>Si</t>
  </si>
  <si>
    <t>330</t>
  </si>
  <si>
    <t>380</t>
  </si>
  <si>
    <t>570</t>
  </si>
  <si>
    <t>020-E</t>
  </si>
  <si>
    <t>040-E</t>
  </si>
  <si>
    <t>090-E</t>
  </si>
  <si>
    <t>100-E</t>
  </si>
  <si>
    <t>110-E</t>
  </si>
  <si>
    <t>230-E</t>
  </si>
  <si>
    <t>250a-E</t>
  </si>
  <si>
    <t>250b-E</t>
  </si>
  <si>
    <t>160-E</t>
  </si>
  <si>
    <t>130</t>
  </si>
  <si>
    <t>Movimiento de tierras</t>
  </si>
  <si>
    <t>340</t>
  </si>
  <si>
    <t>010-E</t>
  </si>
  <si>
    <t>030-E</t>
  </si>
  <si>
    <t>Estructura de hormigón armado</t>
  </si>
  <si>
    <t>170</t>
  </si>
  <si>
    <t>Estructura metálica</t>
  </si>
  <si>
    <t>150a-E</t>
  </si>
  <si>
    <t>150b-E</t>
  </si>
  <si>
    <t>150c-E</t>
  </si>
  <si>
    <t>Instalaciones Eléctricas</t>
  </si>
  <si>
    <t>Instalaciones Hidrosanitarias</t>
  </si>
  <si>
    <t>Acabados</t>
  </si>
  <si>
    <t>Actividad</t>
  </si>
  <si>
    <t>Estructura</t>
  </si>
  <si>
    <t>Riesgo físico</t>
  </si>
  <si>
    <t>Ruido</t>
  </si>
  <si>
    <t>N°</t>
  </si>
  <si>
    <t>Acción sujeta a evaluación</t>
  </si>
  <si>
    <t>No</t>
  </si>
  <si>
    <t>No aplica
(N/A)</t>
  </si>
  <si>
    <t>Nivel de deficiencia real
(NDR)</t>
  </si>
  <si>
    <t>Nivel de deficiencia ponderado
(NDP)</t>
  </si>
  <si>
    <t>Nivel de deficiencia detectado
(NDD)</t>
  </si>
  <si>
    <t>¿Se realizan mediciones de los niveles de ruido en aquellos lugares susceptibles de exposición?</t>
  </si>
  <si>
    <t>X</t>
  </si>
  <si>
    <t>¿Los riesgos derivados de la exposición al ruido se eliminan en su origen o se reducen al nivel más bajo posible?</t>
  </si>
  <si>
    <t>¿Se monitorean continuamente las condiciones del ambiente de trabajo con relación al ruido?</t>
  </si>
  <si>
    <t>¿Se disminuye el tiempo de exposición al ruido a través de métodos organizativos?</t>
  </si>
  <si>
    <t>¿Cuándo no es técnicamente factible implementar medidas de control asociadas a la exposición al ruido se provee de Equipos de Protección Personal (EPP)?</t>
  </si>
  <si>
    <t>¿Para medir la exposición al ruido se define cada actividad o tarea que se realiza en el puesto de trabajo?</t>
  </si>
  <si>
    <t>¿Se establecen los valores límites de exposición al ruido, así como los valores que dan lugar a una acción?</t>
  </si>
  <si>
    <t>¿Se realizan revisiones periódicas de las medidas de control implementadas y asociadas a la exposición ocupacional al ruido?</t>
  </si>
  <si>
    <t>TOTAL</t>
  </si>
  <si>
    <t>Riesgo Físico</t>
  </si>
  <si>
    <t>Iluminación</t>
  </si>
  <si>
    <t>¿Se iluminan las zonas por las que debe circular el peatón cuando se trabaja en zonas urbanas con propiedades colindantes?</t>
  </si>
  <si>
    <t>¿Se proporciona alumbrado adecuado y suficiente cuándo la iluminación natural no es suficiente para garantizar la seguridad de los trabajadores ?</t>
  </si>
  <si>
    <t>¿Se disponen de sistemas de iluminación de emergencia?</t>
  </si>
  <si>
    <t>¿Se disponen de sistemas de iluminación de emergencia adecuados y suficientes?</t>
  </si>
  <si>
    <t>¿En la noche se iluminan los avisos importantes con reflectores o luz blanca o varias luces con destellos?</t>
  </si>
  <si>
    <t>¿Se dispone de iluminación en todos los lugares/sectores de trabajo/obra?</t>
  </si>
  <si>
    <t>¿En la noche se iluminan aquellas zonas que obstaculicen la libre y segura circulación?</t>
  </si>
  <si>
    <t>Riesgo de seguridad</t>
  </si>
  <si>
    <t>Locativo</t>
  </si>
  <si>
    <t>Organización del trabajo incorrecta</t>
  </si>
  <si>
    <t>¿Se cuenta con la certificación de competencias laborales en prevención de riesgos laborales?</t>
  </si>
  <si>
    <t>¿Se identifican y evalúan los riesgos locativos?</t>
  </si>
  <si>
    <t>¿Las áreas de almacenamiento de materiales son seguras y adecuadas para los trabajadores?</t>
  </si>
  <si>
    <t>¿Se dispone de un plan de emergencia en todos los lugares de trabajo donde se almacenen agentes químicos, peligrosos, explosivos, inflamables, tóxicos, corrosivos, entre otros?</t>
  </si>
  <si>
    <t>¿Se dispone de procedimientos, cadenas de mando para combatir una posible emergencia?</t>
  </si>
  <si>
    <t>¿Se dispone de zonas de seguridad y vías de acceso y salida para combatir una posible emergencia?</t>
  </si>
  <si>
    <t>¿Las instalaciones cuentan con señalización de seguridad visible y permanente para indicar zonas de peligro, vías de escape y áreas seguras en caso de emergencia, así como para informar sobre el uso obligatorio de equipos de protección personal?</t>
  </si>
  <si>
    <t>¿Se dispone de la lista actualizada de equipos y elementos para combatir una posible emergencia?</t>
  </si>
  <si>
    <t>¿Se mantiene en condiciones seguras y en buen estado de funcionamiento de los lugares de trabajo, maquinarias, instalaciones, herramientas y equipos?</t>
  </si>
  <si>
    <t>Mecánico</t>
  </si>
  <si>
    <t>Caída de personas al mismo nivel</t>
  </si>
  <si>
    <t>020 - E</t>
  </si>
  <si>
    <t>ND detectado</t>
  </si>
  <si>
    <t>¿Todo trabajador que ingresa a la obra recibe inducción en materia de prevención de riesgos laborales?</t>
  </si>
  <si>
    <t>¿Se coloca señalización preventiva y/o informativa fácilmente identificable por el personal que ingresa al área de trabajo?</t>
  </si>
  <si>
    <t>¿El personal de obra respeta la señalización e indicaciones de seguridad?</t>
  </si>
  <si>
    <t>¿Se dispone de accesos que permiten el paso seguro?</t>
  </si>
  <si>
    <t>¿Se colocan los pasos peatonales necesarios para las personas externas e internas de la obra?</t>
  </si>
  <si>
    <t>¿Se mantiene el orden y la limpieza de los accesos, como de la obra, retirando oportuna y ágilmente los escombros?</t>
  </si>
  <si>
    <t>¿Se disponen de pasos y pasarelas con un piso unido y sin resaltes en aquellos lugares por los que deben circular los trabajadores?</t>
  </si>
  <si>
    <t>¿En las plataformas de los andamios, no existen salientes o elementos que puedan provocar tropezones?</t>
  </si>
  <si>
    <t>¿Se prohíbe colocar objetos que obstruyen el paso en aquellos lugares por los que circulan los trabajadores?</t>
  </si>
  <si>
    <t>¿Se colocan de forma organizada los cables y/o mangueras en pasillos, escaleras y accesos?</t>
  </si>
  <si>
    <t>Caída de objetos en manipulación</t>
  </si>
  <si>
    <t>040 - E</t>
  </si>
  <si>
    <t>¿Se coloca marquesina protectora a la entrada – salida de la obra o en zonas de circulación para evitar la caída de objetos?</t>
  </si>
  <si>
    <t>¿Se autoriza y designa al personal responsable de maniobras de izaje, incluyendo a los supervisores de esta operación?</t>
  </si>
  <si>
    <t>¿Los operarios que realizan trabajos de izaje cuentan con la capacitación y entrenamiento para la operación y funcionamiento de los equipos como de los accesorios para dicha actividad?</t>
  </si>
  <si>
    <t>¿Los operarios que manejan dispositivos que elevan y descienden cargas, llevan obligatoriamente equipo de protección individual?</t>
  </si>
  <si>
    <t>¿El equipo de elevación indica las cargas máximas y condiciones de trabajo?</t>
  </si>
  <si>
    <t>¿Se cubre el área circundante de las torres de elevación para evitar el tránsito de personas a través de ellas?</t>
  </si>
  <si>
    <t>¿Durante las operaciones de subida y bajada de componentes o materiales, los trabajadores que se encuentran en el área de influencia son advertidos de la operación?</t>
  </si>
  <si>
    <t>¿Se dispone de resguardos que evitan la caída de objetos sobre el personal que trabaja en una zona inferior?</t>
  </si>
  <si>
    <t>¿Los bordes de la parte alta se encuentran despejados de objetos que pudieran caer?</t>
  </si>
  <si>
    <t>¿Se prohíbe arrojar escombros y materiales desde la planta superior hacia el nivel inferior?</t>
  </si>
  <si>
    <t>¿Se retiran diariamente los escombros o desechos de las superficies altas?</t>
  </si>
  <si>
    <t>¿El ancho del tablón es el adecuado para el almacenamiento de herramientas y materiales imprescindibles para el trabajo a realizar?</t>
  </si>
  <si>
    <t>Golpes/cortes por objetos o herramientas</t>
  </si>
  <si>
    <t>090 - E</t>
  </si>
  <si>
    <t>nd detectado</t>
  </si>
  <si>
    <t>¿Se suministra a los trabajadores equipo de protección de acuerdo con la labor a realizar?</t>
  </si>
  <si>
    <t>¿Se proporcionan espacios y distancias adecuadas según las operaciones a ejecutar?</t>
  </si>
  <si>
    <t>¿Se dispone de las herramientas adecuadas según la operación a ejecutar?</t>
  </si>
  <si>
    <t>¿Las máquinas que representan riesgo de acción cortante, lacerante, punzante y abrasiva se encuentran protegidas mediante resguardos u otros dispositivos de seguridad, siempre que sea técnica y funcionalmente posible?</t>
  </si>
  <si>
    <t>¿Los trabajadores y supervisores de las actividades de corte o suelda, están adecuadamente capacitados en la operación segura de sus máquinas?</t>
  </si>
  <si>
    <t>¿Los mangos de las herramientas manuales presentan la dimensión adecuada, sin bordes agudos ni superficies resbaladizas, se encuentran sólidamente fijados a la herramienta, sin pernos, clavos u otros elementos sobresalientes que presenten aristas o superficies cortantes?</t>
  </si>
  <si>
    <t>¿Se prohíbe el uso de extensiones con tubos u otros materiales similares para aumentar el brazo de palanca?</t>
  </si>
  <si>
    <t>¿Se realizan las labores de corte en superficies planas y estables?</t>
  </si>
  <si>
    <t>¿Las herramientas manuales se colocan en portaherramientas o estantes adecuados?</t>
  </si>
  <si>
    <t>¿Las herramientas manuales se encuentran libres de grasas, aceites u otras sustancias deslizantes?</t>
  </si>
  <si>
    <t>¿Las partes cortantes o punzantes de las herramientas manuales se encuentran debidamente afiladas?</t>
  </si>
  <si>
    <t>¿Se retiran los materiales de fácil combustión o altamente volátiles previo a la realización de trabajos que involucren el uso de máquinas que generen fuentes de ignición?</t>
  </si>
  <si>
    <t>Proyección de fragmentos o partículas</t>
  </si>
  <si>
    <t>100 - E</t>
  </si>
  <si>
    <t>¿Los lugares y/o puestos de trabajo en los que es obligatorio el uso de algún medio de protección personal, se encuentran señalizados?</t>
  </si>
  <si>
    <t>¿Se informa a los trabajadores por escrito y por cualquier otro medio sobre los riesgos laborales a los que están expuestos y como prevenirlos?</t>
  </si>
  <si>
    <t>¿Se informa a los trabajadores sobre los riesgos específicos que el equipo protege, así como sobre las actividades y situaciones en las que es necesario su uso?</t>
  </si>
  <si>
    <t>¿El personal de obra respeta las indicaciones de seguridad?</t>
  </si>
  <si>
    <t>¿Se suministra equipo de protección individual de acuerdo con las necesidades de la acción a ejecutar?</t>
  </si>
  <si>
    <t>¿Se suministra ropa de trabajo, cuando la actividad a ejecutar implica por sus características, un determinado riesgo de accidente o enfermedad profesional?</t>
  </si>
  <si>
    <t>¿Se coordinan las actividades cuando dos o más empleados desarrollan simultáneamente una labor de acción proyectiva en el mismo lugar de trabajo?</t>
  </si>
  <si>
    <t>¿Las máquinas que representen riesgo de acción proyectiva se encuentran protegidas por resguardos u otros dispositivos de seguridad?</t>
  </si>
  <si>
    <t>Atrapamiento por o entre objetos</t>
  </si>
  <si>
    <t>110 - E</t>
  </si>
  <si>
    <t>¿Se asignan supervisores de acuerdo con las competencias de su formación como de su experiencia con el cargo o función?</t>
  </si>
  <si>
    <t>¿El personal que supervisa las actividades dentro de la obra se encuentra capacitado para monitorear y colaborar en la implementación de medidas de prevención y protección?</t>
  </si>
  <si>
    <t>¿Durante la descarga de componentes o materiales, se prohíbe la presencia de personas sobre la plataforma?</t>
  </si>
  <si>
    <t>¿Los equipos de protección personal proporcionan una protección eficaz frente a los riesgos que motivan su uso, sin suponer, ni ocasionar por sí mismos riesgos adicionales o molestias innecesarias?</t>
  </si>
  <si>
    <t>¿La ropa de trabajo carece de partes sueltas, de elementos que cuelgan o sobresalen, ajustándose sin perjuicio a la comodidad del trabajador y a su facilidad de movimiento, además se verifica que el individuo no porte elementos que generen enganche, como tirantes, pulseras, cadenas, collares y anillos?</t>
  </si>
  <si>
    <t>¿Se aplican bloqueos a los equipos dependientes de fuentes de energía, para evitar el accionamiento involuntario?</t>
  </si>
  <si>
    <t>¿Se entrena al personal sobre el correcto manejo de levantamiento de cargas y de acuerdo con la carga máxima a levantar para hombres y mujeres?</t>
  </si>
  <si>
    <t>¿Antes de cualquier trabajo de carga o descarga, se comprueba que el terreno no presente hundimientos durante la ejecución de la maniobra y desestabilicen la carga?</t>
  </si>
  <si>
    <t>¿Se adoptan medidas de seguridad como la instalación de resguardos y dispositivos en las partes fijas o móviles de máquinas que representen riesgo de acción atrapante y aplastante?</t>
  </si>
  <si>
    <t>¿Los encofrados se aseguran con puntales en número, disposición y arrostramiento de acuerdo con las cargas a soportar?</t>
  </si>
  <si>
    <t>¿El desencofrado se empieza por un solo lado y se continúa hasta el final con cuidado, evitando impactos y vibraciones?</t>
  </si>
  <si>
    <t>¿Se retiran o doblan las puntas de los clavos expuestos?</t>
  </si>
  <si>
    <t>Atropellos o golpes con vehículos</t>
  </si>
  <si>
    <t>230 - E</t>
  </si>
  <si>
    <t>¿Se asignan supervisores de acuerdo con la función a desempeñar?</t>
  </si>
  <si>
    <t>¿Se establecen los caminos internos de la obra con señalización necesaria, organizando las direcciones obligatorias y preferenciales?</t>
  </si>
  <si>
    <t>¿Las máquinas son inspeccionadas diariamente y antes de comenzar cada turno para asegurarse que el equipo y los accesorios estén en condiciones seguras de funcionamiento y libres de averías?</t>
  </si>
  <si>
    <t>¿La operación de maquinaria pesada de obra se efectúa únicamente por personal calificado y autorizado con licencia para el efecto?</t>
  </si>
  <si>
    <t>¿Se evita dejar las máquinas estacionadas en zonas de circulación y en el caso de no ser posible se indica la presencia de las máquinas mediante señalización adecuada?</t>
  </si>
  <si>
    <t>¿Durante el tiempo de parada de las maquinas, si están dentro de la zona de trabajo, se marca su entorno con señales de peligro para evitar los riesgos por falta de frenos o atropello durante la puesta en marcha?</t>
  </si>
  <si>
    <t>¿Se prohíbe trabajar o permanecer dentro del radio de acción de la maquinaria?</t>
  </si>
  <si>
    <t>¿No se trabaja en la proximidad de las líneas eléctricas hasta que se hayan tomado las precauciones y protecciones necesarias contra contactos eléctricos?</t>
  </si>
  <si>
    <t>¿Se prohíbe terminantemente el transporte de personas sobre máquinas?</t>
  </si>
  <si>
    <t>¿No se realiza ningún tipo de trabajo en las zonas en donde estén operando las máquinas sin antes haber sido determinado claramente el radio de acción de la máquina?</t>
  </si>
  <si>
    <t>¿Se refuerzan las prohibiciones con carteles y avisos?</t>
  </si>
  <si>
    <t>¿Las máquinas destinadas a la remoción de tierras están equipadas con un sistema de señalización acústica de marcha atrás?</t>
  </si>
  <si>
    <t>¿Cuándo un vehículo debe aproximarse a un borde de talud o corte, con el consiguiente riesgo de vuelco, se dispone en el suelo de cuñas y obstáculos que indiquen el límite de aproximación?</t>
  </si>
  <si>
    <t>¿Cuándo la visibilidad disminuye a causa del polvo producto de la propia circulación de las máquinas, se establece un sistema de riego, que sin encharcar o hacer deslizante la vía de circulación impida la formación de polvo?</t>
  </si>
  <si>
    <t>Otros riesgos de accidente
a) inherentes a la manipulación de herramientas eléctricas</t>
  </si>
  <si>
    <t>250 (a) - E</t>
  </si>
  <si>
    <t>¿Se disponen de permisos de trabajo para la realización de labores que involucren una fuente de ignición como uso de amoladoras, soldadoras, esmeriles, etc.?</t>
  </si>
  <si>
    <t>¿Existe señalización clara del riesgo en el lugar de trabajo donde se manipulan máquinas fijas o portátiles?</t>
  </si>
  <si>
    <t>¿Los operarios de máquinas disponen de equipos de protección personal de acuerdo con la labor a ejecutar?</t>
  </si>
  <si>
    <t>¿Se capacita a los operarios de máquinas para su uso y operación?</t>
  </si>
  <si>
    <t>¿Las máquinas se utilizan únicamente en las funciones para las que han sido diseñadas?</t>
  </si>
  <si>
    <t>¿Se realiza una inspección completa de las máquinas portátiles, por personal calificado, a intervalos regulares, en función de su estado de conservación y de la frecuencia de su empleo?</t>
  </si>
  <si>
    <t>¿Se realiza el mantenimiento preventivo y programado de las maquinas?</t>
  </si>
  <si>
    <t>¿Se proporciona un espacio suficiente y un apoyo estable de los pies, para el manejo de las herramientas mecánicas?</t>
  </si>
  <si>
    <t>¿Se desconectan las máquinas portátiles de su fuente de alimentación?</t>
  </si>
  <si>
    <t>¿Las partes agresivas por acción atrapante, cortante, lacerante, punzante, prensante, abrasiva y proyectiva, disponen de una protección eficaz?</t>
  </si>
  <si>
    <t>Otros riesgos de accidente
b) inherentes a la manipulación de herramientas manuales</t>
  </si>
  <si>
    <t>250 (b) - E</t>
  </si>
  <si>
    <t>¿Se dispone de la adecuada protección individual de acuerdo con la necesidad particular de cada puesto de trabajo?</t>
  </si>
  <si>
    <t>¿Se informa a los superiores acerca de cualquier situación de trabajo que represente un peligro para la vida o salud de los trabajadores?</t>
  </si>
  <si>
    <t>¿Las herramientas que se utilizan no se encuentran deterioradas, se inspeccionan y se da un mantenimiento regular?</t>
  </si>
  <si>
    <t>¿Se notifican los desperfectos de las herramientas?</t>
  </si>
  <si>
    <t>¿Se mantienen las herramientas almacenadas, limpias y en buen estado?</t>
  </si>
  <si>
    <t>¿Se sigue un plan de mantenimiento preventivo y/o se reporta la necesidad de mantenimiento correctivo de las herramientas manuales?</t>
  </si>
  <si>
    <t>¿Se selecciona y usa las herramientas de acuerdo con el trabajo a realizar?</t>
  </si>
  <si>
    <t>¿Las herramientas proporcionadas cuentan con un mango de grosor, longitud y forma que faciliten un cómodo manejo?</t>
  </si>
  <si>
    <t>¿Las herramientas se utilizan únicamente para los fines específicos para los que han sido diseñadas?</t>
  </si>
  <si>
    <t>¿Se informa oportunamente sobre cualquier dolencia que sufran y que se haya originado como consecuencia de las labores que realizan o de las condiciones de trabajo?</t>
  </si>
  <si>
    <t>Eléctricos</t>
  </si>
  <si>
    <t>Contactos Eléctricos</t>
  </si>
  <si>
    <t>160 - E</t>
  </si>
  <si>
    <t>¿Se realizan evaluaciones regulares de riesgos eléctricos en el lugar de trabajo para identificar peligros potenciales y tomar medidas preventivas?</t>
  </si>
  <si>
    <t>¿Se dispone de señalización adecuada que advierte a los trabajadores sobre la presencia de riesgos asociados a los trabajos eléctricos?</t>
  </si>
  <si>
    <t>¿Se proporciona formación y entrenamiento necesario para la ejecución de actividades con energía eléctrica?</t>
  </si>
  <si>
    <t>¿Se solicita el permiso de trabajo correspondiente cuando se realizan trabajos en equipos eléctricos, conexionado, cableado, etc.?</t>
  </si>
  <si>
    <t>¿Toda persona que realice trabajos eléctricos dispone del adecuado equipo de protección, que se adapte a las condiciones y necesidades del puesto de trabajo?</t>
  </si>
  <si>
    <t>¿Se prohíbe el uso de elementos metálicos en áreas donde existe riesgo eléctrico por contacto directo?</t>
  </si>
  <si>
    <t>¿La construcción e instalación, de equipos e instalaciones eléctricas se encuentra a cargo de personal especializado para tal efecto?</t>
  </si>
  <si>
    <t>¿Se realizan los trabajos eléctricos en presencia de más de una persona que brinde soporte en caso de emergencia?</t>
  </si>
  <si>
    <t>¿Se inspecciona toda conexión eléctrica antes de su uso, cerciorándose sí es la apropiada para el fin que se destine?</t>
  </si>
  <si>
    <t>¿Se verifica que las instalaciones eléctricas estén correctamente conectadas a tierra?</t>
  </si>
  <si>
    <t>¿Se garantiza que no exista riesgo de electrocución o electrificación en los sistemas eléctricos que se encuentran en el piso?</t>
  </si>
  <si>
    <t>¿Se realiza el mantenimiento regular de los sistemas eléctricos?</t>
  </si>
  <si>
    <t>¿Se prohíbe trabajar en la proximidad de las líneas eléctricas hasta que se hayan tomado las precauciones y protecciones necesarias contra contactos eléctricos?</t>
  </si>
  <si>
    <t>¿Los electricistas disponen de herramientas adecuadas y en número suficiente?</t>
  </si>
  <si>
    <t>¿Las herramientas, extensiones o enchufes se encuentran protegidos adecuadamente por material aislante?</t>
  </si>
  <si>
    <t>Riesgo ergonómico</t>
  </si>
  <si>
    <t>Sobreesfuerzos</t>
  </si>
  <si>
    <t>¿Se identifican y estiman las condiciones críticas en la ejecución de tareas y actividades?</t>
  </si>
  <si>
    <t>¿Se diseñan los puestos de trabajo de acuerdo con la antropometría del personal?</t>
  </si>
  <si>
    <t>¿Se evitan condiciones ergonómicas o ambientales desfavorables?</t>
  </si>
  <si>
    <t>¿Se dispone del equipo de protección personal necesario de acuerdo con el puesto y entorno de trabajo?</t>
  </si>
  <si>
    <t>¿Se excluyen los soportes o fajas lumbares como una medida de protección?</t>
  </si>
  <si>
    <t>¿Se adoptan medidas técnicas u organizativas orientadas al levantamiento o descenso de cargas?</t>
  </si>
  <si>
    <t>¿Se adoptan medidas técnicas u organizativas orientadas al empuje y/o tracción de cargas?</t>
  </si>
  <si>
    <t>¿Se realiza un mayor seguimiento de capacidad funcional a los trabajadores adultos mayores?</t>
  </si>
  <si>
    <t>¿Se establecen pausas laborales enfocadas a la recuperación de los grupos musculares afectados?</t>
  </si>
  <si>
    <t>¿Se desarrollan controles sobre las posturas corporales y movimientos de trabajo para evitar la fatiga muscular?</t>
  </si>
  <si>
    <t>Vibración</t>
  </si>
  <si>
    <t>¿Los riesgos derivados de la exposición a vibraciones se eliminan en su origen o se reducen al nivel más bajo posible?</t>
  </si>
  <si>
    <t>¿Se monitorean continuamente las condiciones del ambiente de trabajo con relación a la vibración?</t>
  </si>
  <si>
    <t>¿Se implementan métodos de trabajo que reduzcan la exposición a vibración?</t>
  </si>
  <si>
    <t>¿Cuándo no es técnicamente factible implementar medidas de control asociadas a la exposición a vibración se provee de Equipos de Protección Personal (EPP)?</t>
  </si>
  <si>
    <t>¿Se realizan mediciones de vibración en aquellos lugares susceptibles de exposición?</t>
  </si>
  <si>
    <t>¿Se establecen los valores límites de exposición a vibración, así como los valores que dan lugar a una acción?</t>
  </si>
  <si>
    <t>¿Los instrumentos utilizados para la medición de vibraciones cuentan con certificación de calibración periódica y vigente?</t>
  </si>
  <si>
    <t>¿Se realizan revisiones periódicas de las medidas de control implementadas y asociadas a la exposición ocupacional a vibración?</t>
  </si>
  <si>
    <t>Caída de personas a distinto nivel</t>
  </si>
  <si>
    <t>010 - E</t>
  </si>
  <si>
    <t>¿Se disponen de permisos de trabajo para realizar labores en altura?</t>
  </si>
  <si>
    <t>¿Se planifican los trabajos en altura como las medidas de control necesarias para garantizar su seguridad?</t>
  </si>
  <si>
    <t>¿Se encuentra delimitada el área, a nivel de piso, donde se realizará el trabajo en altura?</t>
  </si>
  <si>
    <r>
      <t>¿Existe una</t>
    </r>
    <r>
      <rPr>
        <b/>
        <sz val="11"/>
        <color theme="1"/>
        <rFont val="Arial"/>
        <family val="2"/>
      </rPr>
      <t xml:space="preserve"> </t>
    </r>
    <r>
      <rPr>
        <sz val="11"/>
        <color theme="1"/>
        <rFont val="Arial"/>
        <family val="2"/>
      </rPr>
      <t>persona competente que supervise, asista y oriente los trabajos en altura?</t>
    </r>
  </si>
  <si>
    <t>¿Los trabajadores que realizan trabajos en altura cuentan con autorización, conocimiento, experiencia y condiciones de salud adecuadas para dicha actividad?</t>
  </si>
  <si>
    <t>¿Se adopta un sistema de protección colectiva como redes de protección, mallas metálicas, plataformas o elementos suficientemente resistentes y del ancho adecuado?</t>
  </si>
  <si>
    <t>¿Se utilizan andamios para los trabajos en altura superiores a lo establecido?</t>
  </si>
  <si>
    <t>¿El diseño, construcción y verificación de andamios se encuentra a cargo de personal autorizado?</t>
  </si>
  <si>
    <t>¿Se utilizan barandillas, rodapiés y pasarelas reglamentarias, u otros medios equivalentes, para apoyo de los trabajadores sobre partes frágiles?</t>
  </si>
  <si>
    <t>¿Se adoptan medidas de protección personal adecuada como arnés de seguridad sujeto a punto fijo o con un sistema de sujeción deslizante?</t>
  </si>
  <si>
    <t>¿Los trabajadores disponen de equipos de protección individual con características que se ajustan de acuerdo con la necesidad del puesto de trabajo y estos se acomodan perfectamente a quien los usa?</t>
  </si>
  <si>
    <t>¿El equipo o sistema de protección individual es sometido a una revisión periódica por parte de un técnico de seguridad en el trabajo, que lleva un registro de las revisiones y mantenimientos realizados?</t>
  </si>
  <si>
    <t>¿Se verifica la resistencia de los elementos que soportan el peso de los trabajadores y materiales, como de los puntos que se utilizan para sujeción de los dispositivos de seguridad?</t>
  </si>
  <si>
    <t>¿Las gradas en proceso de construcción que no disponen de pasamanos definitivos, se encuentran protegidas del lado del hueco por barandillas reglamentaritas o por cualquier otro sistema que evite la caída de quienes circulan por ellas?</t>
  </si>
  <si>
    <t>¿Se detienen los trabajos en altura cuando se detectan condiciones climáticas que impliquen riesgos para los trabajadores?</t>
  </si>
  <si>
    <t>Caída de objetos por desplome</t>
  </si>
  <si>
    <t>030 - E</t>
  </si>
  <si>
    <t>¿Se cuenta con el permiso de trabajo para labores en espacios confinados?</t>
  </si>
  <si>
    <t>¿El personal que realiza actividades en espacios confinados, es sometido a exámenes minuciosos?</t>
  </si>
  <si>
    <t>¿Los trabajos en espacios confinados son realizados por trabajadores que han sido capacitados para el efecto?</t>
  </si>
  <si>
    <t>¿El trabajo en espacios confinados cuenta con un análisis del equipamiento necesario y el uso adecuado de equipos de protección personal?</t>
  </si>
  <si>
    <t>¿Las labores en espacios confinados vienen acompañadas y coordinadas desde el exterior?</t>
  </si>
  <si>
    <t>¿Los trabajadores interrumpen su actividad cuando por motivos razonables, consideran que existe un peligro inminente que ponga en riesgo su seguridad o la de otros?</t>
  </si>
  <si>
    <t>¿Se analiza la condición del suelo circundante al área de trabajo?</t>
  </si>
  <si>
    <t>¿Los bordes de la excavación próximos a vías públicas o con riesgo de caída de personas, se encuentran cercadas y señaladas para advertir los riesgos existentes?</t>
  </si>
  <si>
    <t>¿Se prohíbe la entrada de personal a la excavación cuando ésta se realiza a través de medios mecánicos?</t>
  </si>
  <si>
    <t>¿En zanjas con profundidad superior a lo establecido, se sobre excava la parte superior de la zanja de forma que ésta quede con una profundidad permisible?</t>
  </si>
  <si>
    <t>¿La excavación manual se encuentra acompañada de entibaciones y desentibaciones adecuadas?</t>
  </si>
  <si>
    <t>¿Personal calificado examina diariamente la excavación y sus entibaciones, al inicio de la jornada de trabajo y después de lluvias, vibraciones, sobrecargas o cualquier otra circunstancia, que haya podido afectar su estabilidad?</t>
  </si>
  <si>
    <t>Riesgo químico</t>
  </si>
  <si>
    <t>Exposición a sustancias nocivas</t>
  </si>
  <si>
    <t>¿Se disponen de permisos de trabajo de acuerdo con la tarea a ejecutar?</t>
  </si>
  <si>
    <t>¿Se identifican y evalúan los riesgos derivados de la exposición a agentes químicos?</t>
  </si>
  <si>
    <t>¿Se establecen programas de vigilancia de la salud en función de los riesgos derivados de la exposición de los trabajadores a los agentes químicos?</t>
  </si>
  <si>
    <t>¿Los riesgos derivados de la exposición a agentes químicos se eliminan en su origen o se reducen al nivel más bajo posible?</t>
  </si>
  <si>
    <t>¿Se establece la protección adecuada cuando no se ha podido controlar la exposición a agentes químicos?</t>
  </si>
  <si>
    <t>¿Se garantiza la adecuada ventilación en las áreas de trabajo donde se manejan agentes químicos peligrosos?</t>
  </si>
  <si>
    <t>¿Se encuentran definidos los procedimientos de medición y validación de resultados de la exposición por vía inhalatoria de los agentes químicos?</t>
  </si>
  <si>
    <t>¿Se conoce el valor límite ambiental (VLA) de las concentraciones del agente o producto químico en el aire?</t>
  </si>
  <si>
    <t>¿Se realizan mediciones en condiciones de trabajo habituales en la zona de respiración del trabajador?</t>
  </si>
  <si>
    <t>¿Se designa un área específica para el almacenamiento y custodia de los agentes químicos?</t>
  </si>
  <si>
    <t>¿Se realizan inspecciones periódicas y mantenimientos regulares a los sistemas de ventilación?</t>
  </si>
  <si>
    <t>Industriales mayores</t>
  </si>
  <si>
    <t>Contactos térmicos
a) inherentes al trabajador</t>
  </si>
  <si>
    <t>150a - E</t>
  </si>
  <si>
    <t>¿Todo trabajador que ingresa a obra recibe inducción en materia de prevención de riesgos laborales?</t>
  </si>
  <si>
    <t>¿Se dispone de permiso de trabajo para realizar labores de suelda?</t>
  </si>
  <si>
    <t>¿Se disponen de permisos de trabajo para realizar labores de izaje?</t>
  </si>
  <si>
    <t>¿Se asegura que los soldadores y sus supervisores están adecuadamente capacitados en la operación segura de las máquinas?</t>
  </si>
  <si>
    <t>¿Se utiliza casco, protección ocular y/o facial y protectores de manos resistentes al calor durante las operaciones de soldadura?</t>
  </si>
  <si>
    <t>¿Se dota del equipo de protección personal a los trabajadores que intervienen en la maniobra y labores de izaje?</t>
  </si>
  <si>
    <t>Contactos térmicos
b) inherentes a la manipulación de elementos estructurales</t>
  </si>
  <si>
    <t>150b - E</t>
  </si>
  <si>
    <t>¿Se planifican los trabajos de altura y las medidas de control necesarias para garantizar su realización segura?</t>
  </si>
  <si>
    <t>¿Se socializa un procedimiento de trabajo seguro de los equipos y accesorios de izaje?</t>
  </si>
  <si>
    <t>¿Se capacita y entrena a los trabajadores sobre la operación y funcionamiento de equipos y accesorios de izaje?</t>
  </si>
  <si>
    <t>¿La operación de equipos elevadores es realizada únicamente por personal debidamente capacitado?</t>
  </si>
  <si>
    <t>¿La operación de equipos elevadores es realizada únicamente por operarios que cuentan con la licencia para tal efecto?</t>
  </si>
  <si>
    <t>¿Aquellos trabajadores que operan los aparatos elevadores disponen de la certificación especifica por competencias laborales en prevención de riesgos laborales?</t>
  </si>
  <si>
    <t>¿Aquellos trabajadores que realizan el montaje y desmontaje de estructuras metálicas cuentan con la certificación especifica por competencias laborales en prevención de riesgos laborales?</t>
  </si>
  <si>
    <t>¿Se delimita el área a nivel de piso donde se realiza el trabajo de izaje y/o altura, que evite el tránsito de personas por dicha zona?</t>
  </si>
  <si>
    <t>¿Se indican las cargas máximas y las condiciones de izaje?</t>
  </si>
  <si>
    <t>¿En las grúas torre se dispone de dispositivos limitadores del momento de carga, de modo que se impida sobrepasar la carga máxima de seguridad permitida?</t>
  </si>
  <si>
    <t>¿Se inspecciona el equipo de izaje y accesorios, antes de cada uso?</t>
  </si>
  <si>
    <t>¿Se comprueba las condiciones del terreno durante la ejecución del trabajo de izaje?</t>
  </si>
  <si>
    <t>¿Se reubica o desenergiza las líneas eléctricas en el área de trabajo en altura que represente un riesgo para los trabajadores?</t>
  </si>
  <si>
    <t>Contactos térmicos
c) inherentes al proceso de soldadura</t>
  </si>
  <si>
    <t>150c - E</t>
  </si>
  <si>
    <t>¿Se coloca señalización preventiva, informativa y de obligación, fácilmente identificable por quienes ingresan a las áreas de trabajo?</t>
  </si>
  <si>
    <t>¿Se establecen procedimientos y medidas de seguridad para la realización de trabajos en caliente?</t>
  </si>
  <si>
    <t>¿Se verifican las condiciones del lugar de trabajo para la ejecución de trabajos en caliente?</t>
  </si>
  <si>
    <t>¿Las operaciones de soldadura en espacios confinados se encuentran adecuadamente ventiladas?</t>
  </si>
  <si>
    <t>¿Se adoptan medidas de protección contra la caída de partículas incandescentes a niveles inferiores?</t>
  </si>
  <si>
    <t>¿Se colocan de forma organizada los cables de las máquinas soldadoras en las zonas por las cuales deben circular los trabajadores?</t>
  </si>
  <si>
    <t>¿Se desconectan las máquinas soldadoras de la fuente de energía al finalizar la labor?</t>
  </si>
  <si>
    <t>¿Se protegen cables o cuerdas que pasen por superficies ásperas que puedan provocar cortes por abrasión?</t>
  </si>
  <si>
    <t>¿Se iluminan las zonas por las que debe circular el peatón cuando se traba en zonas urbanas con propiedades colindantes?</t>
  </si>
  <si>
    <t>250a- E</t>
  </si>
  <si>
    <t>250b - E</t>
  </si>
  <si>
    <t># expuestos</t>
  </si>
  <si>
    <t>E-Resumen'!A1</t>
  </si>
  <si>
    <t>020-I</t>
  </si>
  <si>
    <t>040-I</t>
  </si>
  <si>
    <t>090-I</t>
  </si>
  <si>
    <t>100-I</t>
  </si>
  <si>
    <t>110-I</t>
  </si>
  <si>
    <t>230-I</t>
  </si>
  <si>
    <t>250a-I</t>
  </si>
  <si>
    <t>250b-I</t>
  </si>
  <si>
    <t>160-I</t>
  </si>
  <si>
    <t>010-I</t>
  </si>
  <si>
    <t>030-I</t>
  </si>
  <si>
    <t>120-I</t>
  </si>
  <si>
    <r>
      <t xml:space="preserve">Obras complementarias </t>
    </r>
    <r>
      <rPr>
        <sz val="11"/>
        <rFont val="Arial"/>
        <family val="2"/>
      </rPr>
      <t>(Pozos y estructuras auxiliares)</t>
    </r>
  </si>
  <si>
    <t>360</t>
  </si>
  <si>
    <t>390</t>
  </si>
  <si>
    <r>
      <t xml:space="preserve">Trabajos en zanjas </t>
    </r>
    <r>
      <rPr>
        <sz val="11"/>
        <rFont val="Arial"/>
        <family val="2"/>
      </rPr>
      <t>(Tubería)</t>
    </r>
  </si>
  <si>
    <t>Relleno</t>
  </si>
  <si>
    <t>Infraestructura</t>
  </si>
  <si>
    <t>020 - I</t>
  </si>
  <si>
    <t>¿Se formula e integra programas de seguridad y salud en el trabajo al interior de las obras?</t>
  </si>
  <si>
    <t>¿Se proporciona un adecuado lugar de trabajo que garantice la salud, seguridad y bienestar de los trabajadores?</t>
  </si>
  <si>
    <t>¿Las salidas se encuentran señalizadas, en perfecto estado de conservación y libres de obstáculos?</t>
  </si>
  <si>
    <t>¿Se disponen de accesos a intervalos no mayores de 12.00 m, que permitan la rápida y segura entrada y salida de los trabajadores a la excavación ?</t>
  </si>
  <si>
    <t>¿Se colocan los pasos peatonales necesarios, debidamente señalizados, para quienes transitan por el lugar de influencia?</t>
  </si>
  <si>
    <t>¿Se disponen de pasos y pasarelas reglamentarias en aquellos lugares por los que deben circular los trabajadores, y que por lo reciente de su construcción o por cualquier otra causa ofrezcan peligro?</t>
  </si>
  <si>
    <t>¿Se mantiene el orden y limpieza de la obra como de las vías de acceso, retirando ágil y oportunamente los escombros?</t>
  </si>
  <si>
    <t>¿Se prohíbe colocar elementos que obstruyen el paso en aquellos lugares por los que circulan los trabajadores?</t>
  </si>
  <si>
    <t>¿Se colocan de forma organizada los cables o mangueras en el interior de la obra?</t>
  </si>
  <si>
    <t>040 - I</t>
  </si>
  <si>
    <t>¿Se dispone de señalización preventiva, informativa o de obligación, fácilmente identificable por el personal que ingresa a las áreas de trabajo?</t>
  </si>
  <si>
    <t>¿Se designa y autoriza al personal responsable de las maniobras de izaje, incluyendo a los supervisores de esta operación?</t>
  </si>
  <si>
    <t>¿El equipo de elevación muestra las cargas máximas y condiciones de trabajo en el que puede utilizarse?</t>
  </si>
  <si>
    <t>¿Los objetos y materiales que se encuentran en las proximidades de la futura excavación son eliminados o apuntalados previa ejecución de los trabajos?</t>
  </si>
  <si>
    <t>¿Previo al retiro de elementos próximos a la excavación, se verifica su influencia sobre la estabilidad del terreno?</t>
  </si>
  <si>
    <t>¿Se despejan las paredes y los bordes de la excavación de objetos que pudieran caer, y éstos se depositan según el criterio de distancias de seguridad?</t>
  </si>
  <si>
    <t>¿Previo a las operaciones de izaje se acordona la zona de carga del elevador en un entorno de al menos 2.00 m?</t>
  </si>
  <si>
    <t>¿Los trabajadores que se encuentran en el interior de la excavación son advertidos de las operaciones de subida y bajada de materiales?</t>
  </si>
  <si>
    <t>¿Al utilizar máquinas o elementos que generen vibraciones se vigila el efecto de estas sobre la excavación y la entibación?</t>
  </si>
  <si>
    <t>¿La madera usada en el entibado cuenta con un espesor no menor a 4.00 cm para profundidades menores a 2.50 m y 7.00 cm para profundidades mayores?</t>
  </si>
  <si>
    <t>090 - I</t>
  </si>
  <si>
    <t>¿Existen avisos preventivos que instruyan al personal sobre los peligros existentes y el cuidado de estos?</t>
  </si>
  <si>
    <t>¿Se proporciona ropa de trabajo acorde al riesgo laboral al que se encuentran expuestos los trabajadores?</t>
  </si>
  <si>
    <t>¿Se provee a los trabajadores elementos de protección personal y colectiva que se adapten a la exigencia de la labor a ejecutar?</t>
  </si>
  <si>
    <t>¿Se identifican y evalúan los riesgos de forma inicial y periódica?</t>
  </si>
  <si>
    <t>¿Se informa a los trabajadores por escrito o por cualquier otro medio sobre los riesgos laborales a los que están expuestos?</t>
  </si>
  <si>
    <t>¿Se usan adecuadamente los equipos de protección personal?</t>
  </si>
  <si>
    <t>¿Se prohíbe el uso de extensiones con tubo u otro material similar para aumentar el brazo de palanca?</t>
  </si>
  <si>
    <t>¿Se vigila el buen uso y funcionamiento de los dispositivos destinados a elevar y descender cargas?</t>
  </si>
  <si>
    <t>¿Se informa oportunamente sobre cualquier dolencia que se haya originado como consecuencia de la realización de las labores o de las condiciones y ambiente de trabajo?</t>
  </si>
  <si>
    <t>¿Los trabajadores tienen derecho a interrumpir sus actividades cuando se considere la existencia de un peligro inminente que ponga en riesgo su seguridad o la de los otros trabajadores?</t>
  </si>
  <si>
    <t>¿Cuándo hay más de un trabajador en la zanja, el espacio entre cada uno de ellos es de al menos 4.00 m?</t>
  </si>
  <si>
    <t>¿Se cumplen con las instrucciones de los programas de seguridad y salud en el trabajo?</t>
  </si>
  <si>
    <t>100 - I</t>
  </si>
  <si>
    <t>¿Se encuentran señalizados los lugares o puestos de trabajo en los que es obligatorio el uso de algún medio de protección personal?</t>
  </si>
  <si>
    <t>¿Se suministra ropa de trabajo, cuando la actividad implica por sus características, un determinado riesgo de accidente, enfermedad profesional o es marcadamente sucia?</t>
  </si>
  <si>
    <t>¿Las partes fijas o móviles de las máquinas que representan riesgo por acción proyectiva se encuentran protegidas mediante resguardos cuando son técnica y funcionalmente posible?</t>
  </si>
  <si>
    <t>¿Se provee a los trabajadores protecciones de rostro, cuerpo y extremidades, apropiados para los trabajos que involucren proyección de partículas?</t>
  </si>
  <si>
    <t>¿Se provee a los trabajadores protectores de ojos en las actividades con alto riesgo de proyección de solidos?</t>
  </si>
  <si>
    <t>¿Al utilizar palas cargadoras se prohíbe el manejo de grandes cargas bajo la influencia de fuertes vientos?</t>
  </si>
  <si>
    <t>¿Se riega la carga con agua a fin de evitar la producción de polvo?</t>
  </si>
  <si>
    <t>¿En el transporte de materiales pétreos o tierra, se cubre la carga con una lona?</t>
  </si>
  <si>
    <t>110 - I</t>
  </si>
  <si>
    <t>¿Se prohíbe el ingreso de personal no autorizado a espacios confinados?</t>
  </si>
  <si>
    <t>¿Se somete a los trabajadores a los exámenes médicos acorde a los riesgos a los que están expuestos?</t>
  </si>
  <si>
    <t>¿Se adaptan los puestos de trabajo de acuerdo con las capacidades de los trabajadores?</t>
  </si>
  <si>
    <t>¿Se disponen de sistemas de respuesta a emergencias en caso de accidentes mayores?</t>
  </si>
  <si>
    <t>¿En el ascenso o descenso de cargas se prohíbe la sujeción del arnés de seguridad a la estructura del elevador?</t>
  </si>
  <si>
    <t>¿La excavación manual que necesita entibación, se realiza a medida que se profundiza y por franjas, acorde a las condiciones del terreno y en ningún caso se supera los 1.50 m de profundidad?</t>
  </si>
  <si>
    <t>¿Cuándo el terreno lo requiere se procede a entibar, de forma continua y paralela a la extracción de tierras?</t>
  </si>
  <si>
    <t>¿El desentibado se realiza de abajo hacia arriba, sin superar la altura máxima de 1.50 m?</t>
  </si>
  <si>
    <t>¿Se prohíbe el ingreso de personas, a excavaciones realizadas por medios mecánicos, con taludes no estables y de profundidad superior a 1.50 m ?</t>
  </si>
  <si>
    <t>¿El entibado de excavaciones por medios mecánicos, se realiza desde el exterior y en cuyo caso que requiera el ingreso de trabajadores, se efectúa a través de jaulas de seguridad o medios equivalentes?</t>
  </si>
  <si>
    <t>¿Se examina el buen estado de la excavación y sus entibaciones, con personal calificado, diariamente, al comenzar la jornada de trabajo o después de cualquier circunstancia que haya podido afectar su estabilidad?</t>
  </si>
  <si>
    <t>230 - I</t>
  </si>
  <si>
    <t>¿El conductor usa casco y equipo de protección para cada situación cuando abandona la cabina protegida de la maquinaria?</t>
  </si>
  <si>
    <t>¿Se inspecciona la maquinaria diariamente y antes de comenzar la jornada a fin de verificar las condiciones seguras de funcionamiento?</t>
  </si>
  <si>
    <t>¿Se establece en los planos de la obra los caminos internos, organizando las direcciones obligatorias y preferenciales?</t>
  </si>
  <si>
    <t>¿La maquinaria se encuentra equipada de señales acústicas de reversa?</t>
  </si>
  <si>
    <t>¿Se prohíbe el trasporte de personas sobre la maquinaria?</t>
  </si>
  <si>
    <t>¿Se prohíbe dormir o comer a la sombra de la maquinaria?</t>
  </si>
  <si>
    <t>¿Se marca el contorno de la maquinaria durante el tiempo de parada cuando esta se encuentra dentro de la zona de trabajo?</t>
  </si>
  <si>
    <t>¿En los elevadores mecánicos se indica el peso máximo autorizado?</t>
  </si>
  <si>
    <t>250a - I</t>
  </si>
  <si>
    <t>¿Existe señalización preventiva, y formativa o de obligación que permita la identificación del riesgo por parte de los trabajadores o personal que ingresa al área de trabajo?</t>
  </si>
  <si>
    <t>¿Se dispone de medios de protección individual que se ajustan a la necesidad particular del puesto de trabajo?</t>
  </si>
  <si>
    <t>¿Los equipos de protección individual se ajustan perfectamente a quien los usa y no representan por sí mismo un riesgo adicional para el trabajador?</t>
  </si>
  <si>
    <t>¿El personal de obra cuenta con el respectivo permiso de trabajo de acuerdo con la tarea a ejecutar?</t>
  </si>
  <si>
    <t>¿Se manipula las máquinas previa autorización y capacitación?</t>
  </si>
  <si>
    <t>¿Se proporciona el espacio suficiente y estable para el apoyo de los pies en el manejo de las máquinas?</t>
  </si>
  <si>
    <t>¿Se realiza una inspección de la máquina previo al inicio y fin de la jornada de trabajo u operación de la misma?</t>
  </si>
  <si>
    <t>¿Las máquinas disponen de resguardos de protección, aunque estas se encuentren fijas a un banco de trabajo?</t>
  </si>
  <si>
    <t>¿Se mantienen el buen estado las máquinas con mantenimiento regular en función de su estado de conservación y de la frecuencia de su uso?</t>
  </si>
  <si>
    <t>¿Se desconectan las máquinas de su fuente de alimentación, al dejarlas de utilizar incluso por periodos breves?</t>
  </si>
  <si>
    <t>250b - I</t>
  </si>
  <si>
    <t>¿Se proveen guantes protectores de cuero, caucho u otro material adecuado cuando existe riesgo de lesión en las manos?</t>
  </si>
  <si>
    <t>¿Se manipula las herramientas previa autorización y capacitación?</t>
  </si>
  <si>
    <t>¿Se proporciona el suficiente espacio de trabajo de tal forma que exista una distancia mínima entre trabajadores?</t>
  </si>
  <si>
    <t>¿Se selecciona y usa la herramienta adecuada según el trabajo a realizar?</t>
  </si>
  <si>
    <t>¿Se proporcionan herramientas de adecuado grosor, longitud y forma que faciliten un cómodo manejo?</t>
  </si>
  <si>
    <t>¿Se inspeccionan y se da mantenimiento regular a las herramientas?</t>
  </si>
  <si>
    <t>¿Las herramientas se encuentran libres de grasas, aceites u otras sustancias deslizantes?</t>
  </si>
  <si>
    <t>¿Se mantienen afiladas las partes cortantes o punzantes de las herramientas de corte?</t>
  </si>
  <si>
    <t>¿Se notifica a un superior los desperfectos de las herramientas?</t>
  </si>
  <si>
    <t>¿Se reemplazan las herramientas deterioradas a fin de garantizar condiciones seguras de operación?</t>
  </si>
  <si>
    <t>Contactos eléctricos</t>
  </si>
  <si>
    <t>160 - I</t>
  </si>
  <si>
    <t>¿Se dispone de señalización que advierta sobre el peligro en el área donde existe riesgo eléctrico?</t>
  </si>
  <si>
    <t>¿Se delimita el área de trabajo para evitar el ingreso y circulación de personal no autorizado?</t>
  </si>
  <si>
    <t>¿Se solicitan permisos eléctricos cuando se realizan trabajos de cableado, conexionado o en equipos eléctricos y otros permisos de acuerdo con el lugar de trabajo?</t>
  </si>
  <si>
    <t>¿El personal que realiza actividades con energía eléctrica cuenta con la formación, conocimiento y entrenamiento necesario para trabajar de manera segura?</t>
  </si>
  <si>
    <t>¿Toda persona que ejecuta trabajos eléctricos se encuentra aislada eléctricamente?</t>
  </si>
  <si>
    <t>¿Se verifica el buen estado y uso de los elementos de protección personal?</t>
  </si>
  <si>
    <t>¿Se protegen las instalaciones eléctricas de condiciones climáticas que pueden comprometer o poner en riesgo a los trabajadores?</t>
  </si>
  <si>
    <t>¿Se suspenden los trabajos de instalaciones eléctricas durante el tiempo de pruebas eléctricas, tormentas u otra situación que involucre por sí mismo un riesgo?</t>
  </si>
  <si>
    <t>¿Se adoptan medidas preventivas frente a la presencia de instalaciones subterráneas que puedan encontrarse en la zona de trabajo?</t>
  </si>
  <si>
    <t>¿Se prohíbe la realización y dirección de trabajos simultáneos, con o sin tensión, por el mismo trabajador, en la misma área de trabajo?</t>
  </si>
  <si>
    <t>¿Se entrena al personal de obra en medidas de respuesta a emergencias, en caso de contacto accidental con las líneas eléctricas?</t>
  </si>
  <si>
    <t>¿Se prohíbe realizar, alterar o cambiar instalaciones o sistemas eléctricos sin conocimientos o previa autorización?</t>
  </si>
  <si>
    <t>010 - I</t>
  </si>
  <si>
    <t>¿Se prohíbe el ingreso de personas ajenas a la obra, con excepción de aquellas que han sido autorizadas para tal efecto?</t>
  </si>
  <si>
    <t>¿Se encuentran cercados y señalados los bordes de toda excavación próximos a vías públicas o con riesgo de caída de personas?</t>
  </si>
  <si>
    <t>¿La comunicación entre plataformas de trabajo a diferentes alturas se realiza a través de gradas o escaleras fijadas sólidamente en cabeza y base?</t>
  </si>
  <si>
    <t>¿Se inspeccionan las escaleras manuales o portátiles, así como los sistemas de sujeción y apoyo?</t>
  </si>
  <si>
    <t>¿El ascenso, descenso y trabajo a través de escaleras manuales o portátiles se realizan de frente a la escalera?</t>
  </si>
  <si>
    <t>¿Se prohíbe que dos trabajadores utilicen simultáneamente la misma escalera?</t>
  </si>
  <si>
    <t>¿Se protegen las aberturas de los pozos con barandas y rodapiés reglamentarios?</t>
  </si>
  <si>
    <t>¿Se prohíbe la realización de trabajos cuándo se presentan condiciones climatológicas desfavorables, que amenacen la estabilidad de las instalaciones o de las personas?</t>
  </si>
  <si>
    <t>030 - I</t>
  </si>
  <si>
    <t>¿Se realizan los correspondientes análisis de suelo, a fin de establecer medidas de seguridad oportunas, que se ajusten a las condiciones del terreno y naturaleza de los trabajos?</t>
  </si>
  <si>
    <t>¿Se adoptan los ángulos de talud de acuerdo con la naturaleza del terreno o en su defecto según lo dispuesto por la dirección técnica competente de la obra?</t>
  </si>
  <si>
    <t>¿Cuándo se disponen de taludes no estables en los trabajos de excavación, se dispone de una adecuada entibación o contención a partir de 1.50 m?</t>
  </si>
  <si>
    <t>¿En terrenos de defectuosa o dudosa estabilidad, el desentibado se efectúa simultáneamente al relleno o se da por perdida la entibación?</t>
  </si>
  <si>
    <t>¿En la excavación de zanjas se cumple con el ancho mínimo, de acuerdo a la profundidad y en ningún caso se supera los 5.00 m o se sobre excava de tal forma que no se supere ésta?</t>
  </si>
  <si>
    <t>¿Se dispone de un adecuado sistema de excavación, estableciendo o reforzando la entibación cuando la presencia de aguas subterráneas u otros factores perjudiquen su estabilidad?</t>
  </si>
  <si>
    <t>Atrapamiento por vuelco de máquinas</t>
  </si>
  <si>
    <t>120 - I</t>
  </si>
  <si>
    <t>¿Se comprueba la maquinaria periódicamente y se lleva un registro de mantenimiento preventivo y correctivo el estado de los sistemas antivuelco y anti-impacto?</t>
  </si>
  <si>
    <t>¿Se utiliza la maquinaria para los fines y terrenos para los cuales ha sido diseñada?</t>
  </si>
  <si>
    <t>¿La operación de maquinaria en obra se encuentra a cargo de personal calificado y autorizado para tal efecto?</t>
  </si>
  <si>
    <t>¿Se respeta la velocidad máxima establecida al interior de la obra?</t>
  </si>
  <si>
    <t>¿Se respeta el límite establecido de carga de acuerdo con las condiciones del vehículo?</t>
  </si>
  <si>
    <t>¿Se evita dejar las máquinas estacionadas en las zonas de circulación y cuando esto no sea posible se indica la presencia de estas?</t>
  </si>
  <si>
    <t>¿Se coloca tacos inmovilizadores de las ruedas de la maquinaria previo al retiro del freno de mano?</t>
  </si>
  <si>
    <t>¿Se dispone de cuñas u obstáculos a nivel de piso, que indiquen el límite de aproximación cuándo un vehículo deba aproximarse a un borde de talud o corte?</t>
  </si>
  <si>
    <t>¿Cuándo se transportan materiales que impiden la visibilidad se cuenta con un guía?</t>
  </si>
  <si>
    <t>¿Se cuenta con un ayudante o señalero que guíe al conductor por medio de señales cuando se descarga materiales de la maquinaria?</t>
  </si>
  <si>
    <t>¿Se establece un sistema de riego, sin encharcar o hacer deslizante la vía, cuando la visibilidad disminuye a causa del polvo producido de la propia circulación de la maquinaria?</t>
  </si>
  <si>
    <t>Obras complementarias (Pozos y estructuras auxiliares)</t>
  </si>
  <si>
    <t>Radiaciones ionizantes</t>
  </si>
  <si>
    <t>¿Se disponen de permisos de trabajo en aquellas actividades que involucren radiaciones ionizantes?</t>
  </si>
  <si>
    <t>¿Se dispone de personal de Seguridad Radiológica que acompañe las necesidades de los usuarios de los equipos de radiación?</t>
  </si>
  <si>
    <t>¿Se realiza el control y registro periódico de los límites permisibles de radiación que pueden recibir las personas ocupacionalmente expuestas?</t>
  </si>
  <si>
    <t>¿El personal que manipula los equipos generadores de radiación dispone de la licencia de trabajo?</t>
  </si>
  <si>
    <t>¿Se dispone de la licencia para poseer equipos generadores de radiación?</t>
  </si>
  <si>
    <t>¿El operador de la fuente de radiación se encuentra correctamente instruido en el manejo del equipo?</t>
  </si>
  <si>
    <t>¿Todo licenciatario está obligado a usar detectores de control de dosimetría personal?</t>
  </si>
  <si>
    <t>¿Se informa a las personas que trabajan en un área restringida sobre la existencia de radiación?</t>
  </si>
  <si>
    <t>¿Se implementa un sistema óptimo de protección radiológica que asegure que el número, probabilidad y magnitud sean tan bajos como sea razonablemente alcanzable?</t>
  </si>
  <si>
    <t>¿Se inspeccionan los equipos generadores de radiación y se mantiene un registro de estas?</t>
  </si>
  <si>
    <t>¿Se registra el uso de los equipos generadores de radiación?</t>
  </si>
  <si>
    <t>¿El operador del equipo generador de radiación conoce los procedimientos requeridos en caso de una emergencia?</t>
  </si>
  <si>
    <t>¿Se somete a exámenes médicos al personal directamente involucrado en trabajos con radiaciones ionizantes ?</t>
  </si>
  <si>
    <t>¿Se calibran los equipos generadores de radiación, periódicamente o después de cualquier cambio o reemplazo?</t>
  </si>
  <si>
    <t>Otra exposición
a) asfixia o intoxicación</t>
  </si>
  <si>
    <t>¿Se realiza una evaluación de riesgos antes de iniciar cualquier trabajo subterráneo y se realiza una revisión periódica de estos?</t>
  </si>
  <si>
    <t>¿El personal de obra cuenta con el respectivo permiso de trabajo de acuerdo con la labor a ejecutar?</t>
  </si>
  <si>
    <t>¿Se verifica que los trabajadores cuenten con la aptitud médica para realizar trabajos en espacios confinados?</t>
  </si>
  <si>
    <t>¿Se dispone de un vigía que mantenga comunicación y contacto con aquellos trabajadores que hayan ingresado a la excavación o espacio confinado?</t>
  </si>
  <si>
    <t>¿Se capacita y entrena a todo trabajador que ingresa a espacios confinados a fin de que realice sus actividades de forma segura?</t>
  </si>
  <si>
    <t>¿Se comprueba el estado de la atmosfera antes del ingreso de los trabajadores a la excavación, cuando se teme la existencia de un ambiente peligroso?</t>
  </si>
  <si>
    <t>¿Se cuenta con la adecuada ventilación antes del ingreso y durante las actividades que se ejecutan en su interior?</t>
  </si>
  <si>
    <t>¿Se dispone de un sistema de ventilación que mantenga la pureza del ambiente cuando no se tiene la suficiente ventilación natural?</t>
  </si>
  <si>
    <t>¿Se vigila, acompaña y coordina desde el exterior de la excavación cuando esta presenta peligro de asfixia o intoxicación?</t>
  </si>
  <si>
    <t>¿Se provee a los trabajadores de protectores respiratorios, adecuados para trabajos en atmosferas contaminadas?</t>
  </si>
  <si>
    <t>Trabajos en zanjas (Tubería)</t>
  </si>
  <si>
    <t>¿Se implementa un sistema optimo de protección radiológica que asegure que el número, probabilidad y magnitud sean tan bajos como sea razonablemente alcanzable?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</si>
</sst>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family val="2"/>
      <scheme val="minor"/>
    </font>
    <font>
      <sz val="11"/>
      <color theme="1"/>
      <name val="Arial"/>
      <family val="2"/>
    </font>
    <font>
      <sz val="12"/>
      <color theme="1"/>
      <name val="Times New Roman"/>
      <family val="1"/>
    </font>
    <font>
      <b/>
      <sz val="12"/>
      <color theme="1"/>
      <name val="Times New Roman"/>
      <family val="1"/>
    </font>
    <font>
      <b/>
      <sz val="12"/>
      <color rgb="FF000000"/>
      <name val="Times New Roman"/>
      <family val="1"/>
    </font>
    <font>
      <sz val="12"/>
      <color rgb="FF000000"/>
      <name val="Times New Roman"/>
      <family val="1"/>
    </font>
    <font>
      <sz val="11"/>
      <color theme="1"/>
      <name val="Times New Roman"/>
      <family val="1"/>
    </font>
    <font>
      <b/>
      <sz val="11"/>
      <color rgb="FF000000"/>
      <name val="Times New Roman"/>
      <family val="1"/>
    </font>
    <font>
      <b/>
      <sz val="11"/>
      <color theme="1"/>
      <name val="Times New Roman"/>
      <family val="1"/>
    </font>
    <font>
      <sz val="8"/>
      <name val="Aptos Narrow"/>
      <family val="2"/>
      <scheme val="minor"/>
    </font>
    <font>
      <b/>
      <sz val="9"/>
      <color indexed="81"/>
      <name val="Tahoma"/>
      <family val="2"/>
    </font>
    <font>
      <sz val="9"/>
      <color indexed="81"/>
      <name val="Tahoma"/>
      <family val="2"/>
    </font>
    <font>
      <b/>
      <sz val="11"/>
      <color theme="1"/>
      <name val="Arial"/>
      <family val="2"/>
    </font>
    <font>
      <b/>
      <sz val="11"/>
      <name val="Arial"/>
      <family val="2"/>
    </font>
    <font>
      <sz val="11"/>
      <color theme="1"/>
      <name val="Arial"/>
      <family val="2"/>
    </font>
    <font>
      <sz val="11"/>
      <name val="Arial"/>
      <family val="2"/>
    </font>
    <font>
      <b/>
      <sz val="11"/>
      <color rgb="FF000000"/>
      <name val="Arial"/>
      <family val="2"/>
    </font>
    <font>
      <sz val="11"/>
      <color rgb="FF000000"/>
      <name val="Arial"/>
      <family val="2"/>
    </font>
    <font>
      <sz val="11"/>
      <color rgb="FF0070C0"/>
      <name val="Arial"/>
      <family val="2"/>
    </font>
    <font>
      <sz val="11"/>
      <color theme="1"/>
      <name val="Aptos"/>
      <family val="2"/>
    </font>
    <font>
      <b/>
      <sz val="11"/>
      <color theme="0"/>
      <name val="Arial"/>
      <family val="2"/>
    </font>
    <font>
      <b/>
      <sz val="11"/>
      <color theme="1"/>
      <name val="Aptos"/>
      <family val="2"/>
    </font>
    <font>
      <b/>
      <sz val="11"/>
      <color rgb="FF000000"/>
      <name val="Aptos"/>
      <family val="2"/>
    </font>
    <font>
      <u/>
      <sz val="11"/>
      <color theme="10"/>
      <name val="Aptos Narrow"/>
      <family val="2"/>
      <scheme val="minor"/>
    </font>
    <font>
      <b/>
      <sz val="11"/>
      <color theme="10"/>
      <name val="Arial"/>
      <family val="2"/>
    </font>
    <font>
      <b/>
      <sz val="6"/>
      <color theme="1"/>
      <name val="Arial"/>
      <family val="2"/>
    </font>
    <font>
      <sz val="6"/>
      <color theme="1"/>
      <name val="Arial"/>
      <family val="2"/>
    </font>
  </fonts>
  <fills count="5">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rgb="FFF2F2F2"/>
        <bgColor indexed="64"/>
      </patternFill>
    </fill>
  </fills>
  <borders count="20">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right style="thin">
        <color theme="0" tint="-0.34998626667073579"/>
      </right>
      <top style="thin">
        <color theme="0" tint="-0.34998626667073579"/>
      </top>
      <bottom/>
      <diagonal/>
    </border>
    <border>
      <left/>
      <right style="thin">
        <color theme="0" tint="-0.34998626667073579"/>
      </right>
      <top/>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right/>
      <top/>
      <bottom style="thin">
        <color theme="0" tint="-0.499984740745262"/>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3" fillId="0" borderId="0" applyNumberFormat="0" applyFill="0" applyBorder="0" applyAlignment="0" applyProtection="0"/>
  </cellStyleXfs>
  <cellXfs count="138">
    <xf numFmtId="0" fontId="0" fillId="0" borderId="0" xfId="0"/>
    <xf numFmtId="0" fontId="0" fillId="0" borderId="0" xfId="0" applyAlignment="1">
      <alignment horizontal="center"/>
    </xf>
    <xf numFmtId="0" fontId="7" fillId="4"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2" fontId="8" fillId="0" borderId="1" xfId="0" applyNumberFormat="1" applyFont="1" applyBorder="1" applyAlignment="1">
      <alignment horizontal="center" vertical="center" wrapText="1"/>
    </xf>
    <xf numFmtId="2" fontId="6" fillId="0" borderId="1" xfId="0" applyNumberFormat="1" applyFont="1" applyBorder="1" applyAlignment="1">
      <alignment horizontal="center" vertical="center"/>
    </xf>
    <xf numFmtId="0" fontId="2" fillId="0" borderId="0" xfId="0" applyFont="1" applyAlignment="1">
      <alignment horizontal="center" vertical="center" wrapText="1"/>
    </xf>
    <xf numFmtId="0" fontId="12" fillId="0" borderId="1" xfId="0" applyFont="1" applyBorder="1" applyAlignment="1">
      <alignment horizontal="center" vertical="center" wrapText="1"/>
    </xf>
    <xf numFmtId="49" fontId="15" fillId="0" borderId="1" xfId="0" applyNumberFormat="1" applyFont="1" applyBorder="1" applyAlignment="1">
      <alignment horizontal="center" vertical="center"/>
    </xf>
    <xf numFmtId="0" fontId="15" fillId="0" borderId="1" xfId="0" applyFont="1" applyBorder="1" applyAlignment="1">
      <alignment horizontal="center" vertical="center"/>
    </xf>
    <xf numFmtId="2" fontId="15" fillId="0" borderId="1" xfId="0" applyNumberFormat="1" applyFont="1" applyBorder="1" applyAlignment="1">
      <alignment horizontal="center" vertical="center"/>
    </xf>
    <xf numFmtId="0" fontId="4" fillId="4" borderId="5" xfId="0" applyFont="1" applyFill="1" applyBorder="1" applyAlignment="1">
      <alignment horizontal="center" vertical="center" wrapText="1"/>
    </xf>
    <xf numFmtId="2" fontId="0" fillId="0" borderId="0" xfId="0" applyNumberFormat="1"/>
    <xf numFmtId="0" fontId="2" fillId="3" borderId="1" xfId="0" applyFont="1" applyFill="1" applyBorder="1" applyAlignment="1">
      <alignment horizontal="center" vertical="center" wrapText="1"/>
    </xf>
    <xf numFmtId="2" fontId="12" fillId="0" borderId="1" xfId="0" applyNumberFormat="1" applyFont="1" applyBorder="1" applyAlignment="1">
      <alignment horizontal="center" vertical="center" wrapText="1"/>
    </xf>
    <xf numFmtId="0" fontId="16" fillId="4" borderId="5" xfId="0" applyFont="1" applyFill="1" applyBorder="1" applyAlignment="1">
      <alignment horizontal="center" vertical="center" wrapText="1"/>
    </xf>
    <xf numFmtId="0" fontId="17" fillId="4" borderId="1" xfId="0" applyFont="1" applyFill="1" applyBorder="1" applyAlignment="1">
      <alignment horizontal="center" vertical="center" wrapText="1"/>
    </xf>
    <xf numFmtId="0" fontId="17" fillId="4" borderId="6" xfId="0" applyFont="1" applyFill="1" applyBorder="1" applyAlignment="1">
      <alignment horizontal="center" vertical="center" wrapText="1"/>
    </xf>
    <xf numFmtId="2" fontId="12" fillId="0" borderId="6" xfId="0" applyNumberFormat="1" applyFont="1" applyBorder="1" applyAlignment="1">
      <alignment horizontal="center" vertical="center" wrapText="1"/>
    </xf>
    <xf numFmtId="2" fontId="16" fillId="0" borderId="6" xfId="0" applyNumberFormat="1" applyFont="1" applyBorder="1" applyAlignment="1">
      <alignment horizontal="center" vertical="center" wrapText="1"/>
    </xf>
    <xf numFmtId="0" fontId="14" fillId="0" borderId="0" xfId="0" applyFont="1" applyAlignment="1">
      <alignment vertical="center"/>
    </xf>
    <xf numFmtId="0" fontId="16" fillId="4" borderId="3" xfId="0" applyFont="1" applyFill="1" applyBorder="1" applyAlignment="1">
      <alignment horizontal="center" vertical="center" wrapText="1"/>
    </xf>
    <xf numFmtId="0" fontId="14" fillId="0" borderId="0" xfId="0" applyFont="1" applyAlignment="1">
      <alignment horizontal="center" vertical="center"/>
    </xf>
    <xf numFmtId="0" fontId="12" fillId="0" borderId="0" xfId="0" applyFont="1" applyAlignment="1">
      <alignment horizontal="center" vertical="center" wrapText="1"/>
    </xf>
    <xf numFmtId="49" fontId="18" fillId="0" borderId="0" xfId="0" applyNumberFormat="1" applyFont="1" applyAlignment="1">
      <alignment horizontal="center" vertical="center"/>
    </xf>
    <xf numFmtId="49" fontId="14" fillId="0" borderId="0" xfId="0" applyNumberFormat="1" applyFont="1" applyAlignment="1">
      <alignment horizontal="center" vertical="center"/>
    </xf>
    <xf numFmtId="0" fontId="19" fillId="0" borderId="6" xfId="0" applyFont="1" applyBorder="1" applyAlignment="1">
      <alignment horizontal="center" vertical="center" wrapText="1"/>
    </xf>
    <xf numFmtId="2" fontId="12" fillId="4" borderId="6" xfId="0" applyNumberFormat="1" applyFont="1" applyFill="1" applyBorder="1" applyAlignment="1">
      <alignment horizontal="center" vertical="center" wrapText="1"/>
    </xf>
    <xf numFmtId="2" fontId="12" fillId="4" borderId="9" xfId="0" applyNumberFormat="1" applyFont="1" applyFill="1" applyBorder="1" applyAlignment="1">
      <alignment horizontal="center" vertical="center" wrapText="1"/>
    </xf>
    <xf numFmtId="2" fontId="12" fillId="0" borderId="9" xfId="0" applyNumberFormat="1" applyFont="1" applyBorder="1" applyAlignment="1">
      <alignment horizontal="center" vertical="center" wrapText="1"/>
    </xf>
    <xf numFmtId="0" fontId="16" fillId="4" borderId="0" xfId="0" applyFont="1" applyFill="1" applyAlignment="1">
      <alignment horizontal="center" vertical="center" wrapText="1"/>
    </xf>
    <xf numFmtId="2" fontId="12" fillId="4" borderId="1" xfId="0" applyNumberFormat="1" applyFont="1" applyFill="1" applyBorder="1" applyAlignment="1">
      <alignment horizontal="center" vertical="center" wrapText="1"/>
    </xf>
    <xf numFmtId="0" fontId="21" fillId="0" borderId="6" xfId="0" applyFont="1" applyBorder="1" applyAlignment="1">
      <alignment horizontal="center" vertical="center" wrapText="1"/>
    </xf>
    <xf numFmtId="2" fontId="19" fillId="0" borderId="6" xfId="0" applyNumberFormat="1" applyFont="1" applyBorder="1" applyAlignment="1">
      <alignment horizontal="center" vertical="center" wrapText="1"/>
    </xf>
    <xf numFmtId="2" fontId="16" fillId="4" borderId="6" xfId="0" applyNumberFormat="1" applyFont="1" applyFill="1" applyBorder="1" applyAlignment="1">
      <alignment horizontal="center" vertical="center" wrapText="1"/>
    </xf>
    <xf numFmtId="2" fontId="21" fillId="0" borderId="6" xfId="0" applyNumberFormat="1" applyFont="1" applyBorder="1" applyAlignment="1">
      <alignment horizontal="center" vertical="center" wrapText="1"/>
    </xf>
    <xf numFmtId="2" fontId="22" fillId="4" borderId="6" xfId="0" applyNumberFormat="1" applyFont="1" applyFill="1" applyBorder="1" applyAlignment="1">
      <alignment horizontal="center" vertical="center" wrapText="1"/>
    </xf>
    <xf numFmtId="49" fontId="12" fillId="0" borderId="1" xfId="0" applyNumberFormat="1" applyFont="1" applyBorder="1" applyAlignment="1">
      <alignment horizontal="center" vertical="center" textRotation="90" wrapText="1"/>
    </xf>
    <xf numFmtId="0" fontId="24" fillId="3" borderId="0" xfId="1" quotePrefix="1" applyFont="1" applyFill="1" applyAlignment="1">
      <alignment horizontal="center" vertical="center" wrapText="1"/>
    </xf>
    <xf numFmtId="2" fontId="12" fillId="0" borderId="1" xfId="0" applyNumberFormat="1" applyFont="1" applyBorder="1" applyAlignment="1">
      <alignment horizontal="center" vertical="center" textRotation="90" wrapText="1"/>
    </xf>
    <xf numFmtId="2" fontId="14" fillId="0" borderId="0" xfId="0" applyNumberFormat="1" applyFont="1" applyAlignment="1">
      <alignment horizontal="center" vertical="center"/>
    </xf>
    <xf numFmtId="1" fontId="15" fillId="0" borderId="1" xfId="0" applyNumberFormat="1" applyFont="1" applyBorder="1" applyAlignment="1">
      <alignment horizontal="center" vertical="center"/>
    </xf>
    <xf numFmtId="2" fontId="12" fillId="0" borderId="1" xfId="0" applyNumberFormat="1" applyFont="1" applyBorder="1" applyAlignment="1">
      <alignment vertical="center" textRotation="90" wrapText="1"/>
    </xf>
    <xf numFmtId="0" fontId="25" fillId="0" borderId="0" xfId="0" applyFont="1" applyAlignment="1">
      <alignment vertical="center" wrapText="1"/>
    </xf>
    <xf numFmtId="0" fontId="25" fillId="0" borderId="0" xfId="0" applyFont="1" applyAlignment="1">
      <alignment horizontal="center" vertical="center" wrapText="1"/>
    </xf>
    <xf numFmtId="0" fontId="26" fillId="0" borderId="0" xfId="0" applyFont="1" applyAlignment="1">
      <alignment horizontal="center" vertical="center" wrapText="1"/>
    </xf>
    <xf numFmtId="0" fontId="26" fillId="0" borderId="0" xfId="0" applyFont="1" applyAlignment="1">
      <alignment horizontal="center" vertical="center"/>
    </xf>
    <xf numFmtId="0" fontId="26" fillId="0" borderId="0" xfId="0" applyFont="1" applyAlignment="1">
      <alignment vertical="center" wrapText="1"/>
    </xf>
    <xf numFmtId="0" fontId="15" fillId="0" borderId="0" xfId="0" applyFont="1" applyAlignment="1">
      <alignment horizontal="center" vertical="center"/>
    </xf>
    <xf numFmtId="0" fontId="12" fillId="0" borderId="1" xfId="0" applyFont="1" applyBorder="1" applyAlignment="1">
      <alignment horizontal="center" vertical="center" textRotation="90" wrapText="1"/>
    </xf>
    <xf numFmtId="0" fontId="13" fillId="0" borderId="1" xfId="0" applyFont="1" applyBorder="1" applyAlignment="1">
      <alignment horizontal="center" vertical="center" textRotation="90" wrapText="1"/>
    </xf>
    <xf numFmtId="0" fontId="16" fillId="4" borderId="6" xfId="0" applyFont="1" applyFill="1" applyBorder="1" applyAlignment="1">
      <alignment horizontal="center" vertical="center" wrapText="1"/>
    </xf>
    <xf numFmtId="0" fontId="2" fillId="0" borderId="1" xfId="0" applyFont="1" applyBorder="1" applyAlignment="1">
      <alignment horizontal="center" vertical="center" wrapText="1"/>
    </xf>
    <xf numFmtId="0" fontId="4" fillId="4" borderId="1" xfId="0" applyFont="1" applyFill="1" applyBorder="1" applyAlignment="1">
      <alignment horizontal="center" vertical="center" wrapText="1"/>
    </xf>
    <xf numFmtId="0" fontId="12" fillId="0" borderId="6" xfId="0" applyFont="1" applyBorder="1" applyAlignment="1">
      <alignment horizontal="center" vertical="center" wrapText="1"/>
    </xf>
    <xf numFmtId="0" fontId="16" fillId="4" borderId="1" xfId="0" applyFont="1" applyFill="1" applyBorder="1" applyAlignment="1">
      <alignment horizontal="center" vertical="center" wrapText="1"/>
    </xf>
    <xf numFmtId="0" fontId="22" fillId="4" borderId="6"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6" fillId="4" borderId="19" xfId="0" applyFont="1" applyFill="1" applyBorder="1" applyAlignment="1">
      <alignment horizontal="center" vertical="center" wrapText="1"/>
    </xf>
    <xf numFmtId="2" fontId="12" fillId="4" borderId="19" xfId="0" applyNumberFormat="1" applyFont="1" applyFill="1" applyBorder="1" applyAlignment="1">
      <alignment horizontal="center" vertical="center" wrapText="1"/>
    </xf>
    <xf numFmtId="2" fontId="12" fillId="0" borderId="19" xfId="0" applyNumberFormat="1" applyFont="1" applyBorder="1" applyAlignment="1">
      <alignment horizontal="center" vertical="center" wrapText="1"/>
    </xf>
    <xf numFmtId="0" fontId="13" fillId="0" borderId="1" xfId="0" applyFont="1" applyBorder="1" applyAlignment="1">
      <alignment horizontal="center" vertical="center" textRotation="90"/>
    </xf>
    <xf numFmtId="0" fontId="13" fillId="0" borderId="1" xfId="0" applyFont="1" applyBorder="1" applyAlignment="1">
      <alignment horizontal="center" vertical="center" textRotation="90" wrapText="1"/>
    </xf>
    <xf numFmtId="0" fontId="12" fillId="2" borderId="1" xfId="0" applyFont="1" applyFill="1" applyBorder="1" applyAlignment="1">
      <alignment horizontal="center" vertical="center" wrapText="1"/>
    </xf>
    <xf numFmtId="0" fontId="12" fillId="0" borderId="1" xfId="0" applyFont="1" applyBorder="1" applyAlignment="1">
      <alignment horizontal="center" vertical="center" textRotation="90" wrapText="1"/>
    </xf>
    <xf numFmtId="0" fontId="12" fillId="2" borderId="1" xfId="0" applyFont="1" applyFill="1" applyBorder="1" applyAlignment="1">
      <alignment horizontal="center" vertical="center"/>
    </xf>
    <xf numFmtId="0" fontId="12" fillId="2" borderId="2"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16" fillId="4" borderId="6" xfId="0" applyFont="1" applyFill="1" applyBorder="1" applyAlignment="1">
      <alignment horizontal="center" vertical="center" wrapText="1"/>
    </xf>
    <xf numFmtId="0" fontId="12" fillId="4" borderId="7" xfId="0" applyFont="1" applyFill="1" applyBorder="1" applyAlignment="1">
      <alignment horizontal="center" vertical="center" wrapText="1"/>
    </xf>
    <xf numFmtId="0" fontId="12" fillId="4" borderId="8" xfId="0" applyFont="1" applyFill="1" applyBorder="1" applyAlignment="1">
      <alignment horizontal="center" vertical="center" wrapText="1"/>
    </xf>
    <xf numFmtId="0" fontId="17" fillId="0" borderId="7" xfId="0" applyFont="1" applyBorder="1" applyAlignment="1">
      <alignment horizontal="center" vertical="center" wrapText="1"/>
    </xf>
    <xf numFmtId="0" fontId="17" fillId="0" borderId="8" xfId="0" applyFont="1" applyBorder="1" applyAlignment="1">
      <alignment horizontal="center" vertical="center" wrapText="1"/>
    </xf>
    <xf numFmtId="0" fontId="17" fillId="0" borderId="9" xfId="0" applyFont="1" applyBorder="1" applyAlignment="1">
      <alignment horizontal="center" vertical="center" wrapText="1"/>
    </xf>
    <xf numFmtId="0" fontId="2" fillId="0" borderId="1" xfId="0" applyFont="1" applyBorder="1" applyAlignment="1">
      <alignment horizontal="center" vertical="center" wrapText="1"/>
    </xf>
    <xf numFmtId="0" fontId="8"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3" xfId="0" applyFont="1" applyBorder="1" applyAlignment="1">
      <alignment horizontal="center" vertical="center" wrapText="1"/>
    </xf>
    <xf numFmtId="0" fontId="12" fillId="4" borderId="9" xfId="0" applyFont="1" applyFill="1" applyBorder="1" applyAlignment="1">
      <alignment horizontal="center" vertical="center" wrapText="1"/>
    </xf>
    <xf numFmtId="0" fontId="12" fillId="4" borderId="6" xfId="0" applyFont="1" applyFill="1" applyBorder="1" applyAlignment="1">
      <alignment horizontal="center" vertical="center" wrapText="1"/>
    </xf>
    <xf numFmtId="0" fontId="1" fillId="0" borderId="7" xfId="0" applyFont="1" applyBorder="1" applyAlignment="1">
      <alignment horizontal="center" vertical="center" wrapText="1"/>
    </xf>
    <xf numFmtId="0" fontId="12" fillId="0" borderId="6" xfId="0" applyFont="1" applyBorder="1" applyAlignment="1">
      <alignment horizontal="center" vertical="center" wrapText="1"/>
    </xf>
    <xf numFmtId="0" fontId="17" fillId="0" borderId="17" xfId="0" applyFont="1" applyBorder="1" applyAlignment="1">
      <alignment horizontal="center" vertical="center" wrapText="1"/>
    </xf>
    <xf numFmtId="0" fontId="17" fillId="0" borderId="16" xfId="0" applyFont="1" applyBorder="1" applyAlignment="1">
      <alignment horizontal="center" vertical="center" wrapText="1"/>
    </xf>
    <xf numFmtId="0" fontId="17" fillId="0" borderId="18" xfId="0" applyFont="1" applyBorder="1" applyAlignment="1">
      <alignment horizontal="center" vertical="center" wrapText="1"/>
    </xf>
    <xf numFmtId="0" fontId="16" fillId="4" borderId="1" xfId="0" applyFont="1" applyFill="1" applyBorder="1" applyAlignment="1">
      <alignment horizontal="center" vertical="center" wrapText="1"/>
    </xf>
    <xf numFmtId="0" fontId="17" fillId="0" borderId="2"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3" xfId="0" applyFont="1" applyBorder="1" applyAlignment="1">
      <alignment horizontal="center" vertical="center" wrapText="1"/>
    </xf>
    <xf numFmtId="0" fontId="12" fillId="4" borderId="1" xfId="0" applyFont="1" applyFill="1" applyBorder="1" applyAlignment="1">
      <alignment horizontal="center" vertical="center" wrapText="1"/>
    </xf>
    <xf numFmtId="0" fontId="16" fillId="4" borderId="19" xfId="0" applyFont="1" applyFill="1" applyBorder="1" applyAlignment="1">
      <alignment horizontal="center" vertical="center" wrapText="1"/>
    </xf>
    <xf numFmtId="0" fontId="17" fillId="0" borderId="19" xfId="0" applyFont="1" applyBorder="1" applyAlignment="1">
      <alignment horizontal="center" vertical="center" wrapText="1"/>
    </xf>
    <xf numFmtId="0" fontId="12" fillId="4" borderId="19" xfId="0" applyFont="1" applyFill="1" applyBorder="1" applyAlignment="1">
      <alignment horizontal="center" vertical="center" wrapText="1"/>
    </xf>
    <xf numFmtId="0" fontId="13" fillId="0" borderId="11" xfId="0" applyFont="1" applyBorder="1" applyAlignment="1">
      <alignment horizontal="center" vertical="center" textRotation="90" wrapText="1"/>
    </xf>
    <xf numFmtId="0" fontId="13" fillId="0" borderId="12" xfId="0" applyFont="1" applyBorder="1" applyAlignment="1">
      <alignment horizontal="center" vertical="center" textRotation="90" wrapText="1"/>
    </xf>
    <xf numFmtId="0" fontId="13" fillId="0" borderId="13" xfId="0" applyFont="1" applyBorder="1" applyAlignment="1">
      <alignment horizontal="center" vertical="center" textRotation="90" wrapText="1"/>
    </xf>
    <xf numFmtId="0" fontId="13" fillId="0" borderId="14" xfId="0" applyFont="1" applyBorder="1" applyAlignment="1">
      <alignment horizontal="center" vertical="center" textRotation="90" wrapText="1"/>
    </xf>
    <xf numFmtId="0" fontId="13" fillId="0" borderId="5" xfId="0" applyFont="1" applyBorder="1" applyAlignment="1">
      <alignment horizontal="center" vertical="center" textRotation="90" wrapText="1"/>
    </xf>
    <xf numFmtId="0" fontId="13" fillId="0" borderId="15" xfId="0" applyFont="1" applyBorder="1" applyAlignment="1">
      <alignment horizontal="center" vertical="center" textRotation="90" wrapText="1"/>
    </xf>
    <xf numFmtId="0" fontId="12" fillId="0" borderId="14" xfId="0" applyFont="1" applyBorder="1" applyAlignment="1">
      <alignment horizontal="center" vertical="center" textRotation="90"/>
    </xf>
    <xf numFmtId="0" fontId="12" fillId="0" borderId="5" xfId="0" applyFont="1" applyBorder="1" applyAlignment="1">
      <alignment horizontal="center" vertical="center" textRotation="90"/>
    </xf>
    <xf numFmtId="0" fontId="12" fillId="0" borderId="15" xfId="0" applyFont="1" applyBorder="1" applyAlignment="1">
      <alignment horizontal="center" vertical="center" textRotation="90"/>
    </xf>
    <xf numFmtId="0" fontId="20" fillId="0" borderId="11" xfId="0" applyFont="1" applyBorder="1" applyAlignment="1">
      <alignment horizontal="center" vertical="center" textRotation="90"/>
    </xf>
    <xf numFmtId="0" fontId="20" fillId="0" borderId="12" xfId="0" applyFont="1" applyBorder="1" applyAlignment="1">
      <alignment horizontal="center" vertical="center" textRotation="90"/>
    </xf>
    <xf numFmtId="0" fontId="20" fillId="0" borderId="13" xfId="0" applyFont="1" applyBorder="1" applyAlignment="1">
      <alignment horizontal="center" vertical="center" textRotation="90"/>
    </xf>
    <xf numFmtId="0" fontId="12" fillId="0" borderId="11" xfId="0" applyFont="1" applyBorder="1" applyAlignment="1">
      <alignment horizontal="center" vertical="center" textRotation="90"/>
    </xf>
    <xf numFmtId="0" fontId="12" fillId="0" borderId="12" xfId="0" applyFont="1" applyBorder="1" applyAlignment="1">
      <alignment horizontal="center" vertical="center" textRotation="90"/>
    </xf>
    <xf numFmtId="0" fontId="12" fillId="0" borderId="13" xfId="0" applyFont="1" applyBorder="1" applyAlignment="1">
      <alignment horizontal="center" vertical="center" textRotation="90"/>
    </xf>
    <xf numFmtId="0" fontId="22" fillId="4" borderId="6" xfId="0" applyFont="1" applyFill="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2" fontId="1" fillId="0" borderId="1" xfId="0" applyNumberFormat="1" applyFont="1" applyBorder="1" applyAlignment="1">
      <alignment horizontal="center" vertical="center" wrapText="1"/>
    </xf>
    <xf numFmtId="0" fontId="1" fillId="0" borderId="0" xfId="0" applyFont="1" applyAlignment="1">
      <alignment horizontal="center" vertical="center"/>
    </xf>
    <xf numFmtId="2" fontId="1" fillId="0" borderId="1" xfId="0" applyNumberFormat="1" applyFont="1" applyBorder="1" applyAlignment="1">
      <alignment horizontal="center" vertical="center"/>
    </xf>
    <xf numFmtId="0" fontId="1" fillId="0" borderId="0" xfId="0" applyFont="1" applyAlignment="1">
      <alignment horizontal="center" vertical="center" wrapText="1"/>
    </xf>
    <xf numFmtId="2" fontId="1" fillId="0" borderId="0" xfId="0" applyNumberFormat="1" applyFont="1" applyAlignment="1">
      <alignment horizontal="center" vertical="center"/>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6" xfId="0" applyFont="1" applyBorder="1" applyAlignment="1">
      <alignment horizontal="center" vertical="center" wrapText="1"/>
    </xf>
    <xf numFmtId="0" fontId="1" fillId="0" borderId="6" xfId="0" applyFont="1" applyBorder="1" applyAlignment="1">
      <alignment horizontal="center" vertical="center" wrapText="1"/>
    </xf>
    <xf numFmtId="2" fontId="1" fillId="0" borderId="6" xfId="0" applyNumberFormat="1" applyFont="1" applyBorder="1" applyAlignment="1">
      <alignment horizontal="center" vertical="center" wrapText="1"/>
    </xf>
    <xf numFmtId="2" fontId="1" fillId="0" borderId="6" xfId="0" applyNumberFormat="1" applyFont="1" applyBorder="1" applyAlignment="1">
      <alignment horizontal="center" vertical="center"/>
    </xf>
    <xf numFmtId="2" fontId="1" fillId="0" borderId="10" xfId="0" applyNumberFormat="1" applyFont="1" applyBorder="1" applyAlignment="1">
      <alignment horizontal="center" vertical="center" wrapText="1"/>
    </xf>
    <xf numFmtId="0" fontId="1" fillId="0" borderId="0" xfId="0" applyFont="1" applyAlignment="1">
      <alignment vertical="center"/>
    </xf>
    <xf numFmtId="0" fontId="1" fillId="0" borderId="6" xfId="0" applyFont="1" applyBorder="1" applyAlignment="1">
      <alignment horizontal="center" vertical="center"/>
    </xf>
    <xf numFmtId="0" fontId="1" fillId="0" borderId="1" xfId="0" applyFont="1" applyBorder="1" applyAlignment="1">
      <alignment horizontal="center" vertical="center" wrapText="1"/>
    </xf>
    <xf numFmtId="2" fontId="1" fillId="0" borderId="0" xfId="0" applyNumberFormat="1" applyFont="1" applyAlignment="1">
      <alignment horizontal="center" vertical="center" wrapText="1"/>
    </xf>
    <xf numFmtId="0" fontId="1" fillId="0" borderId="19" xfId="0" applyFont="1" applyBorder="1" applyAlignment="1">
      <alignment horizontal="center" vertical="center" wrapText="1"/>
    </xf>
    <xf numFmtId="0" fontId="1" fillId="0" borderId="19" xfId="0" applyFont="1" applyBorder="1" applyAlignment="1">
      <alignment horizontal="center" vertical="center" wrapText="1"/>
    </xf>
    <xf numFmtId="2" fontId="1" fillId="0" borderId="19" xfId="0" applyNumberFormat="1" applyFont="1" applyBorder="1" applyAlignment="1">
      <alignment horizontal="center" vertical="center" wrapText="1"/>
    </xf>
    <xf numFmtId="2" fontId="1" fillId="0" borderId="19" xfId="0" applyNumberFormat="1" applyFont="1" applyBorder="1" applyAlignment="1">
      <alignment horizontal="center" vertical="center"/>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 fillId="0" borderId="3" xfId="0" applyFont="1" applyBorder="1" applyAlignment="1">
      <alignment horizontal="center" vertical="center" wrapText="1"/>
    </xf>
  </cellXfs>
  <cellStyles count="2">
    <cellStyle name="Hipervínculo" xfId="1" builtinId="8"/>
    <cellStyle name="Normal" xfId="0" builtinId="0"/>
  </cellStyles>
  <dxfs count="42">
    <dxf>
      <font>
        <b/>
        <i val="0"/>
        <color theme="0"/>
      </font>
      <fill>
        <patternFill>
          <bgColor rgb="FFFF0000"/>
        </patternFill>
      </fill>
    </dxf>
    <dxf>
      <font>
        <b/>
        <i val="0"/>
      </font>
      <fill>
        <patternFill>
          <bgColor rgb="FFFFC000"/>
        </patternFill>
      </fill>
    </dxf>
    <dxf>
      <font>
        <b/>
        <i val="0"/>
        <color auto="1"/>
      </font>
      <fill>
        <patternFill>
          <bgColor rgb="FFFFFF00"/>
        </patternFill>
      </fill>
    </dxf>
    <dxf>
      <font>
        <b/>
        <i val="0"/>
      </font>
      <fill>
        <patternFill>
          <bgColor rgb="FF92D050"/>
        </patternFill>
      </fill>
    </dxf>
    <dxf>
      <font>
        <b/>
        <i val="0"/>
        <color theme="0"/>
      </font>
      <fill>
        <patternFill>
          <bgColor rgb="FFFF0000"/>
        </patternFill>
      </fill>
    </dxf>
    <dxf>
      <font>
        <b/>
        <i val="0"/>
        <color auto="1"/>
      </font>
      <fill>
        <patternFill>
          <bgColor rgb="FFFFC000"/>
        </patternFill>
      </fill>
    </dxf>
    <dxf>
      <font>
        <b/>
        <i val="0"/>
        <color auto="1"/>
      </font>
      <fill>
        <patternFill>
          <bgColor rgb="FFFFFF00"/>
        </patternFill>
      </fill>
    </dxf>
    <dxf>
      <font>
        <b/>
        <i val="0"/>
        <color auto="1"/>
      </font>
      <fill>
        <patternFill>
          <bgColor rgb="FF92D050"/>
        </patternFill>
      </fill>
    </dxf>
    <dxf>
      <font>
        <b/>
        <i val="0"/>
        <strike val="0"/>
        <color theme="0"/>
      </font>
      <fill>
        <patternFill>
          <bgColor rgb="FFFF0000"/>
        </patternFill>
      </fill>
    </dxf>
    <dxf>
      <font>
        <b/>
        <i val="0"/>
        <strike val="0"/>
      </font>
      <fill>
        <patternFill>
          <bgColor rgb="FFFFC000"/>
        </patternFill>
      </fill>
    </dxf>
    <dxf>
      <font>
        <b/>
        <i val="0"/>
        <strike val="0"/>
      </font>
      <fill>
        <patternFill>
          <bgColor rgb="FFFFFF00"/>
        </patternFill>
      </fill>
    </dxf>
    <dxf>
      <font>
        <b/>
        <i val="0"/>
        <strike val="0"/>
        <color auto="1"/>
      </font>
      <fill>
        <patternFill>
          <bgColor rgb="FF92D050"/>
        </patternFill>
      </fill>
    </dxf>
    <dxf>
      <font>
        <b/>
        <i val="0"/>
        <color theme="0"/>
      </font>
      <fill>
        <patternFill>
          <bgColor rgb="FFFF0000"/>
        </patternFill>
      </fill>
    </dxf>
    <dxf>
      <font>
        <b/>
        <i val="0"/>
      </font>
      <fill>
        <patternFill>
          <bgColor rgb="FFFFC000"/>
        </patternFill>
      </fill>
    </dxf>
    <dxf>
      <font>
        <b/>
        <i val="0"/>
      </font>
      <fill>
        <patternFill>
          <bgColor rgb="FFFFFF00"/>
        </patternFill>
      </fill>
    </dxf>
    <dxf>
      <font>
        <b/>
        <i val="0"/>
      </font>
      <fill>
        <patternFill>
          <bgColor rgb="FF92D050"/>
        </patternFill>
      </fill>
    </dxf>
    <dxf>
      <font>
        <b/>
        <i val="0"/>
        <strike val="0"/>
        <color theme="0"/>
      </font>
      <fill>
        <patternFill>
          <bgColor rgb="FFFF0000"/>
        </patternFill>
      </fill>
    </dxf>
    <dxf>
      <font>
        <b/>
        <i val="0"/>
        <strike val="0"/>
      </font>
      <fill>
        <patternFill>
          <bgColor rgb="FFFFC000"/>
        </patternFill>
      </fill>
    </dxf>
    <dxf>
      <font>
        <b/>
        <i val="0"/>
        <strike val="0"/>
      </font>
      <fill>
        <patternFill>
          <bgColor rgb="FF92D050"/>
        </patternFill>
      </fill>
    </dxf>
    <dxf>
      <font>
        <b/>
        <i val="0"/>
        <strike val="0"/>
      </font>
      <fill>
        <patternFill>
          <bgColor rgb="FFFFFF00"/>
        </patternFill>
      </fill>
    </dxf>
    <dxf>
      <font>
        <strike val="0"/>
      </font>
      <fill>
        <patternFill patternType="none">
          <bgColor auto="1"/>
        </patternFill>
      </fill>
    </dxf>
    <dxf>
      <font>
        <b/>
        <i val="0"/>
        <color theme="0"/>
      </font>
      <fill>
        <patternFill>
          <bgColor rgb="FFFF0000"/>
        </patternFill>
      </fill>
    </dxf>
    <dxf>
      <font>
        <b/>
        <i val="0"/>
      </font>
      <fill>
        <patternFill>
          <bgColor rgb="FFFFC000"/>
        </patternFill>
      </fill>
    </dxf>
    <dxf>
      <font>
        <b/>
        <i val="0"/>
        <color auto="1"/>
      </font>
      <fill>
        <patternFill>
          <bgColor rgb="FFFFFF00"/>
        </patternFill>
      </fill>
    </dxf>
    <dxf>
      <font>
        <b/>
        <i val="0"/>
      </font>
      <fill>
        <patternFill>
          <bgColor rgb="FF92D050"/>
        </patternFill>
      </fill>
    </dxf>
    <dxf>
      <font>
        <b/>
        <i val="0"/>
        <color theme="0"/>
      </font>
      <fill>
        <patternFill>
          <bgColor rgb="FFFF0000"/>
        </patternFill>
      </fill>
    </dxf>
    <dxf>
      <font>
        <b/>
        <i val="0"/>
        <color auto="1"/>
      </font>
      <fill>
        <patternFill>
          <bgColor rgb="FFFFC000"/>
        </patternFill>
      </fill>
    </dxf>
    <dxf>
      <font>
        <b/>
        <i val="0"/>
        <color auto="1"/>
      </font>
      <fill>
        <patternFill>
          <bgColor rgb="FFFFFF00"/>
        </patternFill>
      </fill>
    </dxf>
    <dxf>
      <font>
        <b/>
        <i val="0"/>
        <color auto="1"/>
      </font>
      <fill>
        <patternFill>
          <bgColor rgb="FF92D050"/>
        </patternFill>
      </fill>
    </dxf>
    <dxf>
      <font>
        <b/>
        <i val="0"/>
        <strike val="0"/>
        <color theme="0"/>
      </font>
      <fill>
        <patternFill>
          <bgColor rgb="FFFF0000"/>
        </patternFill>
      </fill>
    </dxf>
    <dxf>
      <font>
        <b/>
        <i val="0"/>
        <strike val="0"/>
      </font>
      <fill>
        <patternFill>
          <bgColor rgb="FFFFC000"/>
        </patternFill>
      </fill>
    </dxf>
    <dxf>
      <font>
        <b/>
        <i val="0"/>
        <strike val="0"/>
      </font>
      <fill>
        <patternFill>
          <bgColor rgb="FFFFFF00"/>
        </patternFill>
      </fill>
    </dxf>
    <dxf>
      <font>
        <b/>
        <i val="0"/>
        <strike val="0"/>
        <color auto="1"/>
      </font>
      <fill>
        <patternFill>
          <bgColor rgb="FF92D050"/>
        </patternFill>
      </fill>
    </dxf>
    <dxf>
      <font>
        <b/>
        <i val="0"/>
        <color theme="0"/>
      </font>
      <fill>
        <patternFill>
          <bgColor rgb="FFFF0000"/>
        </patternFill>
      </fill>
    </dxf>
    <dxf>
      <font>
        <b/>
        <i val="0"/>
      </font>
      <fill>
        <patternFill>
          <bgColor rgb="FFFFC000"/>
        </patternFill>
      </fill>
    </dxf>
    <dxf>
      <font>
        <b/>
        <i val="0"/>
      </font>
      <fill>
        <patternFill>
          <bgColor rgb="FFFFFF00"/>
        </patternFill>
      </fill>
    </dxf>
    <dxf>
      <font>
        <b/>
        <i val="0"/>
      </font>
      <fill>
        <patternFill>
          <bgColor rgb="FF92D050"/>
        </patternFill>
      </fill>
    </dxf>
    <dxf>
      <font>
        <b/>
        <i val="0"/>
        <strike val="0"/>
        <color theme="0"/>
      </font>
      <fill>
        <patternFill>
          <bgColor rgb="FFFF0000"/>
        </patternFill>
      </fill>
    </dxf>
    <dxf>
      <font>
        <b/>
        <i val="0"/>
        <strike val="0"/>
      </font>
      <fill>
        <patternFill>
          <bgColor rgb="FFFFC000"/>
        </patternFill>
      </fill>
    </dxf>
    <dxf>
      <font>
        <b/>
        <i val="0"/>
        <strike val="0"/>
      </font>
      <fill>
        <patternFill>
          <bgColor rgb="FF92D050"/>
        </patternFill>
      </fill>
    </dxf>
    <dxf>
      <font>
        <b/>
        <i val="0"/>
        <strike val="0"/>
      </font>
      <fill>
        <patternFill>
          <bgColor rgb="FFFFFF00"/>
        </patternFill>
      </fill>
    </dxf>
    <dxf>
      <font>
        <strike val="0"/>
      </font>
      <fill>
        <patternFill patternType="none">
          <bgColor auto="1"/>
        </patternFill>
      </fill>
    </dxf>
  </dxfs>
  <tableStyles count="0" defaultTableStyle="TableStyleMedium2" defaultPivotStyle="PivotStyleLight16"/>
  <colors>
    <mruColors>
      <color rgb="FFFF5050"/>
      <color rgb="FFFFCC66"/>
      <color rgb="FF00FFFF"/>
      <color rgb="FF99FFCC"/>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183" Type="http://schemas.openxmlformats.org/officeDocument/2006/relationships/worksheet" Target="worksheets/sheet18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worksheet" Target="worksheets/sheet189.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styles" Target="styles.xml"/><Relationship Id="rId190" Type="http://schemas.openxmlformats.org/officeDocument/2006/relationships/worksheet" Target="worksheets/sheet190.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sharedStrings" Target="sharedStrings.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calcChain" Target="calcChain.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39707-D415-4189-8D04-967D66921CE4}">
  <dimension ref="A1:V115"/>
  <sheetViews>
    <sheetView tabSelected="1" topLeftCell="A32" workbookViewId="0">
      <selection activeCell="F33" sqref="F33"/>
    </sheetView>
  </sheetViews>
  <sheetFormatPr defaultColWidth="11.5703125" defaultRowHeight="14.25"/>
  <cols>
    <col min="1" max="1" width="4.7109375" style="49" customWidth="1"/>
    <col min="2" max="2" width="5.85546875" style="23" customWidth="1"/>
    <col min="3" max="3" width="18.85546875" style="23" bestFit="1" customWidth="1"/>
    <col min="4" max="4" width="6.7109375" style="26" customWidth="1"/>
    <col min="5" max="5" width="16.85546875" style="23" customWidth="1"/>
    <col min="6" max="6" width="13.7109375" style="23" bestFit="1" customWidth="1"/>
    <col min="7" max="10" width="6.5703125" style="23" bestFit="1" customWidth="1"/>
    <col min="11" max="11" width="9.42578125" style="41" bestFit="1" customWidth="1"/>
    <col min="12" max="12" width="6.5703125" style="23" bestFit="1" customWidth="1"/>
    <col min="13" max="13" width="4.42578125" style="23" bestFit="1" customWidth="1"/>
    <col min="14" max="14" width="6.5703125" style="23" bestFit="1" customWidth="1"/>
    <col min="15" max="15" width="5.5703125" style="41" bestFit="1" customWidth="1"/>
    <col min="16" max="16" width="3.7109375" style="23" bestFit="1" customWidth="1"/>
    <col min="17" max="17" width="16.85546875" style="23" bestFit="1" customWidth="1"/>
    <col min="18" max="18" width="17" style="23" bestFit="1" customWidth="1"/>
    <col min="19" max="19" width="6.5703125" style="23" customWidth="1"/>
    <col min="20" max="20" width="11.5703125" style="47"/>
    <col min="21" max="16384" width="11.5703125" style="23"/>
  </cols>
  <sheetData>
    <row r="1" spans="1:22" ht="27" customHeight="1">
      <c r="A1" s="64" t="s">
        <v>0</v>
      </c>
      <c r="B1" s="66" t="s">
        <v>1</v>
      </c>
      <c r="C1" s="65" t="s">
        <v>2</v>
      </c>
      <c r="D1" s="65"/>
      <c r="E1" s="65"/>
      <c r="F1" s="65"/>
      <c r="G1" s="67" t="s">
        <v>3</v>
      </c>
      <c r="H1" s="67"/>
      <c r="I1" s="67"/>
      <c r="J1" s="67"/>
      <c r="K1" s="67"/>
      <c r="L1" s="67"/>
      <c r="M1" s="67"/>
      <c r="N1" s="67"/>
      <c r="O1" s="67"/>
      <c r="P1" s="67"/>
      <c r="Q1" s="67"/>
      <c r="R1" s="68" t="s">
        <v>4</v>
      </c>
      <c r="S1" s="69"/>
      <c r="T1" s="48"/>
      <c r="U1" s="24"/>
      <c r="V1" s="24"/>
    </row>
    <row r="2" spans="1:22" ht="157.5">
      <c r="A2" s="64"/>
      <c r="B2" s="66"/>
      <c r="C2" s="50" t="s">
        <v>5</v>
      </c>
      <c r="D2" s="38" t="s">
        <v>6</v>
      </c>
      <c r="E2" s="50" t="s">
        <v>7</v>
      </c>
      <c r="F2" s="50" t="s">
        <v>8</v>
      </c>
      <c r="G2" s="50" t="s">
        <v>9</v>
      </c>
      <c r="H2" s="50" t="s">
        <v>10</v>
      </c>
      <c r="I2" s="50" t="s">
        <v>11</v>
      </c>
      <c r="J2" s="50" t="s">
        <v>12</v>
      </c>
      <c r="K2" s="43" t="s">
        <v>13</v>
      </c>
      <c r="L2" s="50" t="s">
        <v>14</v>
      </c>
      <c r="M2" s="50" t="s">
        <v>15</v>
      </c>
      <c r="N2" s="50" t="s">
        <v>16</v>
      </c>
      <c r="O2" s="40" t="s">
        <v>17</v>
      </c>
      <c r="P2" s="50" t="s">
        <v>18</v>
      </c>
      <c r="Q2" s="51" t="s">
        <v>19</v>
      </c>
      <c r="R2" s="51" t="s">
        <v>20</v>
      </c>
      <c r="S2" s="50" t="s">
        <v>21</v>
      </c>
      <c r="T2" s="46"/>
      <c r="U2" s="39" t="s">
        <v>22</v>
      </c>
      <c r="V2" s="24"/>
    </row>
    <row r="3" spans="1:22" ht="57">
      <c r="A3" s="63" t="s">
        <v>23</v>
      </c>
      <c r="B3" s="113" t="s">
        <v>24</v>
      </c>
      <c r="C3" s="114" t="str">
        <f>IF(D3="","",IF(D3="010-E","Trabajo en altura/ zonas con desnivel",IF(D3="020-E","Superficies irregulares u obstruidas",IF(D3="030-E","Estructuras inestables/ espacios confinados",IF(D3="040-E","Desprendimiento de objetos",IF(D3="090-E","Manipulación de máquinas/ herramientas",IF(D3="100-E","Operaciones de conformado",IF(D3="110-E","Objetos fijos o móviles",IF(D3="250a-E","Situaciones fortuitas",IF(D3="230-E","Colisión/ impacto vehicular",IF(D3="250b-E","Situaciones fortuitas",IF(D3="160-E","Energía eléctrica",IF(D3="150a-E","Fuentes de calor",IF(D3="150b-E","Fuentes de calor",IF(D3="150c-E","Fuentes de calor",IF(D3="570","Condiciones inadecuadas",IF(D3="120-I","Maquinaria pesada",IF(D3="330","Niveles sonoros",IF(D3="340","Movimientos oscilatorios",IF(D3="360","Fuentes emisoras de energía",IF(D3="170","Sustancias químicas",IF(D3="380","Niveles lumínicos",IF(D3="010-I","Trabajo en altura/ zonas con desnivel",IF(D3="020-I","Superficies irregulares u obstruidas",IF(D3="030-I","Estructuras inestables/ espacios confinados",IF(D3="040-I","Desprendimiento de objetos",IF(D3="090-I","Manipulación de máquinas/ herramientas",IF(D3="100-I","Operaciones de conformado",IF(D3="110-I","Objetos fijos o móviles",IF(D3="250a-I","Situaciones fortuitas",IF(D3="230-I","Colisión/ impacto vehicular",IF(D3="250b-I","Situaciones fortuitas",IF(D3="160-I","Energía eléctrica",IF(D3="390","Atmósferas contaminadas",IF(D3="130","Posturas forzadas/ manipulación manual de cargas")))))))))))))))))))))))))))))))))))</f>
        <v>Niveles sonoros</v>
      </c>
      <c r="D3" s="9" t="s">
        <v>25</v>
      </c>
      <c r="E3" s="114" t="str">
        <f>IF(D3="","",IF(D3="010-E","Caída de personas a distinto nivel",IF(D3="020-E","Caída de personas al mismo nivel",IF(D3="030-E","Caída de objetos por desplome",IF(D3="040-E","Caída de objetos en manipulación",IF(D3="090-E","Golpes/cortes por objetos o herramientas",IF(D3="110-E","Atrapamiento por o entre objetos",IF(D3="100-E","Proyección de fragmentos o partículas",IF(D3="230-E","Atropellos o golpes con vehículos",IF(D3="250a-E","Otros riesgos de accidente a) inherentes a la manipulación de herramientas eléctricas",IF(D3="250b-E","Otros riesgos de accidente b) Inherentes a la manipulación de herramientas manuales",IF(D3="160-E","Contactos Eléctricos",IF(D3="150a-E","Contactos térmicos a) inherentes al trabajador",IF(D3="150b-E","Contactos térmicos b) inherentes a la manipulación de elementos estructurales",IF(D3="150c-E","Contactos térmicos c) inherentes al proceso de soldadura",IF(D3="570","Organización del trabajo incorrecta",IF(D3="120-I","Atrapamiento por vuelco de máquinas",IF(D3="","",IF(D3="010-I","Caída de personas a distinto nivel",IF(D3="020-I","Caída de personas al mismo nivel",IF(D3="030-I","Caída de objetos por desplome",IF(D3="040-I","Caída de objetos en manipulación",IF(D3="090-I","Golpes/cortes por objetos o herramientas",IF(D3="110-I","Atrapamiento por o entre objetos",IF(D3="100-I","Proyección de fragmentos o partículas",IF(D3="230-I","Atropellos o golpes con vehículos",IF(D3="250a-I","Otros riesgos de accidente a) inherentes a la manipulación de herramientas eléctricas",IF(D3="250b-I","Otros riesgos de accidente b) Inherentes a la manipulación de herramientas manuales",IF(D3="390","Otra exposición a) asfixia o intoxicación",IF(D3="160-I","Contactos Eléctricos",IF(D3="570","Organización del trabajo incorrecta",IF(D3="120-I","Atrapamiento por vuelco de máquinas",IF(D3="330","Ruido",IF(D3="340","Vibración",IF(D3="360","Radiaciones ionizantes",IF(D3="170","Exposición a sustancias nocivas",IF(D3="130","Sobreesfuerzos",IF(D3="380","Iluminación",IF(D3="330","Ruido",IF(D3="340","Vibración",IF(D3="360","Radiaciones ionizantes",IF(D3="170","Exposición a sustancias nocivas",IF(D3="130","Sobreesfuerzos",IF(D3="380","Iluminación"))))))))))))))))))))))))))))))))))))))))))))</f>
        <v>Ruido</v>
      </c>
      <c r="F3" s="114" t="str">
        <f>IF(D3="","",IF(D3="010-E","Riesgo de seguridad (Riesgo Mecánico)",IF(D3="020-E","Riesgo de seguridad (Riesgo Mecánico)",IF(D3="030-E","Riesgo de seguridad (Riesgo Mecánico)",IF(D3="040-E","Riesgo de seguridad (Riesgo Mecánico)",IF(D3="090-E","Riesgo de seguridad (Riesgo Mecánico)",IF(D3="110-E","Riesgo de seguridad (Riesgo Mecánico)",IF(D3="100-E","Riesgo de seguridad (Riesgo Mecánico)",IF(D3="230-E","Riesgo de seguridad (Riesgo Mecánico)",IF(D3="250a-E","Riesgo de seguridad (Riesgo Mecánico)",IF(D3="250b-E","Riesgo de seguridad (Riesgo Mecánico)",IF(D3="160-E","Riesgo de seguridad (Riesgo Eléctrico)",IF(D3="150a-E","Riesgo de seguridad (Riesgo Industrial Mayor)",IF(D3="150b-E","Riesgo de seguridad (Riesgo Industrial Mayor)",IF(D3="150c-E","Riesgo de seguridad (Riesgo Industrial Mayor)",IF(D3="570","Riesgo de seguridad (Riesgo Locativo)",IF(D3="120-I","Riesgo Mecánico",IF(D3="330","Riesgo Físico",IF(D3="340","Riesgo Físico",IF(D3="360","Riesgo Físico",IF(D3="170","Riesgo Químico",IF(D3="130","Riesgo Ergonómico",IF(D3="380","Riesgo Físico",IF(D3="010-I","Riesgo de seguridad (Riesgo Mecánico)",IF(D3="020-I","Riesgo de seguridad (Riesgo Mecánico)",IF(D3="030-I","Riesgo de seguridad (Riesgo Mecánico)",IF(D3="040-I","Riesgo de seguridad (Riesgo Mecánico)",IF(D3="090-I","Riesgo de seguridad (Riesgo Mecánico)",IF(D3="110-I","Riesgo de seguridad (Riesgo Mecánico)",IF(D3="100-I","Riesgo de seguridad (Riesgo Mecánico)",IF(D3="230-I","Riesgo de seguridad (Riesgo Mecánico)",IF(D3="250a-I","Riesgo de seguridad (Riesgo Mecánico)",IF(D3="250b-I","Riesgo de seguridad (Riesgo Mecánico)",IF(D3="160-I","Riesgo de seguridad (Riesgo Eléctrico)",IF(D3="590","Riesgo de seguridad (Riesgo Mecánico)")))))))))))))))))))))))))))))))))))</f>
        <v>Riesgo Físico</v>
      </c>
      <c r="G3" s="115">
        <f>'E-OP-RC-RF-R'!I13</f>
        <v>10</v>
      </c>
      <c r="H3" s="113" t="str">
        <f>IF(G3="","",IF(AND(G3&lt;=10,G3&gt;6),"MD",IF(AND(G3&lt;=6,G3&gt;2),"D",IF(AND(G3&lt;=2,G3&gt;0),"M",IF(G3=0,"B")))))</f>
        <v>MD</v>
      </c>
      <c r="I3" s="10">
        <v>3</v>
      </c>
      <c r="J3" s="113" t="str">
        <f>IF(I3=4,"EC",IF(I3=3,"EF",IF(I3=2,"EO",IF(I3=1,"EE",""))))</f>
        <v>EF</v>
      </c>
      <c r="K3" s="11">
        <f>IF(I3="","",G3*I3)</f>
        <v>30</v>
      </c>
      <c r="L3" s="113" t="str">
        <f>IF(K3="","",IF(K3&gt;=24,"MA",IF(AND(K3&lt;24,K3&gt;8),"A",IF(AND(K3&lt;=8,K3&gt;4),"M",IF(AND(K3&lt;=4,K3&gt;=0),"B")))))</f>
        <v>MA</v>
      </c>
      <c r="M3" s="10">
        <v>25</v>
      </c>
      <c r="N3" s="113" t="str">
        <f>IF(M3="","",IF(M3=100,"M",IF(M3=60,"MG",IF(M3=25,"G",IF(M3=10,"L","")))))</f>
        <v>G</v>
      </c>
      <c r="O3" s="42">
        <f>IF(M3="","",ROUND(M3*K3,0))</f>
        <v>750</v>
      </c>
      <c r="P3" s="113" t="str">
        <f>IF(O3="","",IF(O3="","",IF(AND(O3&lt;=4000,O3&gt;500),"I",IF(AND(O3&lt;=500,O3&gt;120),"II",IF(AND(O3&lt;=120,O3&gt;20),"III",IF(O3&lt;=20,"IV"))))))</f>
        <v>I</v>
      </c>
      <c r="Q3" s="114" t="str">
        <f>IF(P3="","",IF(P3="I","Situación Crítica.
Corrección urgente.",IF(P3="II","Corregir
y adoptar medidas de control.",IF(P3="III","Mejorar si es posible. Sería conveniente justificar la intervención y su rentabilidad.",IF(P3="IV","No intervenir, salvo que un análisis más preciso lo justifique.")))))</f>
        <v>Situación Crítica.
Corrección urgente.</v>
      </c>
      <c r="R3" s="114" t="str">
        <f>IF(M3=10,"Pequeñas lesiones que no requieren hospitalización.",IF(M3=25,"Lesiones con incapacidad laboral transitoria (I. L. T.).",IF(M3=60,"Lesiones graves que pueden ser irreparables.",IF(M3=100,"1 muerto o más."))))</f>
        <v>Lesiones con incapacidad laboral transitoria (I. L. T.).</v>
      </c>
      <c r="S3" s="114" t="s">
        <v>24</v>
      </c>
      <c r="T3" s="46"/>
      <c r="U3" s="24"/>
      <c r="V3" s="24"/>
    </row>
    <row r="4" spans="1:22" ht="57">
      <c r="A4" s="63"/>
      <c r="B4" s="113" t="s">
        <v>24</v>
      </c>
      <c r="C4" s="114" t="str">
        <f t="shared" ref="C4:C68" si="0">IF(D4="","",IF(D4="010-E","Trabajo en altura/ zonas con desnivel",IF(D4="020-E","Superficies irregulares u obstruidas",IF(D4="030-E","Estructuras inestables/ espacios confinados",IF(D4="040-E","Desprendimiento de objetos",IF(D4="090-E","Manipulación de máquinas/ herramientas",IF(D4="100-E","Operaciones de conformado",IF(D4="110-E","Objetos fijos o móviles",IF(D4="250a-E","Situaciones fortuitas",IF(D4="230-E","Colisión/ impacto vehicular",IF(D4="250b-E","Situaciones fortuitas",IF(D4="160-E","Energía eléctrica",IF(D4="150a-E","Fuentes de calor",IF(D4="150b-E","Fuentes de calor",IF(D4="150c-E","Fuentes de calor",IF(D4="570","Condiciones inadecuadas",IF(D4="120-I","Maquinaria pesada",IF(D4="330","Niveles sonoros",IF(D4="340","Movimientos oscilatorios",IF(D4="360","Fuentes emisoras de energía",IF(D4="170","Sustancias químicas",IF(D4="380","Niveles lumínicos",IF(D4="010-I","Trabajo en altura/ zonas con desnivel",IF(D4="020-I","Superficies irregulares u obstruidas",IF(D4="030-I","Estructuras inestables/ espacios confinados",IF(D4="040-I","Desprendimiento de objetos",IF(D4="090-I","Manipulación de máquinas/ herramientas",IF(D4="100-I","Operaciones de conformado",IF(D4="110-I","Objetos fijos o móviles",IF(D4="250a-I","Situaciones fortuitas",IF(D4="230-I","Colisión/ impacto vehicular",IF(D4="250b-I","Situaciones fortuitas",IF(D4="160-I","Energía eléctrica",IF(D4="390","Atmósferas contaminadas",IF(D4="130","Posturas forzadas/ manipulación manual de cargas")))))))))))))))))))))))))))))))))))</f>
        <v>Niveles lumínicos</v>
      </c>
      <c r="D4" s="9" t="s">
        <v>26</v>
      </c>
      <c r="E4" s="114" t="str">
        <f>IF(D4="","",IF(D4="010-E","Caída de personas a distinto nivel",IF(D4="020-E","Caída de personas al mismo nivel",IF(D4="030-E","Caída de objetos por desplome",IF(D4="040-E","Caída de objetos en manipulación",IF(D4="090-E","Golpes/cortes por objetos o herramientas",IF(D4="110-E","Atrapamiento por o entre objetos",IF(D4="100-E","Proyección de fragmentos o partículas",IF(D4="230-E","Atropellos o golpes con vehículos",IF(D4="250a-E","Otros riesgos de accidente a) inherentes a la manipulación de herramientas eléctricas",IF(D4="250b-E","Otros riesgos de accidente b) Inherentes a la manipulación de herramientas manuales",IF(D4="160-E","Contactos Eléctricos",IF(D4="150a-E","Contactos térmicos a) inherentes al trabajador",IF(D4="150b-E","Contactos térmicos b) inherentes a la manipulación de elementos estructurales",IF(D4="150c-E","Contactos térmicos c) inherentes al proceso de soldadura",IF(D4="570","Organización del trabajo incorrecta",IF(D4="120-I","Atrapamiento por vuelco de máquinas",IF(D4="","",IF(D4="010-I","Caída de personas a distinto nivel",IF(D4="020-I","Caída de personas al mismo nivel",IF(D4="030-I","Caída de objetos por desplome",IF(D4="040-I","Caída de objetos en manipulación",IF(D4="090-I","Golpes/cortes por objetos o herramientas",IF(D4="110-I","Atrapamiento por o entre objetos",IF(D4="100-I","Proyección de fragmentos o partículas",IF(D4="230-I","Atropellos o golpes con vehículos",IF(D4="250a-I","Otros riesgos de accidente a) inherentes a la manipulación de herramientas eléctricas",IF(D4="250b-I","Otros riesgos de accidente b) Inherentes a la manipulación de herramientas manuales",IF(D4="390","Otra exposición a) asfixia o intoxicación",IF(D4="160-I","Contactos Eléctricos",IF(D4="570","Organización del trabajo incorrecta",IF(D4="120-I","Atrapamiento por vuelco de máquinas",IF(D4="330","Ruido",IF(D4="340","Vibración",IF(D4="360","Radiaciones ionizantes",IF(D4="170","Exposición a sustancias nocivas",IF(D4="130","Sobreesfuerzos",IF(D4="380","Iluminación",IF(D4="330","Ruido",IF(D4="340","Vibración",IF(D4="360","Radiaciones ionizantes",IF(D4="170","Exposición a sustancias nocivas",IF(D4="130","Sobreesfuerzos",IF(D4="380","Iluminación"))))))))))))))))))))))))))))))))))))))))))))</f>
        <v>Iluminación</v>
      </c>
      <c r="F4" s="114" t="str">
        <f>IF(D4="","",IF(D4="010-E","Riesgo de seguridad (Riesgo Mecánico)",IF(D4="020-E","Riesgo de seguridad (Riesgo Mecánico)",IF(D4="030-E","Riesgo de seguridad (Riesgo Mecánico)",IF(D4="040-E","Riesgo de seguridad (Riesgo Mecánico)",IF(D4="090-E","Riesgo de seguridad (Riesgo Mecánico)",IF(D4="110-E","Riesgo de seguridad (Riesgo Mecánico)",IF(D4="100-E","Riesgo de seguridad (Riesgo Mecánico)",IF(D4="230-E","Riesgo de seguridad (Riesgo Mecánico)",IF(D4="250a-E","Riesgo de seguridad (Riesgo Mecánico)",IF(D4="250b-E","Riesgo de seguridad (Riesgo Mecánico)",IF(D4="160-E","Riesgo de seguridad (Riesgo Eléctrico)",IF(D4="150a-E","Riesgo de seguridad (Riesgo Industrial Mayor)",IF(D4="150b-E","Riesgo de seguridad (Riesgo Industrial Mayor)",IF(D4="150c-E","Riesgo de seguridad (Riesgo Industrial Mayor)",IF(D4="570","Riesgo de seguridad (Riesgo Locativo)",IF(D4="120-I","Riesgo Mecánico",IF(D4="330","Riesgo Físico",IF(D4="340","Riesgo Físico",IF(D4="360","Riesgo Físico",IF(D4="170","Riesgo Químico",IF(D4="130","Riesgo Ergonómico",IF(D4="380","Riesgo Físico",IF(D4="010-I","Riesgo de seguridad (Riesgo Mecánico)",IF(D4="020-I","Riesgo de seguridad (Riesgo Mecánico)",IF(D4="030-I","Riesgo de seguridad (Riesgo Mecánico)",IF(D4="040-I","Riesgo de seguridad (Riesgo Mecánico)",IF(D4="090-I","Riesgo de seguridad (Riesgo Mecánico)",IF(D4="110-I","Riesgo de seguridad (Riesgo Mecánico)",IF(D4="100-I","Riesgo de seguridad (Riesgo Mecánico)",IF(D4="230-I","Riesgo de seguridad (Riesgo Mecánico)",IF(D4="250a-I","Riesgo de seguridad (Riesgo Mecánico)",IF(D4="250b-I","Riesgo de seguridad (Riesgo Mecánico)",IF(D4="160-I","Riesgo de seguridad (Riesgo Eléctrico)",IF(D4="590","Riesgo de seguridad (Riesgo Mecánico)")))))))))))))))))))))))))))))))))))</f>
        <v>Riesgo Físico</v>
      </c>
      <c r="G4" s="115">
        <f>'E-OP-RC-RF-I'!I12</f>
        <v>6.8421052631578956</v>
      </c>
      <c r="H4" s="113" t="str">
        <f t="shared" ref="H4:H70" si="1">IF(G4="","",IF(AND(G4&lt;=10,G4&gt;6),"MD",IF(AND(G4&lt;=6,G4&gt;2),"D",IF(AND(G4&lt;=2,G4&gt;0),"M",IF(G4=0,"B")))))</f>
        <v>MD</v>
      </c>
      <c r="I4" s="10">
        <v>1</v>
      </c>
      <c r="J4" s="113" t="str">
        <f>IF(I4=4,"EC",IF(I4=3,"EF",IF(I4=2,"EO",IF(I4=1,"EE",""))))</f>
        <v>EE</v>
      </c>
      <c r="K4" s="11">
        <f>IF(I4="","",G4*I4)</f>
        <v>6.8421052631578956</v>
      </c>
      <c r="L4" s="113" t="str">
        <f t="shared" ref="L4:L70" si="2">IF(K4="","",IF(K4&gt;=24,"MA",IF(AND(K4&lt;24,K4&gt;8),"A",IF(AND(K4&lt;=8,K4&gt;4),"M",IF(AND(K4&lt;=4,K4&gt;=0),"B")))))</f>
        <v>M</v>
      </c>
      <c r="M4" s="10">
        <v>25</v>
      </c>
      <c r="N4" s="113" t="str">
        <f>IF(M4="","",IF(M4=100,"M",IF(M4=60,"MG",IF(M4=25,"G",IF(M4=10,"L","")))))</f>
        <v>G</v>
      </c>
      <c r="O4" s="42">
        <f t="shared" ref="O4:O68" si="3">IF(M4="","",ROUND(M4*K4,0))</f>
        <v>171</v>
      </c>
      <c r="P4" s="113" t="str">
        <f t="shared" ref="P4:P70" si="4">IF(O4="","",IF(O4="","",IF(AND(O4&lt;=4000,O4&gt;500),"I",IF(AND(O4&lt;=500,O4&gt;120),"II",IF(AND(O4&lt;=120,O4&gt;20),"III",IF(O4&lt;=20,"IV"))))))</f>
        <v>II</v>
      </c>
      <c r="Q4" s="114" t="str">
        <f t="shared" ref="Q4:Q70" si="5">IF(P4="","",IF(P4="I","Situación Crítica.
Corrección urgente.",IF(P4="II","Corregir
y adoptar medidas de control.",IF(P4="III","Mejorar si es posible. Sería conveniente justificar la intervención y su rentabilidad.",IF(P4="IV","No intervenir, salvo que un análisis más preciso lo justifique.")))))</f>
        <v>Corregir
y adoptar medidas de control.</v>
      </c>
      <c r="R4" s="114" t="str">
        <f t="shared" ref="R4:R71" si="6">IF(M4=10,"Pequeñas lesiones que no requieren hospitalización.",IF(M4=25,"Lesiones con incapacidad laboral transitoria (I. L. T.).",IF(M4=60,"Lesiones graves que pueden ser irreparables.",IF(M4=100,"1 muerto o más."))))</f>
        <v>Lesiones con incapacidad laboral transitoria (I. L. T.).</v>
      </c>
      <c r="S4" s="114" t="s">
        <v>24</v>
      </c>
      <c r="T4" s="46"/>
      <c r="U4" s="24"/>
      <c r="V4" s="24"/>
    </row>
    <row r="5" spans="1:22" ht="57">
      <c r="A5" s="63"/>
      <c r="B5" s="113" t="s">
        <v>24</v>
      </c>
      <c r="C5" s="114" t="str">
        <f t="shared" si="0"/>
        <v>Condiciones inadecuadas</v>
      </c>
      <c r="D5" s="9" t="s">
        <v>27</v>
      </c>
      <c r="E5" s="114" t="str">
        <f>IF(D5="","",IF(D5="010-E","Caída de personas a distinto nivel",IF(D5="020-E","Caída de personas al mismo nivel",IF(D5="030-E","Caída de objetos por desplome",IF(D5="040-E","Caída de objetos en manipulación",IF(D5="090-E","Golpes/cortes por objetos o herramientas",IF(D5="110-E","Atrapamiento por o entre objetos",IF(D5="100-E","Proyección de fragmentos o partículas",IF(D5="230-E","Atropellos o golpes con vehículos",IF(D5="250a-E","Otros riesgos de accidente a) inherentes a la manipulación de herramientas eléctricas",IF(D5="250b-E","Otros riesgos de accidente b) Inherentes a la manipulación de herramientas manuales",IF(D5="160-E","Contactos Eléctricos",IF(D5="150a-E","Contactos térmicos a) inherentes al trabajador",IF(D5="150b-E","Contactos térmicos b) inherentes a la manipulación de elementos estructurales",IF(D5="150c-E","Contactos térmicos c) inherentes al proceso de soldadura",IF(D5="570","Organización del trabajo incorrecta",IF(D5="120-I","Atrapamiento por vuelco de máquinas",IF(D5="","",IF(D5="010-I","Caída de personas a distinto nivel",IF(D5="020-I","Caída de personas al mismo nivel",IF(D5="030-I","Caída de objetos por desplome",IF(D5="040-I","Caída de objetos en manipulación",IF(D5="090-I","Golpes/cortes por objetos o herramientas",IF(D5="110-I","Atrapamiento por o entre objetos",IF(D5="100-I","Proyección de fragmentos o partículas",IF(D5="230-I","Atropellos o golpes con vehículos",IF(D5="250a-I","Otros riesgos de accidente a) inherentes a la manipulación de herramientas eléctricas",IF(D5="250b-I","Otros riesgos de accidente b) Inherentes a la manipulación de herramientas manuales",IF(D5="390","Otra exposición a) asfixia o intoxicación",IF(D5="160-I","Contactos Eléctricos",IF(D5="570","Organización del trabajo incorrecta",IF(D5="120-I","Atrapamiento por vuelco de máquinas",IF(D5="330","Ruido",IF(D5="340","Vibración",IF(D5="360","Radiaciones ionizantes",IF(D5="170","Exposición a sustancias nocivas",IF(D5="130","Sobreesfuerzos",IF(D5="380","Iluminación",IF(D5="330","Ruido",IF(D5="340","Vibración",IF(D5="360","Radiaciones ionizantes",IF(D5="170","Exposición a sustancias nocivas",IF(D5="130","Sobreesfuerzos",IF(D5="380","Iluminación"))))))))))))))))))))))))))))))))))))))))))))</f>
        <v>Organización del trabajo incorrecta</v>
      </c>
      <c r="F5" s="114" t="str">
        <f>IF(D5="","",IF(D5="010-E","Riesgo de seguridad (Riesgo Mecánico)",IF(D5="020-E","Riesgo de seguridad (Riesgo Mecánico)",IF(D5="030-E","Riesgo de seguridad (Riesgo Mecánico)",IF(D5="040-E","Riesgo de seguridad (Riesgo Mecánico)",IF(D5="090-E","Riesgo de seguridad (Riesgo Mecánico)",IF(D5="110-E","Riesgo de seguridad (Riesgo Mecánico)",IF(D5="100-E","Riesgo de seguridad (Riesgo Mecánico)",IF(D5="230-E","Riesgo de seguridad (Riesgo Mecánico)",IF(D5="250a-E","Riesgo de seguridad (Riesgo Mecánico)",IF(D5="250b-E","Riesgo de seguridad (Riesgo Mecánico)",IF(D5="160-E","Riesgo de seguridad (Riesgo Eléctrico)",IF(D5="150a-E","Riesgo de seguridad (Riesgo Industrial Mayor)",IF(D5="150b-E","Riesgo de seguridad (Riesgo Industrial Mayor)",IF(D5="150c-E","Riesgo de seguridad (Riesgo Industrial Mayor)",IF(D5="570","Riesgo de seguridad (Riesgo Locativo)",IF(D5="120-I","Riesgo Mecánico",IF(D5="330","Riesgo Físico",IF(D5="340","Riesgo Físico",IF(D5="360","Riesgo Físico",IF(D5="170","Riesgo Químico",IF(D5="130","Riesgo Ergonómico",IF(D5="380","Riesgo Físico",IF(D5="010-I","Riesgo de seguridad (Riesgo Mecánico)",IF(D5="020-I","Riesgo de seguridad (Riesgo Mecánico)",IF(D5="030-I","Riesgo de seguridad (Riesgo Mecánico)",IF(D5="040-I","Riesgo de seguridad (Riesgo Mecánico)",IF(D5="090-I","Riesgo de seguridad (Riesgo Mecánico)",IF(D5="110-I","Riesgo de seguridad (Riesgo Mecánico)",IF(D5="100-I","Riesgo de seguridad (Riesgo Mecánico)",IF(D5="230-I","Riesgo de seguridad (Riesgo Mecánico)",IF(D5="250a-I","Riesgo de seguridad (Riesgo Mecánico)",IF(D5="250b-I","Riesgo de seguridad (Riesgo Mecánico)",IF(D5="160-I","Riesgo de seguridad (Riesgo Eléctrico)",IF(D5="590","Riesgo de seguridad (Riesgo Mecánico)")))))))))))))))))))))))))))))))))))</f>
        <v>Riesgo de seguridad (Riesgo Locativo)</v>
      </c>
      <c r="G5" s="115">
        <f>'E-OP-RL-OI'!J14</f>
        <v>7.0270270270270263</v>
      </c>
      <c r="H5" s="113" t="str">
        <f t="shared" si="1"/>
        <v>MD</v>
      </c>
      <c r="I5" s="10">
        <v>3</v>
      </c>
      <c r="J5" s="113" t="str">
        <f>IF(I5=4,"EC",IF(I5=3,"EF",IF(I5=2,"EO",IF(I5=1,"EE",""))))</f>
        <v>EF</v>
      </c>
      <c r="K5" s="11">
        <f>IF(I5="","",G5*I5)</f>
        <v>21.081081081081081</v>
      </c>
      <c r="L5" s="113" t="str">
        <f t="shared" si="2"/>
        <v>A</v>
      </c>
      <c r="M5" s="10">
        <v>25</v>
      </c>
      <c r="N5" s="113" t="str">
        <f>IF(M5="","",IF(M5=100,"M",IF(M5=60,"MG",IF(M5=25,"G",IF(M5=10,"L","")))))</f>
        <v>G</v>
      </c>
      <c r="O5" s="42">
        <f t="shared" si="3"/>
        <v>527</v>
      </c>
      <c r="P5" s="113" t="str">
        <f t="shared" si="4"/>
        <v>I</v>
      </c>
      <c r="Q5" s="114" t="str">
        <f t="shared" si="5"/>
        <v>Situación Crítica.
Corrección urgente.</v>
      </c>
      <c r="R5" s="114" t="str">
        <f t="shared" si="6"/>
        <v>Lesiones con incapacidad laboral transitoria (I. L. T.).</v>
      </c>
      <c r="S5" s="114" t="s">
        <v>24</v>
      </c>
      <c r="T5" s="46"/>
      <c r="U5" s="24"/>
      <c r="V5" s="24"/>
    </row>
    <row r="6" spans="1:22" ht="57">
      <c r="A6" s="63"/>
      <c r="B6" s="113" t="s">
        <v>24</v>
      </c>
      <c r="C6" s="114" t="str">
        <f t="shared" si="0"/>
        <v>Superficies irregulares u obstruidas</v>
      </c>
      <c r="D6" s="9" t="s">
        <v>28</v>
      </c>
      <c r="E6" s="114" t="str">
        <f>IF(D6="","",IF(D6="010-E","Caída de personas a distinto nivel",IF(D6="020-E","Caída de personas al mismo nivel",IF(D6="030-E","Caída de objetos por desplome",IF(D6="040-E","Caída de objetos en manipulación",IF(D6="090-E","Golpes/cortes por objetos o herramientas",IF(D6="110-E","Atrapamiento por o entre objetos",IF(D6="100-E","Proyección de fragmentos o partículas",IF(D6="230-E","Atropellos o golpes con vehículos",IF(D6="250a-E","Otros riesgos de accidente a) inherentes a la manipulación de herramientas eléctricas",IF(D6="250b-E","Otros riesgos de accidente b) Inherentes a la manipulación de herramientas manuales",IF(D6="160-E","Contactos Eléctricos",IF(D6="150a-E","Contactos térmicos a) inherentes al trabajador",IF(D6="150b-E","Contactos térmicos b) inherentes a la manipulación de elementos estructurales",IF(D6="150c-E","Contactos térmicos c) inherentes al proceso de soldadura",IF(D6="570","Organización del trabajo incorrecta",IF(D6="120-I","Atrapamiento por vuelco de máquinas",IF(D6="","",IF(D6="010-I","Caída de personas a distinto nivel",IF(D6="020-I","Caída de personas al mismo nivel",IF(D6="030-I","Caída de objetos por desplome",IF(D6="040-I","Caída de objetos en manipulación",IF(D6="090-I","Golpes/cortes por objetos o herramientas",IF(D6="110-I","Atrapamiento por o entre objetos",IF(D6="100-I","Proyección de fragmentos o partículas",IF(D6="230-I","Atropellos o golpes con vehículos",IF(D6="250a-I","Otros riesgos de accidente a) inherentes a la manipulación de herramientas eléctricas",IF(D6="250b-I","Otros riesgos de accidente b) Inherentes a la manipulación de herramientas manuales",IF(D6="390","Otra exposición a) asfixia o intoxicación",IF(D6="160-I","Contactos Eléctricos",IF(D6="570","Organización del trabajo incorrecta",IF(D6="120-I","Atrapamiento por vuelco de máquinas",IF(D6="330","Ruido",IF(D6="340","Vibración",IF(D6="360","Radiaciones ionizantes",IF(D6="170","Exposición a sustancias nocivas",IF(D6="130","Sobreesfuerzos",IF(D6="380","Iluminación",IF(D6="330","Ruido",IF(D6="340","Vibración",IF(D6="360","Radiaciones ionizantes",IF(D6="170","Exposición a sustancias nocivas",IF(D6="130","Sobreesfuerzos",IF(D6="380","Iluminación"))))))))))))))))))))))))))))))))))))))))))))</f>
        <v>Caída de personas al mismo nivel</v>
      </c>
      <c r="F6" s="114" t="str">
        <f t="shared" ref="F6:F108" si="7">IF(D6="","",IF(D6="010-E","Riesgo de seguridad (Riesgo Mecánico)",IF(D6="020-E","Riesgo de seguridad (Riesgo Mecánico)",IF(D6="030-E","Riesgo de seguridad (Riesgo Mecánico)",IF(D6="040-E","Riesgo de seguridad (Riesgo Mecánico)",IF(D6="090-E","Riesgo de seguridad (Riesgo Mecánico)",IF(D6="110-E","Riesgo de seguridad (Riesgo Mecánico)",IF(D6="100-E","Riesgo de seguridad (Riesgo Mecánico)",IF(D6="230-E","Riesgo de seguridad (Riesgo Mecánico)",IF(D6="250a-E","Riesgo de seguridad (Riesgo Mecánico)",IF(D6="250b-E","Riesgo de seguridad (Riesgo Mecánico)",IF(D6="160-E","Riesgo de seguridad (Riesgo Eléctrico)",IF(D6="150a-E","Riesgo de seguridad (Riesgo Industrial Mayor)",IF(D6="150b-E","Riesgo de seguridad (Riesgo Industrial Mayor)",IF(D6="150c-E","Riesgo de seguridad (Riesgo Industrial Mayor)",IF(D6="570","Riesgo de seguridad (Riesgo Locativo)",IF(D6="120-I","Riesgo Mecánico",IF(D6="330","Riesgo Físico",IF(D6="340","Riesgo Físico",IF(D6="360","Riesgo Físico",IF(D6="170","Riesgo Químico",IF(D6="130","Riesgo Ergonómico",IF(D6="380","Riesgo Físico",IF(D6="010-I","Riesgo de seguridad (Riesgo Mecánico)",IF(D6="020-I","Riesgo de seguridad (Riesgo Mecánico)",IF(D6="030-I","Riesgo de seguridad (Riesgo Mecánico)",IF(D6="040-I","Riesgo de seguridad (Riesgo Mecánico)",IF(D6="090-I","Riesgo de seguridad (Riesgo Mecánico)",IF(D6="110-I","Riesgo de seguridad (Riesgo Mecánico)",IF(D6="100-I","Riesgo de seguridad (Riesgo Mecánico)",IF(D6="230-I","Riesgo de seguridad (Riesgo Mecánico)",IF(D6="250a-I","Riesgo de seguridad (Riesgo Mecánico)",IF(D6="250b-I","Riesgo de seguridad (Riesgo Mecánico)",IF(D6="160-I","Riesgo de seguridad (Riesgo Eléctrico)",IF(D6="590","Riesgo de seguridad (Riesgo Mecánico)")))))))))))))))))))))))))))))))))))</f>
        <v>Riesgo de seguridad (Riesgo Mecánico)</v>
      </c>
      <c r="G6" s="11">
        <f>'E-OP-RM-CMN'!J15</f>
        <v>5.7692307692307701</v>
      </c>
      <c r="H6" s="113" t="str">
        <f t="shared" si="1"/>
        <v>D</v>
      </c>
      <c r="I6" s="10">
        <v>3</v>
      </c>
      <c r="J6" s="113" t="str">
        <f>IF(I6=4,"EC",IF(I6=3,"EF",IF(I6=2,"EO",IF(I6=1,"EE",""))))</f>
        <v>EF</v>
      </c>
      <c r="K6" s="11">
        <f>IF(I6="","",G6*I6)</f>
        <v>17.30769230769231</v>
      </c>
      <c r="L6" s="113" t="str">
        <f t="shared" si="2"/>
        <v>A</v>
      </c>
      <c r="M6" s="10">
        <v>25</v>
      </c>
      <c r="N6" s="113" t="str">
        <f>IF(M6="","",IF(M6=100,"M",IF(M6=60,"MG",IF(M6=25,"G",IF(M6=10,"L","")))))</f>
        <v>G</v>
      </c>
      <c r="O6" s="42">
        <f t="shared" si="3"/>
        <v>433</v>
      </c>
      <c r="P6" s="113" t="str">
        <f t="shared" si="4"/>
        <v>II</v>
      </c>
      <c r="Q6" s="114" t="str">
        <f t="shared" si="5"/>
        <v>Corregir
y adoptar medidas de control.</v>
      </c>
      <c r="R6" s="114" t="str">
        <f t="shared" si="6"/>
        <v>Lesiones con incapacidad laboral transitoria (I. L. T.).</v>
      </c>
      <c r="S6" s="114" t="s">
        <v>24</v>
      </c>
      <c r="T6" s="46"/>
      <c r="U6" s="116"/>
      <c r="V6" s="116"/>
    </row>
    <row r="7" spans="1:22" ht="57">
      <c r="A7" s="63"/>
      <c r="B7" s="113" t="s">
        <v>24</v>
      </c>
      <c r="C7" s="114" t="str">
        <f t="shared" si="0"/>
        <v>Desprendimiento de objetos</v>
      </c>
      <c r="D7" s="9" t="s">
        <v>29</v>
      </c>
      <c r="E7" s="114" t="str">
        <f t="shared" ref="E7:E98" si="8">IF(D7="","",IF(D7="010-E","Caída de personas a distinto nivel",IF(D7="020-E","Caída de personas al mismo nivel",IF(D7="030-E","Caída de objetos por desplome",IF(D7="040-E","Caída de objetos en manipulación",IF(D7="090-E","Golpes/cortes por objetos o herramientas",IF(D7="110-E","Atrapamiento por o entre objetos",IF(D7="100-E","Proyección de fragmentos o partículas",IF(D7="230-E","Atropellos o golpes con vehículos",IF(D7="250a-E","Otros riesgos de accidente a) inherentes a la manipulación de herramientas eléctricas",IF(D7="250b-E","Otros riesgos de accidente b) Inherentes a la manipulación de herramientas manuales",IF(D7="160-E","Contactos Eléctricos",IF(D7="150a-E","Contactos térmicos a) inherentes al trabajador",IF(D7="150b-E","Contactos térmicos b) inherentes a la manipulación de elementos estructurales",IF(D7="150c-E","Contactos térmicos c) inherentes al proceso de soldadura",IF(D7="570","Organización del trabajo incorrecta",IF(D7="120-I","Atrapamiento por vuelco de máquinas",IF(D7="","",IF(D7="010-I","Caída de personas a distinto nivel",IF(D7="020-I","Caída de personas al mismo nivel",IF(D7="030-I","Caída de objetos por desplome",IF(D7="040-I","Caída de objetos en manipulación",IF(D7="090-I","Golpes/cortes por objetos o herramientas",IF(D7="110-I","Atrapamiento por o entre objetos",IF(D7="100-I","Proyección de fragmentos o partículas",IF(D7="230-I","Atropellos o golpes con vehículos",IF(D7="250a-I","Otros riesgos de accidente a) inherentes a la manipulación de herramientas eléctricas",IF(D7="250b-I","Otros riesgos de accidente b) Inherentes a la manipulación de herramientas manuales",IF(D7="390","Otra exposición a) asfixia o intoxicación",IF(D7="160-I","Contactos Eléctricos",IF(D7="570","Organización del trabajo incorrecta",IF(D7="120-I","Atrapamiento por vuelco de máquinas",IF(D7="330","Ruido",IF(D7="340","Vibración",IF(D7="360","Radiaciones ionizantes",IF(D7="170","Exposición a sustancias nocivas",IF(D7="130","Sobreesfuerzos",IF(D7="380","Iluminación",IF(D7="330","Ruido",IF(D7="340","Vibración",IF(D7="360","Radiaciones ionizantes",IF(D7="170","Exposición a sustancias nocivas",IF(D7="130","Sobreesfuerzos",IF(D7="380","Iluminación"))))))))))))))))))))))))))))))))))))))))))))</f>
        <v>Caída de objetos en manipulación</v>
      </c>
      <c r="F7" s="114" t="str">
        <f t="shared" si="7"/>
        <v>Riesgo de seguridad (Riesgo Mecánico)</v>
      </c>
      <c r="G7" s="117">
        <f>'E-OP-RM-COM'!J17</f>
        <v>2.3333333333333335</v>
      </c>
      <c r="H7" s="113" t="str">
        <f t="shared" si="1"/>
        <v>D</v>
      </c>
      <c r="I7" s="10">
        <v>3</v>
      </c>
      <c r="J7" s="113" t="str">
        <f t="shared" ref="J7:J107" si="9">IF(I7=4,"EC",IF(I7=3,"EF",IF(I7=2,"EO",IF(I7=1,"EE",""))))</f>
        <v>EF</v>
      </c>
      <c r="K7" s="11">
        <f t="shared" ref="K7:K107" si="10">IF(I7="","",G7*I7)</f>
        <v>7</v>
      </c>
      <c r="L7" s="113" t="str">
        <f t="shared" si="2"/>
        <v>M</v>
      </c>
      <c r="M7" s="10">
        <v>25</v>
      </c>
      <c r="N7" s="113" t="str">
        <f t="shared" ref="N7:N107" si="11">IF(M7="","",IF(M7=100,"M",IF(M7=60,"MG",IF(M7=25,"G",IF(M7=10,"L","")))))</f>
        <v>G</v>
      </c>
      <c r="O7" s="42">
        <f t="shared" si="3"/>
        <v>175</v>
      </c>
      <c r="P7" s="113" t="str">
        <f t="shared" si="4"/>
        <v>II</v>
      </c>
      <c r="Q7" s="114" t="str">
        <f t="shared" si="5"/>
        <v>Corregir
y adoptar medidas de control.</v>
      </c>
      <c r="R7" s="114" t="str">
        <f t="shared" si="6"/>
        <v>Lesiones con incapacidad laboral transitoria (I. L. T.).</v>
      </c>
      <c r="S7" s="114" t="s">
        <v>24</v>
      </c>
      <c r="T7" s="46"/>
      <c r="U7" s="116"/>
      <c r="V7" s="116"/>
    </row>
    <row r="8" spans="1:22" ht="57">
      <c r="A8" s="63"/>
      <c r="B8" s="113" t="s">
        <v>24</v>
      </c>
      <c r="C8" s="114" t="str">
        <f t="shared" si="0"/>
        <v>Manipulación de máquinas/ herramientas</v>
      </c>
      <c r="D8" s="9" t="s">
        <v>30</v>
      </c>
      <c r="E8" s="114" t="str">
        <f t="shared" si="8"/>
        <v>Golpes/cortes por objetos o herramientas</v>
      </c>
      <c r="F8" s="114" t="str">
        <f t="shared" si="7"/>
        <v>Riesgo de seguridad (Riesgo Mecánico)</v>
      </c>
      <c r="G8" s="117">
        <f>'E-OP-RM-CGOH'!J17</f>
        <v>5.3571428571428568</v>
      </c>
      <c r="H8" s="113" t="str">
        <f t="shared" si="1"/>
        <v>D</v>
      </c>
      <c r="I8" s="10">
        <v>4</v>
      </c>
      <c r="J8" s="113" t="str">
        <f t="shared" si="9"/>
        <v>EC</v>
      </c>
      <c r="K8" s="11">
        <f t="shared" si="10"/>
        <v>21.428571428571427</v>
      </c>
      <c r="L8" s="113" t="str">
        <f t="shared" si="2"/>
        <v>A</v>
      </c>
      <c r="M8" s="10">
        <v>60</v>
      </c>
      <c r="N8" s="113" t="str">
        <f t="shared" si="11"/>
        <v>MG</v>
      </c>
      <c r="O8" s="42">
        <f t="shared" si="3"/>
        <v>1286</v>
      </c>
      <c r="P8" s="113" t="str">
        <f t="shared" si="4"/>
        <v>I</v>
      </c>
      <c r="Q8" s="114" t="str">
        <f t="shared" si="5"/>
        <v>Situación Crítica.
Corrección urgente.</v>
      </c>
      <c r="R8" s="114" t="str">
        <f t="shared" si="6"/>
        <v>Lesiones graves que pueden ser irreparables.</v>
      </c>
      <c r="S8" s="114" t="s">
        <v>24</v>
      </c>
      <c r="T8" s="46"/>
      <c r="U8" s="116"/>
      <c r="V8" s="116"/>
    </row>
    <row r="9" spans="1:22" ht="57">
      <c r="A9" s="63"/>
      <c r="B9" s="113" t="s">
        <v>24</v>
      </c>
      <c r="C9" s="114" t="str">
        <f t="shared" si="0"/>
        <v>Operaciones de conformado</v>
      </c>
      <c r="D9" s="9" t="s">
        <v>31</v>
      </c>
      <c r="E9" s="114" t="str">
        <f t="shared" si="8"/>
        <v>Proyección de fragmentos o partículas</v>
      </c>
      <c r="F9" s="114" t="str">
        <f t="shared" si="7"/>
        <v>Riesgo de seguridad (Riesgo Mecánico)</v>
      </c>
      <c r="G9" s="117">
        <f>'E-OP-RM-PFP'!J13</f>
        <v>8.75</v>
      </c>
      <c r="H9" s="113" t="str">
        <f t="shared" si="1"/>
        <v>MD</v>
      </c>
      <c r="I9" s="10">
        <v>3</v>
      </c>
      <c r="J9" s="113" t="str">
        <f t="shared" si="9"/>
        <v>EF</v>
      </c>
      <c r="K9" s="11">
        <f t="shared" si="10"/>
        <v>26.25</v>
      </c>
      <c r="L9" s="113" t="str">
        <f t="shared" si="2"/>
        <v>MA</v>
      </c>
      <c r="M9" s="10">
        <v>60</v>
      </c>
      <c r="N9" s="113" t="str">
        <f t="shared" si="11"/>
        <v>MG</v>
      </c>
      <c r="O9" s="42">
        <f t="shared" si="3"/>
        <v>1575</v>
      </c>
      <c r="P9" s="113" t="str">
        <f t="shared" si="4"/>
        <v>I</v>
      </c>
      <c r="Q9" s="114" t="str">
        <f t="shared" si="5"/>
        <v>Situación Crítica.
Corrección urgente.</v>
      </c>
      <c r="R9" s="114" t="str">
        <f t="shared" si="6"/>
        <v>Lesiones graves que pueden ser irreparables.</v>
      </c>
      <c r="S9" s="114" t="s">
        <v>24</v>
      </c>
      <c r="T9" s="46"/>
      <c r="U9" s="116"/>
      <c r="V9" s="116"/>
    </row>
    <row r="10" spans="1:22" ht="57">
      <c r="A10" s="63"/>
      <c r="B10" s="113" t="s">
        <v>24</v>
      </c>
      <c r="C10" s="114" t="str">
        <f t="shared" si="0"/>
        <v>Objetos fijos o móviles</v>
      </c>
      <c r="D10" s="9" t="s">
        <v>32</v>
      </c>
      <c r="E10" s="114" t="str">
        <f t="shared" si="8"/>
        <v>Atrapamiento por o entre objetos</v>
      </c>
      <c r="F10" s="114" t="str">
        <f t="shared" si="7"/>
        <v>Riesgo de seguridad (Riesgo Mecánico)</v>
      </c>
      <c r="G10" s="117">
        <f>'E-OP-RM-APEO'!J17</f>
        <v>6.666666666666667</v>
      </c>
      <c r="H10" s="113" t="str">
        <f t="shared" si="1"/>
        <v>MD</v>
      </c>
      <c r="I10" s="10">
        <v>3</v>
      </c>
      <c r="J10" s="113" t="str">
        <f t="shared" si="9"/>
        <v>EF</v>
      </c>
      <c r="K10" s="11">
        <f t="shared" si="10"/>
        <v>20</v>
      </c>
      <c r="L10" s="113" t="str">
        <f t="shared" si="2"/>
        <v>A</v>
      </c>
      <c r="M10" s="10">
        <v>25</v>
      </c>
      <c r="N10" s="113" t="str">
        <f t="shared" si="11"/>
        <v>G</v>
      </c>
      <c r="O10" s="42">
        <f t="shared" si="3"/>
        <v>500</v>
      </c>
      <c r="P10" s="113" t="str">
        <f t="shared" si="4"/>
        <v>II</v>
      </c>
      <c r="Q10" s="114" t="str">
        <f t="shared" si="5"/>
        <v>Corregir
y adoptar medidas de control.</v>
      </c>
      <c r="R10" s="114" t="str">
        <f t="shared" si="6"/>
        <v>Lesiones con incapacidad laboral transitoria (I. L. T.).</v>
      </c>
      <c r="S10" s="114" t="s">
        <v>24</v>
      </c>
      <c r="T10" s="46"/>
      <c r="U10" s="116"/>
      <c r="V10" s="116"/>
    </row>
    <row r="11" spans="1:22" ht="57">
      <c r="A11" s="63"/>
      <c r="B11" s="113" t="s">
        <v>24</v>
      </c>
      <c r="C11" s="114" t="str">
        <f t="shared" si="0"/>
        <v>Colisión/ impacto vehicular</v>
      </c>
      <c r="D11" s="9" t="s">
        <v>33</v>
      </c>
      <c r="E11" s="114" t="str">
        <f t="shared" si="8"/>
        <v>Atropellos o golpes con vehículos</v>
      </c>
      <c r="F11" s="114" t="str">
        <f t="shared" si="7"/>
        <v>Riesgo de seguridad (Riesgo Mecánico)</v>
      </c>
      <c r="G11" s="117">
        <f>'E-OP-RM-AGV'!J19</f>
        <v>5.2777777777777777</v>
      </c>
      <c r="H11" s="113" t="str">
        <f t="shared" si="1"/>
        <v>D</v>
      </c>
      <c r="I11" s="10">
        <v>2</v>
      </c>
      <c r="J11" s="113" t="str">
        <f t="shared" si="9"/>
        <v>EO</v>
      </c>
      <c r="K11" s="11">
        <f t="shared" si="10"/>
        <v>10.555555555555555</v>
      </c>
      <c r="L11" s="113" t="str">
        <f t="shared" si="2"/>
        <v>A</v>
      </c>
      <c r="M11" s="10">
        <v>100</v>
      </c>
      <c r="N11" s="113" t="str">
        <f t="shared" si="11"/>
        <v>M</v>
      </c>
      <c r="O11" s="42">
        <f t="shared" si="3"/>
        <v>1056</v>
      </c>
      <c r="P11" s="113" t="str">
        <f t="shared" si="4"/>
        <v>I</v>
      </c>
      <c r="Q11" s="114" t="str">
        <f t="shared" si="5"/>
        <v>Situación Crítica.
Corrección urgente.</v>
      </c>
      <c r="R11" s="114" t="str">
        <f t="shared" si="6"/>
        <v>1 muerto o más.</v>
      </c>
      <c r="S11" s="114" t="s">
        <v>24</v>
      </c>
      <c r="T11" s="46"/>
      <c r="U11" s="116"/>
      <c r="V11" s="116"/>
    </row>
    <row r="12" spans="1:22" ht="85.5">
      <c r="A12" s="63"/>
      <c r="B12" s="113" t="s">
        <v>24</v>
      </c>
      <c r="C12" s="114" t="str">
        <f t="shared" si="0"/>
        <v>Situaciones fortuitas</v>
      </c>
      <c r="D12" s="9" t="s">
        <v>34</v>
      </c>
      <c r="E12" s="114" t="str">
        <f t="shared" si="8"/>
        <v>Otros riesgos de accidente a) inherentes a la manipulación de herramientas eléctricas</v>
      </c>
      <c r="F12" s="114" t="str">
        <f t="shared" si="7"/>
        <v>Riesgo de seguridad (Riesgo Mecánico)</v>
      </c>
      <c r="G12" s="117">
        <f>'E-OP-RM-ORAa'!J15</f>
        <v>9.615384615384615</v>
      </c>
      <c r="H12" s="113" t="str">
        <f t="shared" si="1"/>
        <v>MD</v>
      </c>
      <c r="I12" s="10">
        <v>3</v>
      </c>
      <c r="J12" s="113" t="str">
        <f t="shared" si="9"/>
        <v>EF</v>
      </c>
      <c r="K12" s="11">
        <f t="shared" si="10"/>
        <v>28.846153846153847</v>
      </c>
      <c r="L12" s="113" t="str">
        <f t="shared" si="2"/>
        <v>MA</v>
      </c>
      <c r="M12" s="10">
        <v>60</v>
      </c>
      <c r="N12" s="113" t="str">
        <f t="shared" si="11"/>
        <v>MG</v>
      </c>
      <c r="O12" s="42">
        <f t="shared" si="3"/>
        <v>1731</v>
      </c>
      <c r="P12" s="113" t="str">
        <f t="shared" si="4"/>
        <v>I</v>
      </c>
      <c r="Q12" s="114" t="str">
        <f t="shared" si="5"/>
        <v>Situación Crítica.
Corrección urgente.</v>
      </c>
      <c r="R12" s="114" t="str">
        <f t="shared" si="6"/>
        <v>Lesiones graves que pueden ser irreparables.</v>
      </c>
      <c r="S12" s="114" t="s">
        <v>24</v>
      </c>
      <c r="T12" s="46"/>
      <c r="U12" s="116"/>
      <c r="V12" s="116"/>
    </row>
    <row r="13" spans="1:22" ht="85.5">
      <c r="A13" s="63"/>
      <c r="B13" s="113" t="s">
        <v>24</v>
      </c>
      <c r="C13" s="114" t="str">
        <f t="shared" si="0"/>
        <v>Situaciones fortuitas</v>
      </c>
      <c r="D13" s="9" t="s">
        <v>35</v>
      </c>
      <c r="E13" s="114" t="str">
        <f t="shared" si="8"/>
        <v>Otros riesgos de accidente b) Inherentes a la manipulación de herramientas manuales</v>
      </c>
      <c r="F13" s="114" t="str">
        <f t="shared" si="7"/>
        <v>Riesgo de seguridad (Riesgo Mecánico)</v>
      </c>
      <c r="G13" s="117">
        <f>'E-OP-RM-ORAb'!J15</f>
        <v>6.5</v>
      </c>
      <c r="H13" s="113" t="str">
        <f t="shared" si="1"/>
        <v>MD</v>
      </c>
      <c r="I13" s="10">
        <v>3</v>
      </c>
      <c r="J13" s="113" t="str">
        <f t="shared" si="9"/>
        <v>EF</v>
      </c>
      <c r="K13" s="11">
        <f t="shared" si="10"/>
        <v>19.5</v>
      </c>
      <c r="L13" s="113" t="str">
        <f t="shared" si="2"/>
        <v>A</v>
      </c>
      <c r="M13" s="10">
        <v>60</v>
      </c>
      <c r="N13" s="113" t="str">
        <f t="shared" si="11"/>
        <v>MG</v>
      </c>
      <c r="O13" s="42">
        <f t="shared" si="3"/>
        <v>1170</v>
      </c>
      <c r="P13" s="113" t="str">
        <f t="shared" si="4"/>
        <v>I</v>
      </c>
      <c r="Q13" s="114" t="str">
        <f t="shared" si="5"/>
        <v>Situación Crítica.
Corrección urgente.</v>
      </c>
      <c r="R13" s="114" t="str">
        <f t="shared" si="6"/>
        <v>Lesiones graves que pueden ser irreparables.</v>
      </c>
      <c r="S13" s="114" t="s">
        <v>24</v>
      </c>
      <c r="T13" s="46"/>
      <c r="U13" s="116"/>
      <c r="V13" s="116"/>
    </row>
    <row r="14" spans="1:22" ht="57">
      <c r="A14" s="63"/>
      <c r="B14" s="113" t="s">
        <v>24</v>
      </c>
      <c r="C14" s="114" t="str">
        <f t="shared" si="0"/>
        <v>Energía eléctrica</v>
      </c>
      <c r="D14" s="9" t="s">
        <v>36</v>
      </c>
      <c r="E14" s="114" t="str">
        <f t="shared" si="8"/>
        <v>Contactos Eléctricos</v>
      </c>
      <c r="F14" s="114" t="str">
        <f t="shared" si="7"/>
        <v>Riesgo de seguridad (Riesgo Eléctrico)</v>
      </c>
      <c r="G14" s="117">
        <f>'E-OP-RE-CE'!J20</f>
        <v>8.3783783783783772</v>
      </c>
      <c r="H14" s="113" t="str">
        <f t="shared" si="1"/>
        <v>MD</v>
      </c>
      <c r="I14" s="10">
        <v>3</v>
      </c>
      <c r="J14" s="113" t="str">
        <f t="shared" si="9"/>
        <v>EF</v>
      </c>
      <c r="K14" s="11">
        <f t="shared" si="10"/>
        <v>25.13513513513513</v>
      </c>
      <c r="L14" s="113" t="str">
        <f t="shared" si="2"/>
        <v>MA</v>
      </c>
      <c r="M14" s="10">
        <v>25</v>
      </c>
      <c r="N14" s="113" t="str">
        <f t="shared" si="11"/>
        <v>G</v>
      </c>
      <c r="O14" s="42">
        <f t="shared" si="3"/>
        <v>628</v>
      </c>
      <c r="P14" s="113" t="str">
        <f t="shared" si="4"/>
        <v>I</v>
      </c>
      <c r="Q14" s="114" t="str">
        <f t="shared" si="5"/>
        <v>Situación Crítica.
Corrección urgente.</v>
      </c>
      <c r="R14" s="114" t="str">
        <f t="shared" si="6"/>
        <v>Lesiones con incapacidad laboral transitoria (I. L. T.).</v>
      </c>
      <c r="S14" s="114" t="s">
        <v>24</v>
      </c>
      <c r="T14" s="46"/>
      <c r="U14" s="116"/>
      <c r="V14" s="116"/>
    </row>
    <row r="15" spans="1:22" ht="57">
      <c r="A15" s="63"/>
      <c r="B15" s="113" t="s">
        <v>24</v>
      </c>
      <c r="C15" s="114" t="str">
        <f t="shared" si="0"/>
        <v>Posturas forzadas/ manipulación manual de cargas</v>
      </c>
      <c r="D15" s="9" t="s">
        <v>37</v>
      </c>
      <c r="E15" s="114" t="str">
        <f t="shared" si="8"/>
        <v>Sobreesfuerzos</v>
      </c>
      <c r="F15" s="114" t="str">
        <f t="shared" si="7"/>
        <v>Riesgo Ergonómico</v>
      </c>
      <c r="G15" s="117">
        <f>'E-OP-RC-RE-S'!I15</f>
        <v>10</v>
      </c>
      <c r="H15" s="113" t="str">
        <f t="shared" si="1"/>
        <v>MD</v>
      </c>
      <c r="I15" s="10">
        <v>3</v>
      </c>
      <c r="J15" s="113" t="str">
        <f t="shared" si="9"/>
        <v>EF</v>
      </c>
      <c r="K15" s="11">
        <f>IF(I15="","",G15*I15)</f>
        <v>30</v>
      </c>
      <c r="L15" s="113" t="str">
        <f t="shared" si="2"/>
        <v>MA</v>
      </c>
      <c r="M15" s="10">
        <v>25</v>
      </c>
      <c r="N15" s="113" t="str">
        <f>IF(M15="","",IF(M15=100,"M",IF(M15=60,"MG",IF(M15=25,"G",IF(M15=10,"L","")))))</f>
        <v>G</v>
      </c>
      <c r="O15" s="42">
        <f t="shared" si="3"/>
        <v>750</v>
      </c>
      <c r="P15" s="113" t="str">
        <f t="shared" si="4"/>
        <v>I</v>
      </c>
      <c r="Q15" s="114" t="str">
        <f t="shared" si="5"/>
        <v>Situación Crítica.
Corrección urgente.</v>
      </c>
      <c r="R15" s="114" t="str">
        <f t="shared" si="6"/>
        <v>Lesiones con incapacidad laboral transitoria (I. L. T.).</v>
      </c>
      <c r="S15" s="114" t="s">
        <v>24</v>
      </c>
      <c r="T15" s="46"/>
      <c r="U15" s="116"/>
      <c r="V15" s="116"/>
    </row>
    <row r="16" spans="1:22" ht="57">
      <c r="A16" s="63" t="s">
        <v>38</v>
      </c>
      <c r="B16" s="113" t="s">
        <v>24</v>
      </c>
      <c r="C16" s="114" t="str">
        <f t="shared" si="0"/>
        <v>Niveles sonoros</v>
      </c>
      <c r="D16" s="9" t="s">
        <v>25</v>
      </c>
      <c r="E16" s="114" t="str">
        <f t="shared" si="8"/>
        <v>Ruido</v>
      </c>
      <c r="F16" s="114" t="str">
        <f t="shared" si="7"/>
        <v>Riesgo Físico</v>
      </c>
      <c r="G16" s="117">
        <f>'E-MT-RC-RF-R'!I13</f>
        <v>10</v>
      </c>
      <c r="H16" s="113" t="str">
        <f t="shared" si="1"/>
        <v>MD</v>
      </c>
      <c r="I16" s="10">
        <v>3</v>
      </c>
      <c r="J16" s="113" t="str">
        <f t="shared" si="9"/>
        <v>EF</v>
      </c>
      <c r="K16" s="11">
        <f>IF(I16="","",G16*I16)</f>
        <v>30</v>
      </c>
      <c r="L16" s="113" t="str">
        <f t="shared" si="2"/>
        <v>MA</v>
      </c>
      <c r="M16" s="10">
        <v>25</v>
      </c>
      <c r="N16" s="113" t="str">
        <f>IF(M16="","",IF(M16=100,"M",IF(M16=60,"MG",IF(M16=25,"G",IF(M16=10,"L","")))))</f>
        <v>G</v>
      </c>
      <c r="O16" s="42">
        <f t="shared" si="3"/>
        <v>750</v>
      </c>
      <c r="P16" s="113" t="str">
        <f t="shared" si="4"/>
        <v>I</v>
      </c>
      <c r="Q16" s="114" t="str">
        <f t="shared" si="5"/>
        <v>Situación Crítica.
Corrección urgente.</v>
      </c>
      <c r="R16" s="114" t="str">
        <f t="shared" si="6"/>
        <v>Lesiones con incapacidad laboral transitoria (I. L. T.).</v>
      </c>
      <c r="S16" s="114" t="s">
        <v>24</v>
      </c>
      <c r="T16" s="46"/>
      <c r="U16" s="116"/>
      <c r="V16" s="116"/>
    </row>
    <row r="17" spans="1:20" ht="57">
      <c r="A17" s="63"/>
      <c r="B17" s="113" t="s">
        <v>24</v>
      </c>
      <c r="C17" s="114" t="str">
        <f t="shared" si="0"/>
        <v>Movimientos oscilatorios</v>
      </c>
      <c r="D17" s="9" t="s">
        <v>39</v>
      </c>
      <c r="E17" s="114" t="str">
        <f t="shared" si="8"/>
        <v>Vibración</v>
      </c>
      <c r="F17" s="114" t="str">
        <f t="shared" si="7"/>
        <v>Riesgo Físico</v>
      </c>
      <c r="G17" s="117">
        <f>'E-MT-RC-RF-V'!I13</f>
        <v>10</v>
      </c>
      <c r="H17" s="113" t="str">
        <f t="shared" si="1"/>
        <v>MD</v>
      </c>
      <c r="I17" s="10">
        <v>3</v>
      </c>
      <c r="J17" s="113" t="str">
        <f t="shared" si="9"/>
        <v>EF</v>
      </c>
      <c r="K17" s="11">
        <f>IF(I17="","",G17*I17)</f>
        <v>30</v>
      </c>
      <c r="L17" s="113" t="str">
        <f t="shared" si="2"/>
        <v>MA</v>
      </c>
      <c r="M17" s="10">
        <v>25</v>
      </c>
      <c r="N17" s="113" t="str">
        <f>IF(M17="","",IF(M17=100,"M",IF(M17=60,"MG",IF(M17=25,"G",IF(M17=10,"L","")))))</f>
        <v>G</v>
      </c>
      <c r="O17" s="42">
        <f t="shared" si="3"/>
        <v>750</v>
      </c>
      <c r="P17" s="113" t="str">
        <f t="shared" si="4"/>
        <v>I</v>
      </c>
      <c r="Q17" s="114" t="str">
        <f t="shared" si="5"/>
        <v>Situación Crítica.
Corrección urgente.</v>
      </c>
      <c r="R17" s="114" t="str">
        <f t="shared" si="6"/>
        <v>Lesiones con incapacidad laboral transitoria (I. L. T.).</v>
      </c>
      <c r="S17" s="114" t="s">
        <v>24</v>
      </c>
      <c r="T17" s="46"/>
    </row>
    <row r="18" spans="1:20" ht="57">
      <c r="A18" s="63"/>
      <c r="B18" s="113" t="s">
        <v>24</v>
      </c>
      <c r="C18" s="114" t="str">
        <f t="shared" si="0"/>
        <v>Niveles lumínicos</v>
      </c>
      <c r="D18" s="9" t="s">
        <v>26</v>
      </c>
      <c r="E18" s="114" t="str">
        <f t="shared" si="8"/>
        <v>Iluminación</v>
      </c>
      <c r="F18" s="114" t="str">
        <f t="shared" si="7"/>
        <v>Riesgo Físico</v>
      </c>
      <c r="G18" s="117">
        <f>'E-MT-RC-RF-I'!I12</f>
        <v>9.4736842105263186</v>
      </c>
      <c r="H18" s="113" t="str">
        <f t="shared" si="1"/>
        <v>MD</v>
      </c>
      <c r="I18" s="10">
        <v>2</v>
      </c>
      <c r="J18" s="113" t="str">
        <f t="shared" si="9"/>
        <v>EO</v>
      </c>
      <c r="K18" s="11">
        <f>IF(I18="","",G18*I18)</f>
        <v>18.947368421052637</v>
      </c>
      <c r="L18" s="113" t="str">
        <f t="shared" si="2"/>
        <v>A</v>
      </c>
      <c r="M18" s="10">
        <v>25</v>
      </c>
      <c r="N18" s="113" t="str">
        <f>IF(M18="","",IF(M18=100,"M",IF(M18=60,"MG",IF(M18=25,"G",IF(M18=10,"L","")))))</f>
        <v>G</v>
      </c>
      <c r="O18" s="42">
        <f t="shared" si="3"/>
        <v>474</v>
      </c>
      <c r="P18" s="113" t="str">
        <f t="shared" si="4"/>
        <v>II</v>
      </c>
      <c r="Q18" s="114" t="str">
        <f t="shared" si="5"/>
        <v>Corregir
y adoptar medidas de control.</v>
      </c>
      <c r="R18" s="114" t="str">
        <f t="shared" si="6"/>
        <v>Lesiones con incapacidad laboral transitoria (I. L. T.).</v>
      </c>
      <c r="S18" s="114" t="s">
        <v>24</v>
      </c>
      <c r="T18" s="46"/>
    </row>
    <row r="19" spans="1:20" ht="57">
      <c r="A19" s="63"/>
      <c r="B19" s="113" t="s">
        <v>24</v>
      </c>
      <c r="C19" s="114" t="str">
        <f t="shared" si="0"/>
        <v>Condiciones inadecuadas</v>
      </c>
      <c r="D19" s="9" t="s">
        <v>27</v>
      </c>
      <c r="E19" s="114" t="str">
        <f t="shared" si="8"/>
        <v>Organización del trabajo incorrecta</v>
      </c>
      <c r="F19" s="114" t="str">
        <f t="shared" si="7"/>
        <v>Riesgo de seguridad (Riesgo Locativo)</v>
      </c>
      <c r="G19" s="117">
        <f>'E-MT-RL-OI'!J14</f>
        <v>9.9999999999999982</v>
      </c>
      <c r="H19" s="113" t="str">
        <f t="shared" si="1"/>
        <v>MD</v>
      </c>
      <c r="I19" s="10">
        <v>3</v>
      </c>
      <c r="J19" s="113" t="str">
        <f t="shared" si="9"/>
        <v>EF</v>
      </c>
      <c r="K19" s="11">
        <f>IF(I19="","",G19*I19)</f>
        <v>29.999999999999993</v>
      </c>
      <c r="L19" s="113" t="str">
        <f t="shared" si="2"/>
        <v>MA</v>
      </c>
      <c r="M19" s="10">
        <v>25</v>
      </c>
      <c r="N19" s="113" t="str">
        <f t="shared" si="11"/>
        <v>G</v>
      </c>
      <c r="O19" s="42">
        <f t="shared" si="3"/>
        <v>750</v>
      </c>
      <c r="P19" s="113" t="str">
        <f t="shared" si="4"/>
        <v>I</v>
      </c>
      <c r="Q19" s="114" t="str">
        <f t="shared" si="5"/>
        <v>Situación Crítica.
Corrección urgente.</v>
      </c>
      <c r="R19" s="114" t="str">
        <f t="shared" si="6"/>
        <v>Lesiones con incapacidad laboral transitoria (I. L. T.).</v>
      </c>
      <c r="S19" s="114" t="s">
        <v>24</v>
      </c>
      <c r="T19" s="46"/>
    </row>
    <row r="20" spans="1:20" ht="57">
      <c r="A20" s="63"/>
      <c r="B20" s="113" t="s">
        <v>24</v>
      </c>
      <c r="C20" s="114" t="str">
        <f t="shared" si="0"/>
        <v>Trabajo en altura/ zonas con desnivel</v>
      </c>
      <c r="D20" s="9" t="s">
        <v>40</v>
      </c>
      <c r="E20" s="114" t="str">
        <f t="shared" si="8"/>
        <v>Caída de personas a distinto nivel</v>
      </c>
      <c r="F20" s="114" t="str">
        <f t="shared" si="7"/>
        <v>Riesgo de seguridad (Riesgo Mecánico)</v>
      </c>
      <c r="G20" s="117">
        <f>'E-MT-RM-CDN'!J20</f>
        <v>7.3584905660377373</v>
      </c>
      <c r="H20" s="113" t="str">
        <f t="shared" si="1"/>
        <v>MD</v>
      </c>
      <c r="I20" s="10">
        <v>3</v>
      </c>
      <c r="J20" s="113" t="str">
        <f t="shared" si="9"/>
        <v>EF</v>
      </c>
      <c r="K20" s="11">
        <f t="shared" si="10"/>
        <v>22.075471698113212</v>
      </c>
      <c r="L20" s="113" t="str">
        <f t="shared" si="2"/>
        <v>A</v>
      </c>
      <c r="M20" s="10">
        <v>100</v>
      </c>
      <c r="N20" s="113" t="str">
        <f t="shared" si="11"/>
        <v>M</v>
      </c>
      <c r="O20" s="42">
        <f t="shared" si="3"/>
        <v>2208</v>
      </c>
      <c r="P20" s="113" t="str">
        <f t="shared" si="4"/>
        <v>I</v>
      </c>
      <c r="Q20" s="114" t="str">
        <f t="shared" si="5"/>
        <v>Situación Crítica.
Corrección urgente.</v>
      </c>
      <c r="R20" s="114" t="str">
        <f t="shared" si="6"/>
        <v>1 muerto o más.</v>
      </c>
      <c r="S20" s="114" t="s">
        <v>24</v>
      </c>
      <c r="T20" s="46"/>
    </row>
    <row r="21" spans="1:20" ht="57">
      <c r="A21" s="63"/>
      <c r="B21" s="113" t="s">
        <v>24</v>
      </c>
      <c r="C21" s="114" t="str">
        <f t="shared" si="0"/>
        <v>Superficies irregulares u obstruidas</v>
      </c>
      <c r="D21" s="9" t="s">
        <v>28</v>
      </c>
      <c r="E21" s="114" t="str">
        <f t="shared" si="8"/>
        <v>Caída de personas al mismo nivel</v>
      </c>
      <c r="F21" s="114" t="str">
        <f t="shared" si="7"/>
        <v>Riesgo de seguridad (Riesgo Mecánico)</v>
      </c>
      <c r="G21" s="117">
        <f>'E-MT-RM-CMN'!J15</f>
        <v>8.8461538461538467</v>
      </c>
      <c r="H21" s="113" t="str">
        <f t="shared" si="1"/>
        <v>MD</v>
      </c>
      <c r="I21" s="10">
        <v>2</v>
      </c>
      <c r="J21" s="113" t="str">
        <f t="shared" si="9"/>
        <v>EO</v>
      </c>
      <c r="K21" s="11">
        <f t="shared" si="10"/>
        <v>17.692307692307693</v>
      </c>
      <c r="L21" s="113" t="str">
        <f t="shared" si="2"/>
        <v>A</v>
      </c>
      <c r="M21" s="10">
        <v>60</v>
      </c>
      <c r="N21" s="113" t="str">
        <f t="shared" si="11"/>
        <v>MG</v>
      </c>
      <c r="O21" s="42">
        <f t="shared" si="3"/>
        <v>1062</v>
      </c>
      <c r="P21" s="113" t="str">
        <f t="shared" si="4"/>
        <v>I</v>
      </c>
      <c r="Q21" s="114" t="str">
        <f t="shared" si="5"/>
        <v>Situación Crítica.
Corrección urgente.</v>
      </c>
      <c r="R21" s="114" t="str">
        <f t="shared" si="6"/>
        <v>Lesiones graves que pueden ser irreparables.</v>
      </c>
      <c r="S21" s="114" t="s">
        <v>24</v>
      </c>
      <c r="T21" s="46"/>
    </row>
    <row r="22" spans="1:20" ht="57">
      <c r="A22" s="63"/>
      <c r="B22" s="113" t="s">
        <v>24</v>
      </c>
      <c r="C22" s="114" t="str">
        <f t="shared" si="0"/>
        <v>Estructuras inestables/ espacios confinados</v>
      </c>
      <c r="D22" s="9" t="s">
        <v>41</v>
      </c>
      <c r="E22" s="114" t="str">
        <f t="shared" si="8"/>
        <v>Caída de objetos por desplome</v>
      </c>
      <c r="F22" s="114" t="str">
        <f t="shared" si="7"/>
        <v>Riesgo de seguridad (Riesgo Mecánico)</v>
      </c>
      <c r="G22" s="117">
        <f>'E-MT-RM-COD'!J17</f>
        <v>7.291666666666667</v>
      </c>
      <c r="H22" s="113" t="str">
        <f t="shared" si="1"/>
        <v>MD</v>
      </c>
      <c r="I22" s="10">
        <v>4</v>
      </c>
      <c r="J22" s="113" t="str">
        <f t="shared" si="9"/>
        <v>EC</v>
      </c>
      <c r="K22" s="11">
        <f t="shared" si="10"/>
        <v>29.166666666666668</v>
      </c>
      <c r="L22" s="113" t="str">
        <f t="shared" si="2"/>
        <v>MA</v>
      </c>
      <c r="M22" s="10">
        <v>60</v>
      </c>
      <c r="N22" s="113" t="str">
        <f t="shared" si="11"/>
        <v>MG</v>
      </c>
      <c r="O22" s="42">
        <f t="shared" si="3"/>
        <v>1750</v>
      </c>
      <c r="P22" s="113" t="str">
        <f t="shared" si="4"/>
        <v>I</v>
      </c>
      <c r="Q22" s="114" t="str">
        <f t="shared" si="5"/>
        <v>Situación Crítica.
Corrección urgente.</v>
      </c>
      <c r="R22" s="114" t="str">
        <f t="shared" si="6"/>
        <v>Lesiones graves que pueden ser irreparables.</v>
      </c>
      <c r="S22" s="114" t="s">
        <v>24</v>
      </c>
      <c r="T22" s="46"/>
    </row>
    <row r="23" spans="1:20" ht="57">
      <c r="A23" s="63"/>
      <c r="B23" s="113" t="s">
        <v>24</v>
      </c>
      <c r="C23" s="114" t="str">
        <f t="shared" si="0"/>
        <v>Desprendimiento de objetos</v>
      </c>
      <c r="D23" s="9" t="s">
        <v>29</v>
      </c>
      <c r="E23" s="114" t="str">
        <f t="shared" si="8"/>
        <v>Caída de objetos en manipulación</v>
      </c>
      <c r="F23" s="114" t="str">
        <f t="shared" si="7"/>
        <v>Riesgo de seguridad (Riesgo Mecánico)</v>
      </c>
      <c r="G23" s="117">
        <f>'E-MT-RM-COM'!J17</f>
        <v>4.333333333333333</v>
      </c>
      <c r="H23" s="113" t="str">
        <f t="shared" si="1"/>
        <v>D</v>
      </c>
      <c r="I23" s="10">
        <v>3</v>
      </c>
      <c r="J23" s="113" t="str">
        <f t="shared" si="9"/>
        <v>EF</v>
      </c>
      <c r="K23" s="11">
        <f t="shared" si="10"/>
        <v>13</v>
      </c>
      <c r="L23" s="113" t="str">
        <f t="shared" si="2"/>
        <v>A</v>
      </c>
      <c r="M23" s="10">
        <v>25</v>
      </c>
      <c r="N23" s="113" t="str">
        <f t="shared" si="11"/>
        <v>G</v>
      </c>
      <c r="O23" s="42">
        <f t="shared" si="3"/>
        <v>325</v>
      </c>
      <c r="P23" s="113" t="str">
        <f t="shared" si="4"/>
        <v>II</v>
      </c>
      <c r="Q23" s="114" t="str">
        <f t="shared" si="5"/>
        <v>Corregir
y adoptar medidas de control.</v>
      </c>
      <c r="R23" s="114" t="str">
        <f t="shared" si="6"/>
        <v>Lesiones con incapacidad laboral transitoria (I. L. T.).</v>
      </c>
      <c r="S23" s="114" t="s">
        <v>24</v>
      </c>
      <c r="T23" s="46"/>
    </row>
    <row r="24" spans="1:20" ht="57">
      <c r="A24" s="63"/>
      <c r="B24" s="113" t="s">
        <v>24</v>
      </c>
      <c r="C24" s="114" t="str">
        <f t="shared" si="0"/>
        <v>Manipulación de máquinas/ herramientas</v>
      </c>
      <c r="D24" s="9" t="s">
        <v>30</v>
      </c>
      <c r="E24" s="114" t="str">
        <f t="shared" si="8"/>
        <v>Golpes/cortes por objetos o herramientas</v>
      </c>
      <c r="F24" s="114" t="str">
        <f t="shared" si="7"/>
        <v>Riesgo de seguridad (Riesgo Mecánico)</v>
      </c>
      <c r="G24" s="117">
        <f>'E-MT-RM-CGOH'!J17</f>
        <v>4.9999999999999991</v>
      </c>
      <c r="H24" s="113" t="str">
        <f t="shared" si="1"/>
        <v>D</v>
      </c>
      <c r="I24" s="10">
        <v>3</v>
      </c>
      <c r="J24" s="113" t="str">
        <f t="shared" si="9"/>
        <v>EF</v>
      </c>
      <c r="K24" s="11">
        <f t="shared" si="10"/>
        <v>14.999999999999996</v>
      </c>
      <c r="L24" s="113" t="str">
        <f t="shared" si="2"/>
        <v>A</v>
      </c>
      <c r="M24" s="10">
        <v>60</v>
      </c>
      <c r="N24" s="113" t="str">
        <f t="shared" si="11"/>
        <v>MG</v>
      </c>
      <c r="O24" s="42">
        <f t="shared" si="3"/>
        <v>900</v>
      </c>
      <c r="P24" s="113" t="str">
        <f t="shared" si="4"/>
        <v>I</v>
      </c>
      <c r="Q24" s="114" t="str">
        <f t="shared" si="5"/>
        <v>Situación Crítica.
Corrección urgente.</v>
      </c>
      <c r="R24" s="114" t="str">
        <f t="shared" si="6"/>
        <v>Lesiones graves que pueden ser irreparables.</v>
      </c>
      <c r="S24" s="114" t="s">
        <v>24</v>
      </c>
      <c r="T24" s="46"/>
    </row>
    <row r="25" spans="1:20" ht="57">
      <c r="A25" s="63"/>
      <c r="B25" s="113" t="s">
        <v>24</v>
      </c>
      <c r="C25" s="114" t="str">
        <f t="shared" si="0"/>
        <v>Operaciones de conformado</v>
      </c>
      <c r="D25" s="9" t="s">
        <v>31</v>
      </c>
      <c r="E25" s="114" t="str">
        <f t="shared" si="8"/>
        <v>Proyección de fragmentos o partículas</v>
      </c>
      <c r="F25" s="114" t="str">
        <f t="shared" si="7"/>
        <v>Riesgo de seguridad (Riesgo Mecánico)</v>
      </c>
      <c r="G25" s="117">
        <f>'E-MT-RM-PFP'!J13</f>
        <v>10</v>
      </c>
      <c r="H25" s="113" t="str">
        <f t="shared" si="1"/>
        <v>MD</v>
      </c>
      <c r="I25" s="10">
        <v>3</v>
      </c>
      <c r="J25" s="113" t="str">
        <f t="shared" si="9"/>
        <v>EF</v>
      </c>
      <c r="K25" s="11">
        <f t="shared" si="10"/>
        <v>30</v>
      </c>
      <c r="L25" s="113" t="str">
        <f t="shared" si="2"/>
        <v>MA</v>
      </c>
      <c r="M25" s="10">
        <v>60</v>
      </c>
      <c r="N25" s="113" t="str">
        <f t="shared" si="11"/>
        <v>MG</v>
      </c>
      <c r="O25" s="42">
        <f t="shared" si="3"/>
        <v>1800</v>
      </c>
      <c r="P25" s="113" t="str">
        <f t="shared" si="4"/>
        <v>I</v>
      </c>
      <c r="Q25" s="114" t="str">
        <f t="shared" si="5"/>
        <v>Situación Crítica.
Corrección urgente.</v>
      </c>
      <c r="R25" s="114" t="str">
        <f t="shared" si="6"/>
        <v>Lesiones graves que pueden ser irreparables.</v>
      </c>
      <c r="S25" s="114" t="s">
        <v>24</v>
      </c>
      <c r="T25" s="46"/>
    </row>
    <row r="26" spans="1:20" ht="57">
      <c r="A26" s="63"/>
      <c r="B26" s="113" t="s">
        <v>24</v>
      </c>
      <c r="C26" s="114" t="str">
        <f t="shared" si="0"/>
        <v>Objetos fijos o móviles</v>
      </c>
      <c r="D26" s="9" t="s">
        <v>32</v>
      </c>
      <c r="E26" s="114" t="str">
        <f t="shared" si="8"/>
        <v>Atrapamiento por o entre objetos</v>
      </c>
      <c r="F26" s="114" t="str">
        <f t="shared" si="7"/>
        <v>Riesgo de seguridad (Riesgo Mecánico)</v>
      </c>
      <c r="G26" s="117">
        <f>'E-MT-RM-APEO'!J17</f>
        <v>9</v>
      </c>
      <c r="H26" s="113" t="str">
        <f t="shared" si="1"/>
        <v>MD</v>
      </c>
      <c r="I26" s="10">
        <v>4</v>
      </c>
      <c r="J26" s="113" t="str">
        <f t="shared" si="9"/>
        <v>EC</v>
      </c>
      <c r="K26" s="11">
        <f t="shared" si="10"/>
        <v>36</v>
      </c>
      <c r="L26" s="113" t="str">
        <f t="shared" si="2"/>
        <v>MA</v>
      </c>
      <c r="M26" s="10">
        <v>25</v>
      </c>
      <c r="N26" s="113" t="str">
        <f t="shared" si="11"/>
        <v>G</v>
      </c>
      <c r="O26" s="42">
        <f t="shared" si="3"/>
        <v>900</v>
      </c>
      <c r="P26" s="113" t="str">
        <f t="shared" si="4"/>
        <v>I</v>
      </c>
      <c r="Q26" s="114" t="str">
        <f t="shared" si="5"/>
        <v>Situación Crítica.
Corrección urgente.</v>
      </c>
      <c r="R26" s="114" t="str">
        <f t="shared" si="6"/>
        <v>Lesiones con incapacidad laboral transitoria (I. L. T.).</v>
      </c>
      <c r="S26" s="114" t="s">
        <v>24</v>
      </c>
      <c r="T26" s="46"/>
    </row>
    <row r="27" spans="1:20" ht="57">
      <c r="A27" s="63"/>
      <c r="B27" s="113" t="s">
        <v>24</v>
      </c>
      <c r="C27" s="114" t="str">
        <f t="shared" si="0"/>
        <v>Colisión/ impacto vehicular</v>
      </c>
      <c r="D27" s="9" t="s">
        <v>33</v>
      </c>
      <c r="E27" s="114" t="str">
        <f t="shared" si="8"/>
        <v>Atropellos o golpes con vehículos</v>
      </c>
      <c r="F27" s="114" t="str">
        <f t="shared" si="7"/>
        <v>Riesgo de seguridad (Riesgo Mecánico)</v>
      </c>
      <c r="G27" s="117">
        <f>'E-MT-RM-AGV'!J19</f>
        <v>7.4999999999999991</v>
      </c>
      <c r="H27" s="113" t="str">
        <f t="shared" si="1"/>
        <v>MD</v>
      </c>
      <c r="I27" s="10">
        <v>4</v>
      </c>
      <c r="J27" s="113" t="str">
        <f t="shared" si="9"/>
        <v>EC</v>
      </c>
      <c r="K27" s="11">
        <f t="shared" si="10"/>
        <v>29.999999999999996</v>
      </c>
      <c r="L27" s="113" t="str">
        <f t="shared" si="2"/>
        <v>MA</v>
      </c>
      <c r="M27" s="10">
        <v>100</v>
      </c>
      <c r="N27" s="113" t="str">
        <f t="shared" si="11"/>
        <v>M</v>
      </c>
      <c r="O27" s="42">
        <f t="shared" si="3"/>
        <v>3000</v>
      </c>
      <c r="P27" s="113" t="str">
        <f t="shared" si="4"/>
        <v>I</v>
      </c>
      <c r="Q27" s="114" t="str">
        <f t="shared" si="5"/>
        <v>Situación Crítica.
Corrección urgente.</v>
      </c>
      <c r="R27" s="114" t="str">
        <f t="shared" si="6"/>
        <v>1 muerto o más.</v>
      </c>
      <c r="S27" s="114" t="s">
        <v>24</v>
      </c>
      <c r="T27" s="46"/>
    </row>
    <row r="28" spans="1:20" ht="85.5">
      <c r="A28" s="63"/>
      <c r="B28" s="113" t="s">
        <v>24</v>
      </c>
      <c r="C28" s="114" t="str">
        <f t="shared" si="0"/>
        <v>Situaciones fortuitas</v>
      </c>
      <c r="D28" s="9" t="s">
        <v>34</v>
      </c>
      <c r="E28" s="114" t="str">
        <f t="shared" si="8"/>
        <v>Otros riesgos de accidente a) inherentes a la manipulación de herramientas eléctricas</v>
      </c>
      <c r="F28" s="114" t="str">
        <f t="shared" si="7"/>
        <v>Riesgo de seguridad (Riesgo Mecánico)</v>
      </c>
      <c r="G28" s="117">
        <f>'E-MT-RM-ORAa'!J15</f>
        <v>9.615384615384615</v>
      </c>
      <c r="H28" s="113" t="str">
        <f>IF(G28="","",IF(AND(G28&lt;=10,G28&gt;6),"MD",IF(AND(G28&lt;=6,G28&gt;2),"D",IF(AND(G28&lt;=2,G28&gt;0),"M",IF(G28=0,"B")))))</f>
        <v>MD</v>
      </c>
      <c r="I28" s="10">
        <v>3</v>
      </c>
      <c r="J28" s="113" t="str">
        <f t="shared" ref="J28:J35" si="12">IF(I28=4,"EC",IF(I28=3,"EF",IF(I28=2,"EO",IF(I28=1,"EE",""))))</f>
        <v>EF</v>
      </c>
      <c r="K28" s="11">
        <f t="shared" ref="K28:K36" si="13">IF(I28="","",G28*I28)</f>
        <v>28.846153846153847</v>
      </c>
      <c r="L28" s="113" t="str">
        <f>IF(K28="","",IF(K28&gt;=24,"MA",IF(AND(K28&lt;24,K28&gt;8),"A",IF(AND(K28&lt;=8,K28&gt;4),"M",IF(AND(K28&lt;=4,K28&gt;=0),"B")))))</f>
        <v>MA</v>
      </c>
      <c r="M28" s="10">
        <v>25</v>
      </c>
      <c r="N28" s="113" t="str">
        <f t="shared" ref="N28:N35" si="14">IF(M28="","",IF(M28=100,"M",IF(M28=60,"MG",IF(M28=25,"G",IF(M28=10,"L","")))))</f>
        <v>G</v>
      </c>
      <c r="O28" s="42">
        <f t="shared" si="3"/>
        <v>721</v>
      </c>
      <c r="P28" s="113" t="str">
        <f>IF(O28="","",IF(O28="","",IF(AND(O28&lt;=4000,O28&gt;500),"I",IF(AND(O28&lt;=500,O28&gt;120),"II",IF(AND(O28&lt;=120,O28&gt;20),"III",IF(O28&lt;=20,"IV"))))))</f>
        <v>I</v>
      </c>
      <c r="Q28" s="114" t="str">
        <f>IF(P28="","",IF(P28="I","Situación Crítica.
Corrección urgente.",IF(P28="II","Corregir
y adoptar medidas de control.",IF(P28="III","Mejorar si es posible. Sería conveniente justificar la intervención y su rentabilidad.",IF(P28="IV","No intervenir, salvo que un análisis más preciso lo justifique.")))))</f>
        <v>Situación Crítica.
Corrección urgente.</v>
      </c>
      <c r="R28" s="114" t="str">
        <f>IF(M28=10,"Pequeñas lesiones que no requieren hospitalización.",IF(M28=25,"Lesiones con incapacidad laboral transitoria (I. L. T.).",IF(M28=60,"Lesiones graves que pueden ser irreparables.",IF(M28=100,"1 muerto o más."))))</f>
        <v>Lesiones con incapacidad laboral transitoria (I. L. T.).</v>
      </c>
      <c r="S28" s="114" t="s">
        <v>24</v>
      </c>
      <c r="T28" s="46"/>
    </row>
    <row r="29" spans="1:20" ht="85.5">
      <c r="A29" s="63"/>
      <c r="B29" s="113" t="s">
        <v>24</v>
      </c>
      <c r="C29" s="114" t="str">
        <f t="shared" si="0"/>
        <v>Situaciones fortuitas</v>
      </c>
      <c r="D29" s="9" t="s">
        <v>35</v>
      </c>
      <c r="E29" s="114" t="str">
        <f t="shared" si="8"/>
        <v>Otros riesgos de accidente b) Inherentes a la manipulación de herramientas manuales</v>
      </c>
      <c r="F29" s="114" t="str">
        <f t="shared" si="7"/>
        <v>Riesgo de seguridad (Riesgo Mecánico)</v>
      </c>
      <c r="G29" s="117">
        <f>'E-MT-RM-ORAb'!J15</f>
        <v>6.5</v>
      </c>
      <c r="H29" s="113" t="str">
        <f>IF(G29="","",IF(AND(G29&lt;=10,G29&gt;6),"MD",IF(AND(G29&lt;=6,G29&gt;2),"D",IF(AND(G29&lt;=2,G29&gt;0),"M",IF(G29=0,"B")))))</f>
        <v>MD</v>
      </c>
      <c r="I29" s="10">
        <v>3</v>
      </c>
      <c r="J29" s="113" t="str">
        <f t="shared" si="12"/>
        <v>EF</v>
      </c>
      <c r="K29" s="11">
        <f t="shared" si="13"/>
        <v>19.5</v>
      </c>
      <c r="L29" s="113" t="str">
        <f>IF(K29="","",IF(K29&gt;=24,"MA",IF(AND(K29&lt;24,K29&gt;8),"A",IF(AND(K29&lt;=8,K29&gt;4),"M",IF(AND(K29&lt;=4,K29&gt;=0),"B")))))</f>
        <v>A</v>
      </c>
      <c r="M29" s="10">
        <v>25</v>
      </c>
      <c r="N29" s="113" t="str">
        <f t="shared" si="14"/>
        <v>G</v>
      </c>
      <c r="O29" s="42">
        <f t="shared" si="3"/>
        <v>488</v>
      </c>
      <c r="P29" s="113" t="str">
        <f>IF(O29="","",IF(O29="","",IF(AND(O29&lt;=4000,O29&gt;500),"I",IF(AND(O29&lt;=500,O29&gt;120),"II",IF(AND(O29&lt;=120,O29&gt;20),"III",IF(O29&lt;=20,"IV"))))))</f>
        <v>II</v>
      </c>
      <c r="Q29" s="114" t="str">
        <f>IF(P29="","",IF(P29="I","Situación Crítica.
Corrección urgente.",IF(P29="II","Corregir
y adoptar medidas de control.",IF(P29="III","Mejorar si es posible. Sería conveniente justificar la intervención y su rentabilidad.",IF(P29="IV","No intervenir, salvo que un análisis más preciso lo justifique.")))))</f>
        <v>Corregir
y adoptar medidas de control.</v>
      </c>
      <c r="R29" s="114" t="str">
        <f>IF(M29=10,"Pequeñas lesiones que no requieren hospitalización.",IF(M29=25,"Lesiones con incapacidad laboral transitoria (I. L. T.).",IF(M29=60,"Lesiones graves que pueden ser irreparables.",IF(M29=100,"1 muerto o más."))))</f>
        <v>Lesiones con incapacidad laboral transitoria (I. L. T.).</v>
      </c>
      <c r="S29" s="114" t="s">
        <v>24</v>
      </c>
      <c r="T29" s="46"/>
    </row>
    <row r="30" spans="1:20" ht="57">
      <c r="A30" s="63"/>
      <c r="B30" s="113" t="s">
        <v>24</v>
      </c>
      <c r="C30" s="114" t="str">
        <f t="shared" si="0"/>
        <v>Energía eléctrica</v>
      </c>
      <c r="D30" s="9" t="s">
        <v>36</v>
      </c>
      <c r="E30" s="114" t="str">
        <f t="shared" si="8"/>
        <v>Contactos Eléctricos</v>
      </c>
      <c r="F30" s="114" t="str">
        <f t="shared" si="7"/>
        <v>Riesgo de seguridad (Riesgo Eléctrico)</v>
      </c>
      <c r="G30" s="117">
        <f>'E-MT-RE-CE'!J20</f>
        <v>8.3783783783783772</v>
      </c>
      <c r="H30" s="113" t="str">
        <f>IF(G30="","",IF(AND(G30&lt;=10,G30&gt;6),"MD",IF(AND(G30&lt;=6,G30&gt;2),"D",IF(AND(G30&lt;=2,G30&gt;0),"M",IF(G30=0,"B")))))</f>
        <v>MD</v>
      </c>
      <c r="I30" s="10">
        <v>3</v>
      </c>
      <c r="J30" s="113" t="str">
        <f t="shared" si="12"/>
        <v>EF</v>
      </c>
      <c r="K30" s="11">
        <f t="shared" si="13"/>
        <v>25.13513513513513</v>
      </c>
      <c r="L30" s="113" t="str">
        <f>IF(K30="","",IF(K30&gt;=24,"MA",IF(AND(K30&lt;24,K30&gt;8),"A",IF(AND(K30&lt;=8,K30&gt;4),"M",IF(AND(K30&lt;=4,K30&gt;=0),"B")))))</f>
        <v>MA</v>
      </c>
      <c r="M30" s="10">
        <v>25</v>
      </c>
      <c r="N30" s="113" t="str">
        <f t="shared" si="14"/>
        <v>G</v>
      </c>
      <c r="O30" s="42">
        <f t="shared" si="3"/>
        <v>628</v>
      </c>
      <c r="P30" s="113" t="str">
        <f>IF(O30="","",IF(O30="","",IF(AND(O30&lt;=4000,O30&gt;500),"I",IF(AND(O30&lt;=500,O30&gt;120),"II",IF(AND(O30&lt;=120,O30&gt;20),"III",IF(O30&lt;=20,"IV"))))))</f>
        <v>I</v>
      </c>
      <c r="Q30" s="114" t="str">
        <f t="shared" si="5"/>
        <v>Situación Crítica.
Corrección urgente.</v>
      </c>
      <c r="R30" s="114" t="str">
        <f t="shared" si="6"/>
        <v>Lesiones con incapacidad laboral transitoria (I. L. T.).</v>
      </c>
      <c r="S30" s="114" t="s">
        <v>24</v>
      </c>
      <c r="T30" s="46"/>
    </row>
    <row r="31" spans="1:20" ht="57">
      <c r="A31" s="63"/>
      <c r="B31" s="113" t="s">
        <v>24</v>
      </c>
      <c r="C31" s="114" t="str">
        <f t="shared" si="0"/>
        <v>Posturas forzadas/ manipulación manual de cargas</v>
      </c>
      <c r="D31" s="9" t="s">
        <v>37</v>
      </c>
      <c r="E31" s="114" t="str">
        <f t="shared" si="8"/>
        <v>Sobreesfuerzos</v>
      </c>
      <c r="F31" s="114" t="str">
        <f t="shared" si="7"/>
        <v>Riesgo Ergonómico</v>
      </c>
      <c r="G31" s="117">
        <f>'E-MT-RC-RE-S'!I15</f>
        <v>10.000000000000002</v>
      </c>
      <c r="H31" s="113" t="str">
        <f t="shared" si="1"/>
        <v>MD</v>
      </c>
      <c r="I31" s="10">
        <v>3</v>
      </c>
      <c r="J31" s="113" t="str">
        <f t="shared" si="12"/>
        <v>EF</v>
      </c>
      <c r="K31" s="11">
        <f t="shared" si="13"/>
        <v>30.000000000000007</v>
      </c>
      <c r="L31" s="113" t="str">
        <f t="shared" si="2"/>
        <v>MA</v>
      </c>
      <c r="M31" s="10">
        <v>25</v>
      </c>
      <c r="N31" s="113" t="str">
        <f t="shared" si="14"/>
        <v>G</v>
      </c>
      <c r="O31" s="42">
        <f t="shared" si="3"/>
        <v>750</v>
      </c>
      <c r="P31" s="113" t="str">
        <f t="shared" si="4"/>
        <v>I</v>
      </c>
      <c r="Q31" s="114" t="str">
        <f t="shared" si="5"/>
        <v>Situación Crítica.
Corrección urgente.</v>
      </c>
      <c r="R31" s="114" t="str">
        <f t="shared" si="6"/>
        <v>Lesiones con incapacidad laboral transitoria (I. L. T.).</v>
      </c>
      <c r="S31" s="114" t="s">
        <v>24</v>
      </c>
      <c r="T31" s="46"/>
    </row>
    <row r="32" spans="1:20" ht="57">
      <c r="A32" s="63" t="s">
        <v>42</v>
      </c>
      <c r="B32" s="113" t="s">
        <v>24</v>
      </c>
      <c r="C32" s="114" t="str">
        <f t="shared" si="0"/>
        <v>Niveles sonoros</v>
      </c>
      <c r="D32" s="9" t="s">
        <v>25</v>
      </c>
      <c r="E32" s="114" t="str">
        <f t="shared" si="8"/>
        <v>Ruido</v>
      </c>
      <c r="F32" s="114" t="str">
        <f t="shared" si="7"/>
        <v>Riesgo Físico</v>
      </c>
      <c r="G32" s="117">
        <f>'E-HA-RC-RF-R'!I13</f>
        <v>10</v>
      </c>
      <c r="H32" s="113" t="str">
        <f t="shared" si="1"/>
        <v>MD</v>
      </c>
      <c r="I32" s="10">
        <v>3</v>
      </c>
      <c r="J32" s="113" t="str">
        <f t="shared" si="12"/>
        <v>EF</v>
      </c>
      <c r="K32" s="11">
        <f t="shared" si="13"/>
        <v>30</v>
      </c>
      <c r="L32" s="113" t="str">
        <f t="shared" si="2"/>
        <v>MA</v>
      </c>
      <c r="M32" s="10">
        <v>25</v>
      </c>
      <c r="N32" s="113" t="str">
        <f t="shared" si="14"/>
        <v>G</v>
      </c>
      <c r="O32" s="42">
        <f t="shared" si="3"/>
        <v>750</v>
      </c>
      <c r="P32" s="113" t="str">
        <f t="shared" si="4"/>
        <v>I</v>
      </c>
      <c r="Q32" s="114" t="str">
        <f t="shared" si="5"/>
        <v>Situación Crítica.
Corrección urgente.</v>
      </c>
      <c r="R32" s="114" t="str">
        <f t="shared" si="6"/>
        <v>Lesiones con incapacidad laboral transitoria (I. L. T.).</v>
      </c>
      <c r="S32" s="114" t="s">
        <v>24</v>
      </c>
      <c r="T32" s="46"/>
    </row>
    <row r="33" spans="1:20" ht="57">
      <c r="A33" s="63"/>
      <c r="B33" s="113" t="s">
        <v>24</v>
      </c>
      <c r="C33" s="114" t="str">
        <f t="shared" si="0"/>
        <v>Movimientos oscilatorios</v>
      </c>
      <c r="D33" s="9" t="s">
        <v>39</v>
      </c>
      <c r="E33" s="114" t="str">
        <f t="shared" si="8"/>
        <v>Vibración</v>
      </c>
      <c r="F33" s="114" t="str">
        <f t="shared" si="7"/>
        <v>Riesgo Físico</v>
      </c>
      <c r="G33" s="117">
        <f>'E-HA-RC-RF-V'!I13</f>
        <v>10</v>
      </c>
      <c r="H33" s="113" t="str">
        <f t="shared" si="1"/>
        <v>MD</v>
      </c>
      <c r="I33" s="10">
        <v>3</v>
      </c>
      <c r="J33" s="113" t="str">
        <f t="shared" si="12"/>
        <v>EF</v>
      </c>
      <c r="K33" s="11">
        <f t="shared" si="13"/>
        <v>30</v>
      </c>
      <c r="L33" s="113" t="str">
        <f t="shared" si="2"/>
        <v>MA</v>
      </c>
      <c r="M33" s="10">
        <v>25</v>
      </c>
      <c r="N33" s="113" t="str">
        <f t="shared" si="14"/>
        <v>G</v>
      </c>
      <c r="O33" s="42">
        <f t="shared" si="3"/>
        <v>750</v>
      </c>
      <c r="P33" s="113" t="str">
        <f t="shared" si="4"/>
        <v>I</v>
      </c>
      <c r="Q33" s="114" t="str">
        <f t="shared" si="5"/>
        <v>Situación Crítica.
Corrección urgente.</v>
      </c>
      <c r="R33" s="114" t="str">
        <f t="shared" si="6"/>
        <v>Lesiones con incapacidad laboral transitoria (I. L. T.).</v>
      </c>
      <c r="S33" s="114" t="s">
        <v>24</v>
      </c>
      <c r="T33" s="46"/>
    </row>
    <row r="34" spans="1:20" ht="57">
      <c r="A34" s="63"/>
      <c r="B34" s="113" t="s">
        <v>24</v>
      </c>
      <c r="C34" s="114" t="str">
        <f t="shared" si="0"/>
        <v>Niveles lumínicos</v>
      </c>
      <c r="D34" s="9" t="s">
        <v>26</v>
      </c>
      <c r="E34" s="114" t="str">
        <f t="shared" si="8"/>
        <v>Iluminación</v>
      </c>
      <c r="F34" s="114" t="str">
        <f t="shared" si="7"/>
        <v>Riesgo Físico</v>
      </c>
      <c r="G34" s="117">
        <f>'E-HA-RC-RF-I'!I12</f>
        <v>9.4736842105263186</v>
      </c>
      <c r="H34" s="113" t="str">
        <f t="shared" si="1"/>
        <v>MD</v>
      </c>
      <c r="I34" s="10">
        <v>2</v>
      </c>
      <c r="J34" s="113" t="str">
        <f t="shared" si="12"/>
        <v>EO</v>
      </c>
      <c r="K34" s="11">
        <f t="shared" si="13"/>
        <v>18.947368421052637</v>
      </c>
      <c r="L34" s="113" t="str">
        <f t="shared" si="2"/>
        <v>A</v>
      </c>
      <c r="M34" s="10">
        <v>25</v>
      </c>
      <c r="N34" s="113" t="str">
        <f t="shared" si="14"/>
        <v>G</v>
      </c>
      <c r="O34" s="42">
        <f t="shared" si="3"/>
        <v>474</v>
      </c>
      <c r="P34" s="113" t="str">
        <f t="shared" si="4"/>
        <v>II</v>
      </c>
      <c r="Q34" s="114" t="str">
        <f t="shared" si="5"/>
        <v>Corregir
y adoptar medidas de control.</v>
      </c>
      <c r="R34" s="114" t="str">
        <f t="shared" si="6"/>
        <v>Lesiones con incapacidad laboral transitoria (I. L. T.).</v>
      </c>
      <c r="S34" s="114" t="s">
        <v>24</v>
      </c>
      <c r="T34" s="46"/>
    </row>
    <row r="35" spans="1:20" ht="57">
      <c r="A35" s="63"/>
      <c r="B35" s="113" t="s">
        <v>24</v>
      </c>
      <c r="C35" s="114" t="str">
        <f t="shared" si="0"/>
        <v>Sustancias químicas</v>
      </c>
      <c r="D35" s="9" t="s">
        <v>43</v>
      </c>
      <c r="E35" s="114" t="str">
        <f t="shared" si="8"/>
        <v>Exposición a sustancias nocivas</v>
      </c>
      <c r="F35" s="114" t="str">
        <f t="shared" si="7"/>
        <v>Riesgo Químico</v>
      </c>
      <c r="G35" s="117">
        <f>'E-HA-RC-RQ-ESN'!I16</f>
        <v>10.000000000000002</v>
      </c>
      <c r="H35" s="113" t="str">
        <f t="shared" si="1"/>
        <v>MD</v>
      </c>
      <c r="I35" s="10">
        <v>4</v>
      </c>
      <c r="J35" s="113" t="str">
        <f t="shared" si="12"/>
        <v>EC</v>
      </c>
      <c r="K35" s="11">
        <f t="shared" si="13"/>
        <v>40.000000000000007</v>
      </c>
      <c r="L35" s="113" t="str">
        <f t="shared" si="2"/>
        <v>MA</v>
      </c>
      <c r="M35" s="10">
        <v>25</v>
      </c>
      <c r="N35" s="113" t="str">
        <f t="shared" si="14"/>
        <v>G</v>
      </c>
      <c r="O35" s="42">
        <f t="shared" si="3"/>
        <v>1000</v>
      </c>
      <c r="P35" s="113" t="str">
        <f t="shared" si="4"/>
        <v>I</v>
      </c>
      <c r="Q35" s="114" t="str">
        <f t="shared" si="5"/>
        <v>Situación Crítica.
Corrección urgente.</v>
      </c>
      <c r="R35" s="114" t="str">
        <f t="shared" si="6"/>
        <v>Lesiones con incapacidad laboral transitoria (I. L. T.).</v>
      </c>
      <c r="S35" s="114" t="s">
        <v>24</v>
      </c>
      <c r="T35" s="46"/>
    </row>
    <row r="36" spans="1:20" ht="57">
      <c r="A36" s="63"/>
      <c r="B36" s="113" t="s">
        <v>24</v>
      </c>
      <c r="C36" s="114" t="str">
        <f t="shared" si="0"/>
        <v>Condiciones inadecuadas</v>
      </c>
      <c r="D36" s="9" t="s">
        <v>27</v>
      </c>
      <c r="E36" s="114" t="str">
        <f t="shared" si="8"/>
        <v>Organización del trabajo incorrecta</v>
      </c>
      <c r="F36" s="114" t="str">
        <f t="shared" si="7"/>
        <v>Riesgo de seguridad (Riesgo Locativo)</v>
      </c>
      <c r="G36" s="117">
        <f>'E-HA-RL-OI'!J14</f>
        <v>9.9999999999999982</v>
      </c>
      <c r="H36" s="113" t="str">
        <f t="shared" si="1"/>
        <v>MD</v>
      </c>
      <c r="I36" s="10">
        <v>3</v>
      </c>
      <c r="J36" s="113" t="str">
        <f t="shared" si="9"/>
        <v>EF</v>
      </c>
      <c r="K36" s="11">
        <f t="shared" si="13"/>
        <v>29.999999999999993</v>
      </c>
      <c r="L36" s="113" t="str">
        <f t="shared" si="2"/>
        <v>MA</v>
      </c>
      <c r="M36" s="10">
        <v>25</v>
      </c>
      <c r="N36" s="113" t="str">
        <f t="shared" si="11"/>
        <v>G</v>
      </c>
      <c r="O36" s="42">
        <f t="shared" si="3"/>
        <v>750</v>
      </c>
      <c r="P36" s="113" t="str">
        <f t="shared" si="4"/>
        <v>I</v>
      </c>
      <c r="Q36" s="114" t="str">
        <f t="shared" si="5"/>
        <v>Situación Crítica.
Corrección urgente.</v>
      </c>
      <c r="R36" s="114" t="str">
        <f t="shared" si="6"/>
        <v>Lesiones con incapacidad laboral transitoria (I. L. T.).</v>
      </c>
      <c r="S36" s="114" t="s">
        <v>24</v>
      </c>
      <c r="T36" s="46"/>
    </row>
    <row r="37" spans="1:20" ht="57">
      <c r="A37" s="63"/>
      <c r="B37" s="113" t="s">
        <v>24</v>
      </c>
      <c r="C37" s="114" t="str">
        <f t="shared" si="0"/>
        <v>Trabajo en altura/ zonas con desnivel</v>
      </c>
      <c r="D37" s="9" t="s">
        <v>40</v>
      </c>
      <c r="E37" s="114" t="str">
        <f t="shared" si="8"/>
        <v>Caída de personas a distinto nivel</v>
      </c>
      <c r="F37" s="114" t="str">
        <f t="shared" si="7"/>
        <v>Riesgo de seguridad (Riesgo Mecánico)</v>
      </c>
      <c r="G37" s="117">
        <f>'E-HA-RM-CDN'!J20</f>
        <v>9.0566037735849072</v>
      </c>
      <c r="H37" s="113" t="str">
        <f t="shared" si="1"/>
        <v>MD</v>
      </c>
      <c r="I37" s="10">
        <v>4</v>
      </c>
      <c r="J37" s="113" t="str">
        <f t="shared" si="9"/>
        <v>EC</v>
      </c>
      <c r="K37" s="11">
        <f t="shared" si="10"/>
        <v>36.226415094339629</v>
      </c>
      <c r="L37" s="113" t="str">
        <f t="shared" si="2"/>
        <v>MA</v>
      </c>
      <c r="M37" s="10">
        <v>100</v>
      </c>
      <c r="N37" s="113" t="str">
        <f t="shared" si="11"/>
        <v>M</v>
      </c>
      <c r="O37" s="42">
        <f t="shared" si="3"/>
        <v>3623</v>
      </c>
      <c r="P37" s="113" t="str">
        <f t="shared" si="4"/>
        <v>I</v>
      </c>
      <c r="Q37" s="114" t="str">
        <f t="shared" si="5"/>
        <v>Situación Crítica.
Corrección urgente.</v>
      </c>
      <c r="R37" s="114" t="str">
        <f t="shared" si="6"/>
        <v>1 muerto o más.</v>
      </c>
      <c r="S37" s="114" t="s">
        <v>24</v>
      </c>
      <c r="T37" s="46"/>
    </row>
    <row r="38" spans="1:20" ht="57">
      <c r="A38" s="63"/>
      <c r="B38" s="113" t="s">
        <v>24</v>
      </c>
      <c r="C38" s="114" t="str">
        <f t="shared" si="0"/>
        <v>Superficies irregulares u obstruidas</v>
      </c>
      <c r="D38" s="9" t="s">
        <v>28</v>
      </c>
      <c r="E38" s="114" t="str">
        <f t="shared" si="8"/>
        <v>Caída de personas al mismo nivel</v>
      </c>
      <c r="F38" s="114" t="str">
        <f t="shared" si="7"/>
        <v>Riesgo de seguridad (Riesgo Mecánico)</v>
      </c>
      <c r="G38" s="117">
        <f>'E-HA-RM-CMN'!J15</f>
        <v>8.4615384615384617</v>
      </c>
      <c r="H38" s="113" t="str">
        <f t="shared" si="1"/>
        <v>MD</v>
      </c>
      <c r="I38" s="10">
        <v>3</v>
      </c>
      <c r="J38" s="113" t="str">
        <f t="shared" si="9"/>
        <v>EF</v>
      </c>
      <c r="K38" s="11">
        <f t="shared" si="10"/>
        <v>25.384615384615387</v>
      </c>
      <c r="L38" s="113" t="str">
        <f t="shared" si="2"/>
        <v>MA</v>
      </c>
      <c r="M38" s="10">
        <v>60</v>
      </c>
      <c r="N38" s="113" t="str">
        <f t="shared" si="11"/>
        <v>MG</v>
      </c>
      <c r="O38" s="42">
        <f t="shared" si="3"/>
        <v>1523</v>
      </c>
      <c r="P38" s="113" t="str">
        <f t="shared" si="4"/>
        <v>I</v>
      </c>
      <c r="Q38" s="114" t="str">
        <f t="shared" si="5"/>
        <v>Situación Crítica.
Corrección urgente.</v>
      </c>
      <c r="R38" s="114" t="str">
        <f t="shared" si="6"/>
        <v>Lesiones graves que pueden ser irreparables.</v>
      </c>
      <c r="S38" s="114" t="s">
        <v>24</v>
      </c>
      <c r="T38" s="46"/>
    </row>
    <row r="39" spans="1:20" ht="57">
      <c r="A39" s="63"/>
      <c r="B39" s="113" t="s">
        <v>24</v>
      </c>
      <c r="C39" s="114" t="str">
        <f t="shared" si="0"/>
        <v>Desprendimiento de objetos</v>
      </c>
      <c r="D39" s="9" t="s">
        <v>29</v>
      </c>
      <c r="E39" s="114" t="str">
        <f t="shared" si="8"/>
        <v>Caída de objetos en manipulación</v>
      </c>
      <c r="F39" s="114" t="str">
        <f t="shared" si="7"/>
        <v>Riesgo de seguridad (Riesgo Mecánico)</v>
      </c>
      <c r="G39" s="117">
        <f>'E-HA-RM-COM'!J17</f>
        <v>9.3333333333333357</v>
      </c>
      <c r="H39" s="113" t="str">
        <f t="shared" si="1"/>
        <v>MD</v>
      </c>
      <c r="I39" s="10">
        <v>3</v>
      </c>
      <c r="J39" s="113" t="str">
        <f t="shared" si="9"/>
        <v>EF</v>
      </c>
      <c r="K39" s="11">
        <f t="shared" si="10"/>
        <v>28.000000000000007</v>
      </c>
      <c r="L39" s="113" t="str">
        <f t="shared" si="2"/>
        <v>MA</v>
      </c>
      <c r="M39" s="10">
        <v>60</v>
      </c>
      <c r="N39" s="113" t="str">
        <f t="shared" si="11"/>
        <v>MG</v>
      </c>
      <c r="O39" s="42">
        <f t="shared" si="3"/>
        <v>1680</v>
      </c>
      <c r="P39" s="113" t="str">
        <f t="shared" si="4"/>
        <v>I</v>
      </c>
      <c r="Q39" s="114" t="str">
        <f t="shared" si="5"/>
        <v>Situación Crítica.
Corrección urgente.</v>
      </c>
      <c r="R39" s="114" t="str">
        <f t="shared" si="6"/>
        <v>Lesiones graves que pueden ser irreparables.</v>
      </c>
      <c r="S39" s="114" t="s">
        <v>24</v>
      </c>
      <c r="T39" s="46"/>
    </row>
    <row r="40" spans="1:20" ht="57">
      <c r="A40" s="63"/>
      <c r="B40" s="113" t="s">
        <v>24</v>
      </c>
      <c r="C40" s="114" t="str">
        <f t="shared" si="0"/>
        <v>Manipulación de máquinas/ herramientas</v>
      </c>
      <c r="D40" s="9" t="s">
        <v>30</v>
      </c>
      <c r="E40" s="114" t="str">
        <f t="shared" si="8"/>
        <v>Golpes/cortes por objetos o herramientas</v>
      </c>
      <c r="F40" s="114" t="str">
        <f t="shared" si="7"/>
        <v>Riesgo de seguridad (Riesgo Mecánico)</v>
      </c>
      <c r="G40" s="117">
        <f>'E-HA-RM-CGOH'!J17</f>
        <v>7.1428571428571423</v>
      </c>
      <c r="H40" s="113" t="str">
        <f t="shared" si="1"/>
        <v>MD</v>
      </c>
      <c r="I40" s="10">
        <v>3</v>
      </c>
      <c r="J40" s="113" t="str">
        <f t="shared" si="9"/>
        <v>EF</v>
      </c>
      <c r="K40" s="11">
        <f t="shared" si="10"/>
        <v>21.428571428571427</v>
      </c>
      <c r="L40" s="113" t="str">
        <f t="shared" si="2"/>
        <v>A</v>
      </c>
      <c r="M40" s="10">
        <v>60</v>
      </c>
      <c r="N40" s="113" t="str">
        <f t="shared" si="11"/>
        <v>MG</v>
      </c>
      <c r="O40" s="42">
        <f t="shared" si="3"/>
        <v>1286</v>
      </c>
      <c r="P40" s="113" t="str">
        <f t="shared" si="4"/>
        <v>I</v>
      </c>
      <c r="Q40" s="114" t="str">
        <f t="shared" si="5"/>
        <v>Situación Crítica.
Corrección urgente.</v>
      </c>
      <c r="R40" s="114" t="str">
        <f t="shared" si="6"/>
        <v>Lesiones graves que pueden ser irreparables.</v>
      </c>
      <c r="S40" s="114" t="s">
        <v>24</v>
      </c>
      <c r="T40" s="46"/>
    </row>
    <row r="41" spans="1:20" ht="57">
      <c r="A41" s="63"/>
      <c r="B41" s="113" t="s">
        <v>24</v>
      </c>
      <c r="C41" s="114" t="str">
        <f t="shared" si="0"/>
        <v>Operaciones de conformado</v>
      </c>
      <c r="D41" s="9" t="s">
        <v>31</v>
      </c>
      <c r="E41" s="114" t="str">
        <f t="shared" si="8"/>
        <v>Proyección de fragmentos o partículas</v>
      </c>
      <c r="F41" s="114" t="str">
        <f t="shared" si="7"/>
        <v>Riesgo de seguridad (Riesgo Mecánico)</v>
      </c>
      <c r="G41" s="117">
        <f>'E-HA-RM-PFP'!J13</f>
        <v>10</v>
      </c>
      <c r="H41" s="113" t="str">
        <f t="shared" si="1"/>
        <v>MD</v>
      </c>
      <c r="I41" s="10">
        <v>3</v>
      </c>
      <c r="J41" s="113" t="str">
        <f t="shared" si="9"/>
        <v>EF</v>
      </c>
      <c r="K41" s="11">
        <f t="shared" si="10"/>
        <v>30</v>
      </c>
      <c r="L41" s="113" t="str">
        <f t="shared" si="2"/>
        <v>MA</v>
      </c>
      <c r="M41" s="10">
        <v>60</v>
      </c>
      <c r="N41" s="113" t="str">
        <f t="shared" si="11"/>
        <v>MG</v>
      </c>
      <c r="O41" s="42">
        <f t="shared" si="3"/>
        <v>1800</v>
      </c>
      <c r="P41" s="113" t="str">
        <f t="shared" si="4"/>
        <v>I</v>
      </c>
      <c r="Q41" s="114" t="str">
        <f t="shared" si="5"/>
        <v>Situación Crítica.
Corrección urgente.</v>
      </c>
      <c r="R41" s="114" t="str">
        <f t="shared" si="6"/>
        <v>Lesiones graves que pueden ser irreparables.</v>
      </c>
      <c r="S41" s="114" t="s">
        <v>24</v>
      </c>
      <c r="T41" s="46"/>
    </row>
    <row r="42" spans="1:20" ht="57">
      <c r="A42" s="63"/>
      <c r="B42" s="113" t="s">
        <v>24</v>
      </c>
      <c r="C42" s="114" t="str">
        <f t="shared" si="0"/>
        <v>Objetos fijos o móviles</v>
      </c>
      <c r="D42" s="9" t="s">
        <v>32</v>
      </c>
      <c r="E42" s="114" t="str">
        <f t="shared" si="8"/>
        <v>Atrapamiento por o entre objetos</v>
      </c>
      <c r="F42" s="114" t="str">
        <f t="shared" si="7"/>
        <v>Riesgo de seguridad (Riesgo Mecánico)</v>
      </c>
      <c r="G42" s="117">
        <f>'E-HA-RM-APEO'!J17</f>
        <v>9.0000000000000018</v>
      </c>
      <c r="H42" s="113" t="str">
        <f t="shared" si="1"/>
        <v>MD</v>
      </c>
      <c r="I42" s="10">
        <v>3</v>
      </c>
      <c r="J42" s="113" t="str">
        <f t="shared" si="9"/>
        <v>EF</v>
      </c>
      <c r="K42" s="11">
        <f t="shared" si="10"/>
        <v>27.000000000000007</v>
      </c>
      <c r="L42" s="113" t="str">
        <f t="shared" si="2"/>
        <v>MA</v>
      </c>
      <c r="M42" s="10">
        <v>60</v>
      </c>
      <c r="N42" s="113" t="str">
        <f t="shared" si="11"/>
        <v>MG</v>
      </c>
      <c r="O42" s="42">
        <f t="shared" si="3"/>
        <v>1620</v>
      </c>
      <c r="P42" s="113" t="str">
        <f t="shared" si="4"/>
        <v>I</v>
      </c>
      <c r="Q42" s="114" t="str">
        <f t="shared" si="5"/>
        <v>Situación Crítica.
Corrección urgente.</v>
      </c>
      <c r="R42" s="114" t="str">
        <f t="shared" si="6"/>
        <v>Lesiones graves que pueden ser irreparables.</v>
      </c>
      <c r="S42" s="114" t="s">
        <v>24</v>
      </c>
      <c r="T42" s="46"/>
    </row>
    <row r="43" spans="1:20" ht="57">
      <c r="A43" s="63"/>
      <c r="B43" s="113" t="s">
        <v>24</v>
      </c>
      <c r="C43" s="114" t="str">
        <f t="shared" si="0"/>
        <v>Colisión/ impacto vehicular</v>
      </c>
      <c r="D43" s="9" t="s">
        <v>33</v>
      </c>
      <c r="E43" s="114" t="str">
        <f t="shared" si="8"/>
        <v>Atropellos o golpes con vehículos</v>
      </c>
      <c r="F43" s="114" t="str">
        <f t="shared" si="7"/>
        <v>Riesgo de seguridad (Riesgo Mecánico)</v>
      </c>
      <c r="G43" s="117">
        <f>'E-HA-RM-AGV'!J19</f>
        <v>6.1111111111111107</v>
      </c>
      <c r="H43" s="113" t="str">
        <f t="shared" si="1"/>
        <v>MD</v>
      </c>
      <c r="I43" s="10">
        <v>2</v>
      </c>
      <c r="J43" s="113" t="str">
        <f t="shared" si="9"/>
        <v>EO</v>
      </c>
      <c r="K43" s="11">
        <f t="shared" si="10"/>
        <v>12.222222222222221</v>
      </c>
      <c r="L43" s="113" t="str">
        <f t="shared" si="2"/>
        <v>A</v>
      </c>
      <c r="M43" s="10">
        <v>100</v>
      </c>
      <c r="N43" s="113" t="str">
        <f t="shared" si="11"/>
        <v>M</v>
      </c>
      <c r="O43" s="42">
        <f t="shared" si="3"/>
        <v>1222</v>
      </c>
      <c r="P43" s="113" t="str">
        <f t="shared" si="4"/>
        <v>I</v>
      </c>
      <c r="Q43" s="114" t="str">
        <f t="shared" si="5"/>
        <v>Situación Crítica.
Corrección urgente.</v>
      </c>
      <c r="R43" s="114" t="str">
        <f t="shared" si="6"/>
        <v>1 muerto o más.</v>
      </c>
      <c r="S43" s="114" t="s">
        <v>24</v>
      </c>
      <c r="T43" s="46"/>
    </row>
    <row r="44" spans="1:20" ht="85.5">
      <c r="A44" s="63"/>
      <c r="B44" s="113" t="s">
        <v>24</v>
      </c>
      <c r="C44" s="114" t="str">
        <f t="shared" si="0"/>
        <v>Situaciones fortuitas</v>
      </c>
      <c r="D44" s="9" t="s">
        <v>34</v>
      </c>
      <c r="E44" s="114" t="str">
        <f t="shared" si="8"/>
        <v>Otros riesgos de accidente a) inherentes a la manipulación de herramientas eléctricas</v>
      </c>
      <c r="F44" s="114" t="str">
        <f t="shared" si="7"/>
        <v>Riesgo de seguridad (Riesgo Mecánico)</v>
      </c>
      <c r="G44" s="117">
        <f>'E-HA-RM-ORAa'!J15</f>
        <v>9.615384615384615</v>
      </c>
      <c r="H44" s="113" t="str">
        <f t="shared" si="1"/>
        <v>MD</v>
      </c>
      <c r="I44" s="10">
        <v>4</v>
      </c>
      <c r="J44" s="113" t="str">
        <f t="shared" si="9"/>
        <v>EC</v>
      </c>
      <c r="K44" s="11">
        <f t="shared" si="10"/>
        <v>38.46153846153846</v>
      </c>
      <c r="L44" s="113" t="str">
        <f t="shared" si="2"/>
        <v>MA</v>
      </c>
      <c r="M44" s="10">
        <v>60</v>
      </c>
      <c r="N44" s="113" t="str">
        <f t="shared" si="11"/>
        <v>MG</v>
      </c>
      <c r="O44" s="42">
        <f t="shared" si="3"/>
        <v>2308</v>
      </c>
      <c r="P44" s="113" t="str">
        <f t="shared" si="4"/>
        <v>I</v>
      </c>
      <c r="Q44" s="114" t="str">
        <f t="shared" si="5"/>
        <v>Situación Crítica.
Corrección urgente.</v>
      </c>
      <c r="R44" s="114" t="str">
        <f t="shared" si="6"/>
        <v>Lesiones graves que pueden ser irreparables.</v>
      </c>
      <c r="S44" s="114" t="s">
        <v>24</v>
      </c>
      <c r="T44" s="46"/>
    </row>
    <row r="45" spans="1:20" ht="85.5">
      <c r="A45" s="63"/>
      <c r="B45" s="113" t="s">
        <v>24</v>
      </c>
      <c r="C45" s="114" t="str">
        <f t="shared" si="0"/>
        <v>Situaciones fortuitas</v>
      </c>
      <c r="D45" s="9" t="s">
        <v>35</v>
      </c>
      <c r="E45" s="114" t="str">
        <f t="shared" si="8"/>
        <v>Otros riesgos de accidente b) Inherentes a la manipulación de herramientas manuales</v>
      </c>
      <c r="F45" s="114" t="str">
        <f t="shared" si="7"/>
        <v>Riesgo de seguridad (Riesgo Mecánico)</v>
      </c>
      <c r="G45" s="117">
        <f>'E-HA-RM-ORAb'!J15</f>
        <v>6.5</v>
      </c>
      <c r="H45" s="113" t="str">
        <f t="shared" si="1"/>
        <v>MD</v>
      </c>
      <c r="I45" s="10">
        <v>4</v>
      </c>
      <c r="J45" s="113" t="str">
        <f t="shared" si="9"/>
        <v>EC</v>
      </c>
      <c r="K45" s="11">
        <f t="shared" si="10"/>
        <v>26</v>
      </c>
      <c r="L45" s="113" t="str">
        <f t="shared" si="2"/>
        <v>MA</v>
      </c>
      <c r="M45" s="10">
        <v>25</v>
      </c>
      <c r="N45" s="113" t="str">
        <f t="shared" si="11"/>
        <v>G</v>
      </c>
      <c r="O45" s="42">
        <f t="shared" si="3"/>
        <v>650</v>
      </c>
      <c r="P45" s="113" t="str">
        <f t="shared" si="4"/>
        <v>I</v>
      </c>
      <c r="Q45" s="114" t="str">
        <f t="shared" si="5"/>
        <v>Situación Crítica.
Corrección urgente.</v>
      </c>
      <c r="R45" s="114" t="str">
        <f t="shared" si="6"/>
        <v>Lesiones con incapacidad laboral transitoria (I. L. T.).</v>
      </c>
      <c r="S45" s="114" t="s">
        <v>24</v>
      </c>
      <c r="T45" s="46"/>
    </row>
    <row r="46" spans="1:20" ht="57">
      <c r="A46" s="63"/>
      <c r="B46" s="113" t="s">
        <v>24</v>
      </c>
      <c r="C46" s="114" t="str">
        <f t="shared" si="0"/>
        <v>Energía eléctrica</v>
      </c>
      <c r="D46" s="9" t="s">
        <v>36</v>
      </c>
      <c r="E46" s="114" t="str">
        <f t="shared" si="8"/>
        <v>Contactos Eléctricos</v>
      </c>
      <c r="F46" s="114" t="str">
        <f t="shared" si="7"/>
        <v>Riesgo de seguridad (Riesgo Eléctrico)</v>
      </c>
      <c r="G46" s="117">
        <f>'E-HA-RE-CE'!J20</f>
        <v>9.4594594594594579</v>
      </c>
      <c r="H46" s="113" t="str">
        <f t="shared" si="1"/>
        <v>MD</v>
      </c>
      <c r="I46" s="10">
        <v>3</v>
      </c>
      <c r="J46" s="113" t="str">
        <f t="shared" si="9"/>
        <v>EF</v>
      </c>
      <c r="K46" s="11">
        <f t="shared" si="10"/>
        <v>28.378378378378372</v>
      </c>
      <c r="L46" s="113" t="str">
        <f t="shared" si="2"/>
        <v>MA</v>
      </c>
      <c r="M46" s="10">
        <v>60</v>
      </c>
      <c r="N46" s="113" t="str">
        <f t="shared" si="11"/>
        <v>MG</v>
      </c>
      <c r="O46" s="42">
        <f t="shared" si="3"/>
        <v>1703</v>
      </c>
      <c r="P46" s="113" t="str">
        <f t="shared" si="4"/>
        <v>I</v>
      </c>
      <c r="Q46" s="114" t="str">
        <f t="shared" si="5"/>
        <v>Situación Crítica.
Corrección urgente.</v>
      </c>
      <c r="R46" s="114" t="str">
        <f t="shared" si="6"/>
        <v>Lesiones graves que pueden ser irreparables.</v>
      </c>
      <c r="S46" s="114" t="s">
        <v>24</v>
      </c>
      <c r="T46" s="46"/>
    </row>
    <row r="47" spans="1:20" ht="57">
      <c r="A47" s="63"/>
      <c r="B47" s="113" t="s">
        <v>24</v>
      </c>
      <c r="C47" s="114" t="str">
        <f t="shared" si="0"/>
        <v>Posturas forzadas/ manipulación manual de cargas</v>
      </c>
      <c r="D47" s="9" t="s">
        <v>37</v>
      </c>
      <c r="E47" s="114" t="str">
        <f t="shared" si="8"/>
        <v>Sobreesfuerzos</v>
      </c>
      <c r="F47" s="114" t="str">
        <f t="shared" si="7"/>
        <v>Riesgo Ergonómico</v>
      </c>
      <c r="G47" s="117">
        <f>'E-HA-RC-RE-S'!I15</f>
        <v>10.000000000000002</v>
      </c>
      <c r="H47" s="113" t="str">
        <f t="shared" si="1"/>
        <v>MD</v>
      </c>
      <c r="I47" s="10">
        <v>3</v>
      </c>
      <c r="J47" s="113" t="str">
        <f>IF(I47=4,"EC",IF(I47=3,"EF",IF(I47=2,"EO",IF(I47=1,"EE",""))))</f>
        <v>EF</v>
      </c>
      <c r="K47" s="11">
        <f t="shared" ref="K47:K52" si="15">IF(I47="","",G47*I47)</f>
        <v>30.000000000000007</v>
      </c>
      <c r="L47" s="113" t="str">
        <f t="shared" si="2"/>
        <v>MA</v>
      </c>
      <c r="M47" s="10">
        <v>25</v>
      </c>
      <c r="N47" s="113" t="str">
        <f>IF(M47="","",IF(M47=100,"M",IF(M47=60,"MG",IF(M47=25,"G",IF(M47=10,"L","")))))</f>
        <v>G</v>
      </c>
      <c r="O47" s="42">
        <f t="shared" si="3"/>
        <v>750</v>
      </c>
      <c r="P47" s="113" t="str">
        <f t="shared" si="4"/>
        <v>I</v>
      </c>
      <c r="Q47" s="114" t="str">
        <f t="shared" si="5"/>
        <v>Situación Crítica.
Corrección urgente.</v>
      </c>
      <c r="R47" s="114" t="str">
        <f t="shared" si="6"/>
        <v>Lesiones con incapacidad laboral transitoria (I. L. T.).</v>
      </c>
      <c r="S47" s="114" t="s">
        <v>24</v>
      </c>
      <c r="T47" s="46"/>
    </row>
    <row r="48" spans="1:20" ht="57">
      <c r="A48" s="63" t="s">
        <v>44</v>
      </c>
      <c r="B48" s="113" t="s">
        <v>24</v>
      </c>
      <c r="C48" s="114" t="str">
        <f t="shared" si="0"/>
        <v>Niveles sonoros</v>
      </c>
      <c r="D48" s="9" t="s">
        <v>25</v>
      </c>
      <c r="E48" s="114" t="str">
        <f t="shared" si="8"/>
        <v>Ruido</v>
      </c>
      <c r="F48" s="114" t="str">
        <f t="shared" si="7"/>
        <v>Riesgo Físico</v>
      </c>
      <c r="G48" s="117">
        <f>'E-EM-RC-RF-R'!I13</f>
        <v>10</v>
      </c>
      <c r="H48" s="113" t="str">
        <f t="shared" si="1"/>
        <v>MD</v>
      </c>
      <c r="I48" s="10">
        <v>3</v>
      </c>
      <c r="J48" s="113" t="str">
        <f>IF(I48=4,"EC",IF(I48=3,"EF",IF(I48=2,"EO",IF(I48=1,"EE",""))))</f>
        <v>EF</v>
      </c>
      <c r="K48" s="11">
        <f t="shared" si="15"/>
        <v>30</v>
      </c>
      <c r="L48" s="113" t="str">
        <f t="shared" si="2"/>
        <v>MA</v>
      </c>
      <c r="M48" s="10">
        <v>25</v>
      </c>
      <c r="N48" s="113" t="str">
        <f>IF(M48="","",IF(M48=100,"M",IF(M48=60,"MG",IF(M48=25,"G",IF(M48=10,"L","")))))</f>
        <v>G</v>
      </c>
      <c r="O48" s="42">
        <f t="shared" si="3"/>
        <v>750</v>
      </c>
      <c r="P48" s="113" t="str">
        <f t="shared" si="4"/>
        <v>I</v>
      </c>
      <c r="Q48" s="114" t="str">
        <f t="shared" si="5"/>
        <v>Situación Crítica.
Corrección urgente.</v>
      </c>
      <c r="R48" s="114" t="str">
        <f t="shared" si="6"/>
        <v>Lesiones con incapacidad laboral transitoria (I. L. T.).</v>
      </c>
      <c r="S48" s="114" t="s">
        <v>24</v>
      </c>
      <c r="T48" s="46"/>
    </row>
    <row r="49" spans="1:20" ht="57">
      <c r="A49" s="63"/>
      <c r="B49" s="113" t="s">
        <v>24</v>
      </c>
      <c r="C49" s="114" t="str">
        <f t="shared" si="0"/>
        <v>Movimientos oscilatorios</v>
      </c>
      <c r="D49" s="9" t="s">
        <v>39</v>
      </c>
      <c r="E49" s="114" t="str">
        <f t="shared" si="8"/>
        <v>Vibración</v>
      </c>
      <c r="F49" s="114" t="str">
        <f t="shared" si="7"/>
        <v>Riesgo Físico</v>
      </c>
      <c r="G49" s="117">
        <f>'E-EM-RC-RF-V'!I13</f>
        <v>10</v>
      </c>
      <c r="H49" s="113" t="str">
        <f t="shared" si="1"/>
        <v>MD</v>
      </c>
      <c r="I49" s="10">
        <v>3</v>
      </c>
      <c r="J49" s="113" t="str">
        <f>IF(I49=4,"EC",IF(I49=3,"EF",IF(I49=2,"EO",IF(I49=1,"EE",""))))</f>
        <v>EF</v>
      </c>
      <c r="K49" s="11">
        <f t="shared" si="15"/>
        <v>30</v>
      </c>
      <c r="L49" s="113" t="str">
        <f t="shared" si="2"/>
        <v>MA</v>
      </c>
      <c r="M49" s="10">
        <v>25</v>
      </c>
      <c r="N49" s="113" t="str">
        <f>IF(M49="","",IF(M49=100,"M",IF(M49=60,"MG",IF(M49=25,"G",IF(M49=10,"L","")))))</f>
        <v>G</v>
      </c>
      <c r="O49" s="42">
        <f t="shared" si="3"/>
        <v>750</v>
      </c>
      <c r="P49" s="113" t="str">
        <f t="shared" si="4"/>
        <v>I</v>
      </c>
      <c r="Q49" s="114" t="str">
        <f t="shared" si="5"/>
        <v>Situación Crítica.
Corrección urgente.</v>
      </c>
      <c r="R49" s="114" t="str">
        <f t="shared" si="6"/>
        <v>Lesiones con incapacidad laboral transitoria (I. L. T.).</v>
      </c>
      <c r="S49" s="114" t="s">
        <v>24</v>
      </c>
      <c r="T49" s="46"/>
    </row>
    <row r="50" spans="1:20" ht="57">
      <c r="A50" s="63"/>
      <c r="B50" s="113" t="s">
        <v>24</v>
      </c>
      <c r="C50" s="114" t="str">
        <f t="shared" si="0"/>
        <v>Niveles lumínicos</v>
      </c>
      <c r="D50" s="9" t="s">
        <v>26</v>
      </c>
      <c r="E50" s="114" t="str">
        <f t="shared" si="8"/>
        <v>Iluminación</v>
      </c>
      <c r="F50" s="114" t="str">
        <f t="shared" si="7"/>
        <v>Riesgo Físico</v>
      </c>
      <c r="G50" s="117">
        <f>'E-EM-RC-RF-I'!I12</f>
        <v>9.4736842105263186</v>
      </c>
      <c r="H50" s="113" t="str">
        <f t="shared" si="1"/>
        <v>MD</v>
      </c>
      <c r="I50" s="10">
        <v>2</v>
      </c>
      <c r="J50" s="113" t="str">
        <f>IF(I50=4,"EC",IF(I50=3,"EF",IF(I50=2,"EO",IF(I50=1,"EE",""))))</f>
        <v>EO</v>
      </c>
      <c r="K50" s="11">
        <f t="shared" si="15"/>
        <v>18.947368421052637</v>
      </c>
      <c r="L50" s="113" t="str">
        <f t="shared" si="2"/>
        <v>A</v>
      </c>
      <c r="M50" s="10">
        <v>25</v>
      </c>
      <c r="N50" s="113" t="str">
        <f>IF(M50="","",IF(M50=100,"M",IF(M50=60,"MG",IF(M50=25,"G",IF(M50=10,"L","")))))</f>
        <v>G</v>
      </c>
      <c r="O50" s="42">
        <f t="shared" si="3"/>
        <v>474</v>
      </c>
      <c r="P50" s="113" t="str">
        <f t="shared" si="4"/>
        <v>II</v>
      </c>
      <c r="Q50" s="114" t="str">
        <f t="shared" si="5"/>
        <v>Corregir
y adoptar medidas de control.</v>
      </c>
      <c r="R50" s="114" t="str">
        <f t="shared" si="6"/>
        <v>Lesiones con incapacidad laboral transitoria (I. L. T.).</v>
      </c>
      <c r="S50" s="114" t="s">
        <v>24</v>
      </c>
      <c r="T50" s="46"/>
    </row>
    <row r="51" spans="1:20" ht="57">
      <c r="A51" s="63"/>
      <c r="B51" s="113" t="s">
        <v>24</v>
      </c>
      <c r="C51" s="114" t="str">
        <f t="shared" si="0"/>
        <v>Sustancias químicas</v>
      </c>
      <c r="D51" s="9" t="s">
        <v>43</v>
      </c>
      <c r="E51" s="114" t="str">
        <f t="shared" si="8"/>
        <v>Exposición a sustancias nocivas</v>
      </c>
      <c r="F51" s="114" t="str">
        <f t="shared" si="7"/>
        <v>Riesgo Químico</v>
      </c>
      <c r="G51" s="117">
        <f>'E-EM-RC-RQ-ESN'!I16</f>
        <v>10.000000000000002</v>
      </c>
      <c r="H51" s="113" t="str">
        <f t="shared" si="1"/>
        <v>MD</v>
      </c>
      <c r="I51" s="10">
        <v>3</v>
      </c>
      <c r="J51" s="113" t="str">
        <f>IF(I51=4,"EC",IF(I51=3,"EF",IF(I51=2,"EO",IF(I51=1,"EE",""))))</f>
        <v>EF</v>
      </c>
      <c r="K51" s="11">
        <f t="shared" si="15"/>
        <v>30.000000000000007</v>
      </c>
      <c r="L51" s="113" t="str">
        <f t="shared" si="2"/>
        <v>MA</v>
      </c>
      <c r="M51" s="10">
        <v>25</v>
      </c>
      <c r="N51" s="113" t="str">
        <f>IF(M51="","",IF(M51=100,"M",IF(M51=60,"MG",IF(M51=25,"G",IF(M51=10,"L","")))))</f>
        <v>G</v>
      </c>
      <c r="O51" s="42">
        <f t="shared" si="3"/>
        <v>750</v>
      </c>
      <c r="P51" s="113" t="str">
        <f t="shared" si="4"/>
        <v>I</v>
      </c>
      <c r="Q51" s="114" t="str">
        <f t="shared" si="5"/>
        <v>Situación Crítica.
Corrección urgente.</v>
      </c>
      <c r="R51" s="114" t="str">
        <f t="shared" si="6"/>
        <v>Lesiones con incapacidad laboral transitoria (I. L. T.).</v>
      </c>
      <c r="S51" s="114" t="s">
        <v>24</v>
      </c>
      <c r="T51" s="46"/>
    </row>
    <row r="52" spans="1:20" ht="57">
      <c r="A52" s="63"/>
      <c r="B52" s="113" t="s">
        <v>24</v>
      </c>
      <c r="C52" s="114" t="str">
        <f t="shared" si="0"/>
        <v>Condiciones inadecuadas</v>
      </c>
      <c r="D52" s="9" t="s">
        <v>27</v>
      </c>
      <c r="E52" s="114" t="str">
        <f t="shared" si="8"/>
        <v>Organización del trabajo incorrecta</v>
      </c>
      <c r="F52" s="114" t="str">
        <f t="shared" si="7"/>
        <v>Riesgo de seguridad (Riesgo Locativo)</v>
      </c>
      <c r="G52" s="117">
        <f>'E-EM-RL-OI'!J14</f>
        <v>9.9999999999999982</v>
      </c>
      <c r="H52" s="113" t="str">
        <f t="shared" si="1"/>
        <v>MD</v>
      </c>
      <c r="I52" s="10">
        <v>3</v>
      </c>
      <c r="J52" s="113" t="str">
        <f t="shared" si="9"/>
        <v>EF</v>
      </c>
      <c r="K52" s="11">
        <f t="shared" si="15"/>
        <v>29.999999999999993</v>
      </c>
      <c r="L52" s="113" t="str">
        <f t="shared" si="2"/>
        <v>MA</v>
      </c>
      <c r="M52" s="10">
        <v>25</v>
      </c>
      <c r="N52" s="113" t="str">
        <f t="shared" si="11"/>
        <v>G</v>
      </c>
      <c r="O52" s="42">
        <f t="shared" si="3"/>
        <v>750</v>
      </c>
      <c r="P52" s="113" t="str">
        <f t="shared" si="4"/>
        <v>I</v>
      </c>
      <c r="Q52" s="114" t="str">
        <f t="shared" si="5"/>
        <v>Situación Crítica.
Corrección urgente.</v>
      </c>
      <c r="R52" s="114" t="str">
        <f t="shared" si="6"/>
        <v>Lesiones con incapacidad laboral transitoria (I. L. T.).</v>
      </c>
      <c r="S52" s="114" t="s">
        <v>24</v>
      </c>
      <c r="T52" s="46"/>
    </row>
    <row r="53" spans="1:20" ht="57">
      <c r="A53" s="63"/>
      <c r="B53" s="113" t="s">
        <v>24</v>
      </c>
      <c r="C53" s="114" t="str">
        <f t="shared" si="0"/>
        <v>Trabajo en altura/ zonas con desnivel</v>
      </c>
      <c r="D53" s="9" t="s">
        <v>40</v>
      </c>
      <c r="E53" s="114" t="str">
        <f t="shared" si="8"/>
        <v>Caída de personas a distinto nivel</v>
      </c>
      <c r="F53" s="114" t="str">
        <f t="shared" si="7"/>
        <v>Riesgo de seguridad (Riesgo Mecánico)</v>
      </c>
      <c r="G53" s="117">
        <f>'E-EM-RM-CDN'!J20</f>
        <v>6.7924528301886804</v>
      </c>
      <c r="H53" s="113" t="str">
        <f t="shared" si="1"/>
        <v>MD</v>
      </c>
      <c r="I53" s="10">
        <v>4</v>
      </c>
      <c r="J53" s="113" t="str">
        <f t="shared" si="9"/>
        <v>EC</v>
      </c>
      <c r="K53" s="11">
        <f t="shared" si="10"/>
        <v>27.169811320754722</v>
      </c>
      <c r="L53" s="113" t="str">
        <f t="shared" si="2"/>
        <v>MA</v>
      </c>
      <c r="M53" s="10">
        <v>100</v>
      </c>
      <c r="N53" s="113" t="str">
        <f t="shared" si="11"/>
        <v>M</v>
      </c>
      <c r="O53" s="42">
        <f t="shared" si="3"/>
        <v>2717</v>
      </c>
      <c r="P53" s="113" t="str">
        <f t="shared" si="4"/>
        <v>I</v>
      </c>
      <c r="Q53" s="114" t="str">
        <f t="shared" si="5"/>
        <v>Situación Crítica.
Corrección urgente.</v>
      </c>
      <c r="R53" s="114" t="str">
        <f t="shared" si="6"/>
        <v>1 muerto o más.</v>
      </c>
      <c r="S53" s="114" t="s">
        <v>24</v>
      </c>
      <c r="T53" s="46"/>
    </row>
    <row r="54" spans="1:20" ht="57">
      <c r="A54" s="63"/>
      <c r="B54" s="113" t="s">
        <v>24</v>
      </c>
      <c r="C54" s="114" t="str">
        <f t="shared" si="0"/>
        <v>Superficies irregulares u obstruidas</v>
      </c>
      <c r="D54" s="9" t="s">
        <v>28</v>
      </c>
      <c r="E54" s="114" t="str">
        <f t="shared" si="8"/>
        <v>Caída de personas al mismo nivel</v>
      </c>
      <c r="F54" s="114" t="str">
        <f t="shared" si="7"/>
        <v>Riesgo de seguridad (Riesgo Mecánico)</v>
      </c>
      <c r="G54" s="117">
        <f>'E-EM-RM-CMN'!J15</f>
        <v>9.615384615384615</v>
      </c>
      <c r="H54" s="113" t="str">
        <f t="shared" si="1"/>
        <v>MD</v>
      </c>
      <c r="I54" s="10">
        <v>3</v>
      </c>
      <c r="J54" s="113" t="str">
        <f t="shared" si="9"/>
        <v>EF</v>
      </c>
      <c r="K54" s="11">
        <f t="shared" si="10"/>
        <v>28.846153846153847</v>
      </c>
      <c r="L54" s="113" t="str">
        <f t="shared" si="2"/>
        <v>MA</v>
      </c>
      <c r="M54" s="10">
        <v>60</v>
      </c>
      <c r="N54" s="113" t="str">
        <f t="shared" si="11"/>
        <v>MG</v>
      </c>
      <c r="O54" s="42">
        <f t="shared" si="3"/>
        <v>1731</v>
      </c>
      <c r="P54" s="113" t="str">
        <f t="shared" si="4"/>
        <v>I</v>
      </c>
      <c r="Q54" s="114" t="str">
        <f t="shared" si="5"/>
        <v>Situación Crítica.
Corrección urgente.</v>
      </c>
      <c r="R54" s="114" t="str">
        <f t="shared" si="6"/>
        <v>Lesiones graves que pueden ser irreparables.</v>
      </c>
      <c r="S54" s="114" t="s">
        <v>24</v>
      </c>
      <c r="T54" s="46"/>
    </row>
    <row r="55" spans="1:20" ht="57">
      <c r="A55" s="63"/>
      <c r="B55" s="113" t="s">
        <v>24</v>
      </c>
      <c r="C55" s="114" t="str">
        <f t="shared" si="0"/>
        <v>Desprendimiento de objetos</v>
      </c>
      <c r="D55" s="9" t="s">
        <v>29</v>
      </c>
      <c r="E55" s="114" t="str">
        <f t="shared" si="8"/>
        <v>Caída de objetos en manipulación</v>
      </c>
      <c r="F55" s="114" t="str">
        <f t="shared" si="7"/>
        <v>Riesgo de seguridad (Riesgo Mecánico)</v>
      </c>
      <c r="G55" s="117">
        <f>'E-EM-RM-COM'!J17</f>
        <v>9.3333333333333357</v>
      </c>
      <c r="H55" s="113" t="str">
        <f t="shared" si="1"/>
        <v>MD</v>
      </c>
      <c r="I55" s="10">
        <v>4</v>
      </c>
      <c r="J55" s="113" t="str">
        <f t="shared" si="9"/>
        <v>EC</v>
      </c>
      <c r="K55" s="11">
        <f t="shared" si="10"/>
        <v>37.333333333333343</v>
      </c>
      <c r="L55" s="113" t="str">
        <f t="shared" si="2"/>
        <v>MA</v>
      </c>
      <c r="M55" s="10">
        <v>100</v>
      </c>
      <c r="N55" s="113" t="str">
        <f t="shared" si="11"/>
        <v>M</v>
      </c>
      <c r="O55" s="42">
        <f t="shared" si="3"/>
        <v>3733</v>
      </c>
      <c r="P55" s="113" t="str">
        <f t="shared" si="4"/>
        <v>I</v>
      </c>
      <c r="Q55" s="114" t="str">
        <f t="shared" si="5"/>
        <v>Situación Crítica.
Corrección urgente.</v>
      </c>
      <c r="R55" s="114" t="str">
        <f t="shared" si="6"/>
        <v>1 muerto o más.</v>
      </c>
      <c r="S55" s="114" t="s">
        <v>24</v>
      </c>
      <c r="T55" s="46"/>
    </row>
    <row r="56" spans="1:20" ht="57">
      <c r="A56" s="63"/>
      <c r="B56" s="113" t="s">
        <v>24</v>
      </c>
      <c r="C56" s="114" t="str">
        <f t="shared" si="0"/>
        <v>Manipulación de máquinas/ herramientas</v>
      </c>
      <c r="D56" s="9" t="s">
        <v>30</v>
      </c>
      <c r="E56" s="114" t="str">
        <f t="shared" si="8"/>
        <v>Golpes/cortes por objetos o herramientas</v>
      </c>
      <c r="F56" s="114" t="str">
        <f t="shared" si="7"/>
        <v>Riesgo de seguridad (Riesgo Mecánico)</v>
      </c>
      <c r="G56" s="117">
        <f>'E-EM-RM-CGOH'!J17</f>
        <v>6.4285714285714279</v>
      </c>
      <c r="H56" s="113" t="str">
        <f t="shared" si="1"/>
        <v>MD</v>
      </c>
      <c r="I56" s="10">
        <v>4</v>
      </c>
      <c r="J56" s="113" t="str">
        <f t="shared" si="9"/>
        <v>EC</v>
      </c>
      <c r="K56" s="11">
        <f t="shared" si="10"/>
        <v>25.714285714285712</v>
      </c>
      <c r="L56" s="113" t="str">
        <f t="shared" si="2"/>
        <v>MA</v>
      </c>
      <c r="M56" s="10">
        <v>60</v>
      </c>
      <c r="N56" s="113" t="str">
        <f t="shared" si="11"/>
        <v>MG</v>
      </c>
      <c r="O56" s="42">
        <f t="shared" si="3"/>
        <v>1543</v>
      </c>
      <c r="P56" s="113" t="str">
        <f t="shared" si="4"/>
        <v>I</v>
      </c>
      <c r="Q56" s="114" t="str">
        <f t="shared" si="5"/>
        <v>Situación Crítica.
Corrección urgente.</v>
      </c>
      <c r="R56" s="114" t="str">
        <f t="shared" si="6"/>
        <v>Lesiones graves que pueden ser irreparables.</v>
      </c>
      <c r="S56" s="114" t="s">
        <v>24</v>
      </c>
      <c r="T56" s="46"/>
    </row>
    <row r="57" spans="1:20" ht="57">
      <c r="A57" s="63"/>
      <c r="B57" s="113" t="s">
        <v>24</v>
      </c>
      <c r="C57" s="114" t="str">
        <f t="shared" si="0"/>
        <v>Operaciones de conformado</v>
      </c>
      <c r="D57" s="9" t="s">
        <v>31</v>
      </c>
      <c r="E57" s="114" t="str">
        <f t="shared" si="8"/>
        <v>Proyección de fragmentos o partículas</v>
      </c>
      <c r="F57" s="114" t="str">
        <f t="shared" si="7"/>
        <v>Riesgo de seguridad (Riesgo Mecánico)</v>
      </c>
      <c r="G57" s="117">
        <f>'E-EM-RM-PFP'!J13</f>
        <v>10</v>
      </c>
      <c r="H57" s="113" t="str">
        <f t="shared" si="1"/>
        <v>MD</v>
      </c>
      <c r="I57" s="10">
        <v>4</v>
      </c>
      <c r="J57" s="113" t="str">
        <f t="shared" si="9"/>
        <v>EC</v>
      </c>
      <c r="K57" s="11">
        <f t="shared" si="10"/>
        <v>40</v>
      </c>
      <c r="L57" s="113" t="str">
        <f t="shared" si="2"/>
        <v>MA</v>
      </c>
      <c r="M57" s="10">
        <v>60</v>
      </c>
      <c r="N57" s="113" t="str">
        <f t="shared" si="11"/>
        <v>MG</v>
      </c>
      <c r="O57" s="42">
        <f t="shared" si="3"/>
        <v>2400</v>
      </c>
      <c r="P57" s="113" t="str">
        <f t="shared" si="4"/>
        <v>I</v>
      </c>
      <c r="Q57" s="114" t="str">
        <f t="shared" si="5"/>
        <v>Situación Crítica.
Corrección urgente.</v>
      </c>
      <c r="R57" s="114" t="str">
        <f t="shared" si="6"/>
        <v>Lesiones graves que pueden ser irreparables.</v>
      </c>
      <c r="S57" s="114" t="s">
        <v>24</v>
      </c>
      <c r="T57" s="46"/>
    </row>
    <row r="58" spans="1:20" ht="57">
      <c r="A58" s="63"/>
      <c r="B58" s="113" t="s">
        <v>24</v>
      </c>
      <c r="C58" s="114" t="str">
        <f t="shared" si="0"/>
        <v>Objetos fijos o móviles</v>
      </c>
      <c r="D58" s="9" t="s">
        <v>32</v>
      </c>
      <c r="E58" s="114" t="str">
        <f t="shared" si="8"/>
        <v>Atrapamiento por o entre objetos</v>
      </c>
      <c r="F58" s="114" t="str">
        <f t="shared" si="7"/>
        <v>Riesgo de seguridad (Riesgo Mecánico)</v>
      </c>
      <c r="G58" s="117">
        <f>'E-EM-RM-APEO'!J17</f>
        <v>7.666666666666667</v>
      </c>
      <c r="H58" s="113" t="str">
        <f t="shared" si="1"/>
        <v>MD</v>
      </c>
      <c r="I58" s="10">
        <v>4</v>
      </c>
      <c r="J58" s="113" t="str">
        <f t="shared" si="9"/>
        <v>EC</v>
      </c>
      <c r="K58" s="11">
        <f t="shared" si="10"/>
        <v>30.666666666666668</v>
      </c>
      <c r="L58" s="113" t="str">
        <f t="shared" si="2"/>
        <v>MA</v>
      </c>
      <c r="M58" s="10">
        <v>60</v>
      </c>
      <c r="N58" s="113" t="str">
        <f t="shared" si="11"/>
        <v>MG</v>
      </c>
      <c r="O58" s="42">
        <f t="shared" si="3"/>
        <v>1840</v>
      </c>
      <c r="P58" s="113" t="str">
        <f t="shared" si="4"/>
        <v>I</v>
      </c>
      <c r="Q58" s="114" t="str">
        <f t="shared" si="5"/>
        <v>Situación Crítica.
Corrección urgente.</v>
      </c>
      <c r="R58" s="114" t="str">
        <f t="shared" si="6"/>
        <v>Lesiones graves que pueden ser irreparables.</v>
      </c>
      <c r="S58" s="114" t="s">
        <v>24</v>
      </c>
      <c r="T58" s="46"/>
    </row>
    <row r="59" spans="1:20" ht="57">
      <c r="A59" s="63"/>
      <c r="B59" s="113" t="s">
        <v>24</v>
      </c>
      <c r="C59" s="114" t="str">
        <f t="shared" si="0"/>
        <v>Colisión/ impacto vehicular</v>
      </c>
      <c r="D59" s="9" t="s">
        <v>33</v>
      </c>
      <c r="E59" s="114" t="str">
        <f t="shared" si="8"/>
        <v>Atropellos o golpes con vehículos</v>
      </c>
      <c r="F59" s="114" t="str">
        <f t="shared" si="7"/>
        <v>Riesgo de seguridad (Riesgo Mecánico)</v>
      </c>
      <c r="G59" s="117">
        <f>'E-EM-RM-AGV'!J19</f>
        <v>6.1111111111111107</v>
      </c>
      <c r="H59" s="113" t="str">
        <f t="shared" si="1"/>
        <v>MD</v>
      </c>
      <c r="I59" s="10">
        <v>4</v>
      </c>
      <c r="J59" s="113" t="str">
        <f t="shared" si="9"/>
        <v>EC</v>
      </c>
      <c r="K59" s="11">
        <f t="shared" si="10"/>
        <v>24.444444444444443</v>
      </c>
      <c r="L59" s="113" t="str">
        <f t="shared" si="2"/>
        <v>MA</v>
      </c>
      <c r="M59" s="10">
        <v>60</v>
      </c>
      <c r="N59" s="113" t="str">
        <f t="shared" si="11"/>
        <v>MG</v>
      </c>
      <c r="O59" s="42">
        <f t="shared" si="3"/>
        <v>1467</v>
      </c>
      <c r="P59" s="113" t="str">
        <f t="shared" si="4"/>
        <v>I</v>
      </c>
      <c r="Q59" s="114" t="str">
        <f t="shared" si="5"/>
        <v>Situación Crítica.
Corrección urgente.</v>
      </c>
      <c r="R59" s="114" t="str">
        <f t="shared" si="6"/>
        <v>Lesiones graves que pueden ser irreparables.</v>
      </c>
      <c r="S59" s="114" t="s">
        <v>24</v>
      </c>
      <c r="T59" s="46"/>
    </row>
    <row r="60" spans="1:20" ht="85.5">
      <c r="A60" s="63"/>
      <c r="B60" s="113" t="s">
        <v>24</v>
      </c>
      <c r="C60" s="114" t="str">
        <f t="shared" si="0"/>
        <v>Situaciones fortuitas</v>
      </c>
      <c r="D60" s="9" t="s">
        <v>34</v>
      </c>
      <c r="E60" s="114" t="str">
        <f t="shared" si="8"/>
        <v>Otros riesgos de accidente a) inherentes a la manipulación de herramientas eléctricas</v>
      </c>
      <c r="F60" s="114" t="str">
        <f t="shared" si="7"/>
        <v>Riesgo de seguridad (Riesgo Mecánico)</v>
      </c>
      <c r="G60" s="117">
        <f>'E-EM-RM-ORAa'!J15</f>
        <v>9.615384615384615</v>
      </c>
      <c r="H60" s="113" t="str">
        <f t="shared" si="1"/>
        <v>MD</v>
      </c>
      <c r="I60" s="10">
        <v>4</v>
      </c>
      <c r="J60" s="113" t="str">
        <f t="shared" si="9"/>
        <v>EC</v>
      </c>
      <c r="K60" s="11">
        <f t="shared" si="10"/>
        <v>38.46153846153846</v>
      </c>
      <c r="L60" s="113" t="str">
        <f t="shared" si="2"/>
        <v>MA</v>
      </c>
      <c r="M60" s="10">
        <v>60</v>
      </c>
      <c r="N60" s="113" t="str">
        <f t="shared" si="11"/>
        <v>MG</v>
      </c>
      <c r="O60" s="42">
        <f t="shared" si="3"/>
        <v>2308</v>
      </c>
      <c r="P60" s="113" t="str">
        <f t="shared" si="4"/>
        <v>I</v>
      </c>
      <c r="Q60" s="114" t="str">
        <f t="shared" si="5"/>
        <v>Situación Crítica.
Corrección urgente.</v>
      </c>
      <c r="R60" s="114" t="str">
        <f t="shared" si="6"/>
        <v>Lesiones graves que pueden ser irreparables.</v>
      </c>
      <c r="S60" s="114" t="s">
        <v>24</v>
      </c>
      <c r="T60" s="46"/>
    </row>
    <row r="61" spans="1:20" ht="85.5">
      <c r="A61" s="63"/>
      <c r="B61" s="113" t="s">
        <v>24</v>
      </c>
      <c r="C61" s="114" t="str">
        <f t="shared" si="0"/>
        <v>Situaciones fortuitas</v>
      </c>
      <c r="D61" s="9" t="s">
        <v>35</v>
      </c>
      <c r="E61" s="114" t="str">
        <f t="shared" si="8"/>
        <v>Otros riesgos de accidente b) Inherentes a la manipulación de herramientas manuales</v>
      </c>
      <c r="F61" s="114" t="str">
        <f t="shared" si="7"/>
        <v>Riesgo de seguridad (Riesgo Mecánico)</v>
      </c>
      <c r="G61" s="117">
        <f>'E-EM-RM-ORAb'!J15</f>
        <v>7.5</v>
      </c>
      <c r="H61" s="113" t="str">
        <f t="shared" si="1"/>
        <v>MD</v>
      </c>
      <c r="I61" s="10">
        <v>2</v>
      </c>
      <c r="J61" s="113" t="str">
        <f t="shared" si="9"/>
        <v>EO</v>
      </c>
      <c r="K61" s="11">
        <f t="shared" si="10"/>
        <v>15</v>
      </c>
      <c r="L61" s="113" t="str">
        <f t="shared" si="2"/>
        <v>A</v>
      </c>
      <c r="M61" s="10">
        <v>25</v>
      </c>
      <c r="N61" s="113" t="str">
        <f t="shared" si="11"/>
        <v>G</v>
      </c>
      <c r="O61" s="42">
        <f t="shared" si="3"/>
        <v>375</v>
      </c>
      <c r="P61" s="113" t="str">
        <f t="shared" si="4"/>
        <v>II</v>
      </c>
      <c r="Q61" s="114" t="str">
        <f t="shared" si="5"/>
        <v>Corregir
y adoptar medidas de control.</v>
      </c>
      <c r="R61" s="114" t="str">
        <f t="shared" si="6"/>
        <v>Lesiones con incapacidad laboral transitoria (I. L. T.).</v>
      </c>
      <c r="S61" s="114" t="s">
        <v>24</v>
      </c>
      <c r="T61" s="46"/>
    </row>
    <row r="62" spans="1:20" ht="57">
      <c r="A62" s="63"/>
      <c r="B62" s="113" t="s">
        <v>24</v>
      </c>
      <c r="C62" s="114" t="str">
        <f t="shared" si="0"/>
        <v>Energía eléctrica</v>
      </c>
      <c r="D62" s="9" t="s">
        <v>36</v>
      </c>
      <c r="E62" s="114" t="str">
        <f t="shared" si="8"/>
        <v>Contactos Eléctricos</v>
      </c>
      <c r="F62" s="114" t="str">
        <f t="shared" si="7"/>
        <v>Riesgo de seguridad (Riesgo Eléctrico)</v>
      </c>
      <c r="G62" s="117">
        <f>'E-EM-RE-CE'!J20</f>
        <v>8.6486486486486474</v>
      </c>
      <c r="H62" s="113" t="str">
        <f t="shared" si="1"/>
        <v>MD</v>
      </c>
      <c r="I62" s="10">
        <v>3</v>
      </c>
      <c r="J62" s="113" t="str">
        <f t="shared" si="9"/>
        <v>EF</v>
      </c>
      <c r="K62" s="11">
        <f t="shared" si="10"/>
        <v>25.945945945945944</v>
      </c>
      <c r="L62" s="113" t="str">
        <f t="shared" si="2"/>
        <v>MA</v>
      </c>
      <c r="M62" s="10">
        <v>60</v>
      </c>
      <c r="N62" s="113" t="str">
        <f t="shared" si="11"/>
        <v>MG</v>
      </c>
      <c r="O62" s="42">
        <f t="shared" si="3"/>
        <v>1557</v>
      </c>
      <c r="P62" s="113" t="str">
        <f t="shared" si="4"/>
        <v>I</v>
      </c>
      <c r="Q62" s="114" t="str">
        <f t="shared" si="5"/>
        <v>Situación Crítica.
Corrección urgente.</v>
      </c>
      <c r="R62" s="114" t="str">
        <f t="shared" si="6"/>
        <v>Lesiones graves que pueden ser irreparables.</v>
      </c>
      <c r="S62" s="114" t="s">
        <v>24</v>
      </c>
      <c r="T62" s="46"/>
    </row>
    <row r="63" spans="1:20" ht="71.25">
      <c r="A63" s="63"/>
      <c r="B63" s="113" t="s">
        <v>24</v>
      </c>
      <c r="C63" s="114" t="str">
        <f t="shared" si="0"/>
        <v>Fuentes de calor</v>
      </c>
      <c r="D63" s="9" t="s">
        <v>45</v>
      </c>
      <c r="E63" s="114" t="str">
        <f t="shared" si="8"/>
        <v>Contactos térmicos a) inherentes al trabajador</v>
      </c>
      <c r="F63" s="114" t="str">
        <f t="shared" si="7"/>
        <v>Riesgo de seguridad (Riesgo Industrial Mayor)</v>
      </c>
      <c r="G63" s="117">
        <f>'E-EM-RIM-CTa'!J14</f>
        <v>10.000000000000002</v>
      </c>
      <c r="H63" s="113" t="str">
        <f t="shared" si="1"/>
        <v>MD</v>
      </c>
      <c r="I63" s="10">
        <v>4</v>
      </c>
      <c r="J63" s="113" t="str">
        <f t="shared" si="9"/>
        <v>EC</v>
      </c>
      <c r="K63" s="11">
        <f t="shared" si="10"/>
        <v>40.000000000000007</v>
      </c>
      <c r="L63" s="113" t="str">
        <f t="shared" si="2"/>
        <v>MA</v>
      </c>
      <c r="M63" s="10">
        <v>60</v>
      </c>
      <c r="N63" s="113" t="str">
        <f t="shared" si="11"/>
        <v>MG</v>
      </c>
      <c r="O63" s="42">
        <f t="shared" si="3"/>
        <v>2400</v>
      </c>
      <c r="P63" s="113" t="str">
        <f t="shared" si="4"/>
        <v>I</v>
      </c>
      <c r="Q63" s="114" t="str">
        <f t="shared" si="5"/>
        <v>Situación Crítica.
Corrección urgente.</v>
      </c>
      <c r="R63" s="114" t="str">
        <f t="shared" si="6"/>
        <v>Lesiones graves que pueden ser irreparables.</v>
      </c>
      <c r="S63" s="114" t="s">
        <v>24</v>
      </c>
      <c r="T63" s="46"/>
    </row>
    <row r="64" spans="1:20" ht="85.5">
      <c r="A64" s="63"/>
      <c r="B64" s="113" t="s">
        <v>24</v>
      </c>
      <c r="C64" s="114" t="str">
        <f t="shared" si="0"/>
        <v>Fuentes de calor</v>
      </c>
      <c r="D64" s="9" t="s">
        <v>46</v>
      </c>
      <c r="E64" s="114" t="str">
        <f t="shared" si="8"/>
        <v>Contactos térmicos b) inherentes a la manipulación de elementos estructurales</v>
      </c>
      <c r="F64" s="114" t="str">
        <f t="shared" si="7"/>
        <v>Riesgo de seguridad (Riesgo Industrial Mayor)</v>
      </c>
      <c r="G64" s="117">
        <f>'E-EM-RIM-CTb'!J18</f>
        <v>8.9795918367346914</v>
      </c>
      <c r="H64" s="113" t="str">
        <f t="shared" si="1"/>
        <v>MD</v>
      </c>
      <c r="I64" s="10">
        <v>4</v>
      </c>
      <c r="J64" s="113" t="str">
        <f t="shared" si="9"/>
        <v>EC</v>
      </c>
      <c r="K64" s="11">
        <f t="shared" si="10"/>
        <v>35.918367346938766</v>
      </c>
      <c r="L64" s="113" t="str">
        <f t="shared" si="2"/>
        <v>MA</v>
      </c>
      <c r="M64" s="10">
        <v>60</v>
      </c>
      <c r="N64" s="113" t="str">
        <f t="shared" si="11"/>
        <v>MG</v>
      </c>
      <c r="O64" s="42">
        <f t="shared" si="3"/>
        <v>2155</v>
      </c>
      <c r="P64" s="113" t="str">
        <f t="shared" si="4"/>
        <v>I</v>
      </c>
      <c r="Q64" s="114" t="str">
        <f t="shared" si="5"/>
        <v>Situación Crítica.
Corrección urgente.</v>
      </c>
      <c r="R64" s="114" t="str">
        <f t="shared" si="6"/>
        <v>Lesiones graves que pueden ser irreparables.</v>
      </c>
      <c r="S64" s="114" t="s">
        <v>24</v>
      </c>
      <c r="T64" s="46"/>
    </row>
    <row r="65" spans="1:20" ht="71.25">
      <c r="A65" s="63"/>
      <c r="B65" s="113" t="s">
        <v>24</v>
      </c>
      <c r="C65" s="114" t="str">
        <f t="shared" si="0"/>
        <v>Fuentes de calor</v>
      </c>
      <c r="D65" s="9" t="s">
        <v>47</v>
      </c>
      <c r="E65" s="114" t="str">
        <f t="shared" si="8"/>
        <v>Contactos térmicos c) inherentes al proceso de soldadura</v>
      </c>
      <c r="F65" s="114" t="str">
        <f t="shared" si="7"/>
        <v>Riesgo de seguridad (Riesgo Industrial Mayor)</v>
      </c>
      <c r="G65" s="117">
        <f>'E-EM-RIM-CTc'!J13</f>
        <v>9.545454545454545</v>
      </c>
      <c r="H65" s="113" t="str">
        <f t="shared" si="1"/>
        <v>MD</v>
      </c>
      <c r="I65" s="10">
        <v>4</v>
      </c>
      <c r="J65" s="113" t="str">
        <f t="shared" si="9"/>
        <v>EC</v>
      </c>
      <c r="K65" s="11">
        <f t="shared" si="10"/>
        <v>38.18181818181818</v>
      </c>
      <c r="L65" s="113" t="str">
        <f t="shared" si="2"/>
        <v>MA</v>
      </c>
      <c r="M65" s="10">
        <v>60</v>
      </c>
      <c r="N65" s="113" t="str">
        <f t="shared" si="11"/>
        <v>MG</v>
      </c>
      <c r="O65" s="42">
        <f t="shared" si="3"/>
        <v>2291</v>
      </c>
      <c r="P65" s="113" t="str">
        <f t="shared" si="4"/>
        <v>I</v>
      </c>
      <c r="Q65" s="114" t="str">
        <f t="shared" si="5"/>
        <v>Situación Crítica.
Corrección urgente.</v>
      </c>
      <c r="R65" s="114" t="str">
        <f t="shared" si="6"/>
        <v>Lesiones graves que pueden ser irreparables.</v>
      </c>
      <c r="S65" s="114" t="s">
        <v>24</v>
      </c>
      <c r="T65" s="46"/>
    </row>
    <row r="66" spans="1:20" ht="42.75">
      <c r="A66" s="63"/>
      <c r="B66" s="113" t="s">
        <v>24</v>
      </c>
      <c r="C66" s="114" t="str">
        <f t="shared" si="0"/>
        <v>Posturas forzadas/ manipulación manual de cargas</v>
      </c>
      <c r="D66" s="9" t="s">
        <v>37</v>
      </c>
      <c r="E66" s="114" t="str">
        <f t="shared" si="8"/>
        <v>Sobreesfuerzos</v>
      </c>
      <c r="F66" s="114" t="str">
        <f t="shared" si="7"/>
        <v>Riesgo Ergonómico</v>
      </c>
      <c r="G66" s="117">
        <f>'E-EM-RC-RE-S'!I15</f>
        <v>10.000000000000002</v>
      </c>
      <c r="H66" s="113" t="str">
        <f t="shared" si="1"/>
        <v>MD</v>
      </c>
      <c r="I66" s="10">
        <v>3</v>
      </c>
      <c r="J66" s="113" t="str">
        <f>IF(I66=4,"EC",IF(I66=3,"EF",IF(I66=2,"EO",IF(I66=1,"EE",""))))</f>
        <v>EF</v>
      </c>
      <c r="K66" s="11">
        <f>IF(I66="","",G66*I66)</f>
        <v>30.000000000000007</v>
      </c>
      <c r="L66" s="113" t="str">
        <f t="shared" si="2"/>
        <v>MA</v>
      </c>
      <c r="M66" s="10">
        <v>60</v>
      </c>
      <c r="N66" s="113" t="str">
        <f>IF(M66="","",IF(M66=100,"M",IF(M66=60,"MG",IF(M66=25,"G",IF(M66=10,"L","")))))</f>
        <v>MG</v>
      </c>
      <c r="O66" s="42">
        <f t="shared" si="3"/>
        <v>1800</v>
      </c>
      <c r="P66" s="113" t="str">
        <f t="shared" si="4"/>
        <v>I</v>
      </c>
      <c r="Q66" s="114" t="str">
        <f t="shared" si="5"/>
        <v>Situación Crítica.
Corrección urgente.</v>
      </c>
      <c r="R66" s="114" t="str">
        <f t="shared" si="6"/>
        <v>Lesiones graves que pueden ser irreparables.</v>
      </c>
      <c r="S66" s="114" t="s">
        <v>24</v>
      </c>
      <c r="T66" s="46"/>
    </row>
    <row r="67" spans="1:20" ht="57">
      <c r="A67" s="63" t="s">
        <v>48</v>
      </c>
      <c r="B67" s="113" t="s">
        <v>24</v>
      </c>
      <c r="C67" s="114" t="str">
        <f t="shared" si="0"/>
        <v>Niveles sonoros</v>
      </c>
      <c r="D67" s="9" t="s">
        <v>25</v>
      </c>
      <c r="E67" s="114" t="str">
        <f>IF(D67="","",IF(D67="010-E","Caída de personas a distinto nivel",IF(D67="020-E","Caída de personas al mismo nivel",IF(D67="030-E","Caída de objetos por desplome",IF(D67="040-E","Caída de objetos en manipulación",IF(D67="090-E","Golpes/cortes por objetos o herramientas",IF(D67="110-E","Atrapamiento por o entre objetos",IF(D67="100-E","Proyección de fragmentos o partículas",IF(D67="230-E","Atropellos o golpes con vehículos",IF(D67="250a-E","Otros riesgos de accidente a) inherentes a la manipulación de herramientas eléctricas",IF(D67="250b-E","Otros riesgos de accidente b) Inherentes a la manipulación de herramientas manuales",IF(D67="160-E","Contactos Eléctricos",IF(D67="150a-E","Contactos térmicos a) inherentes al trabajador",IF(D67="150b-E","Contactos térmicos b) inherentes a la manipulación de elementos estructurales",IF(D67="150c-E","Contactos térmicos c) inherentes al proceso de soldadura",IF(D67="570","Organización del trabajo incorrecta",IF(D67="120-I","Atrapamiento por vuelco de máquinas",IF(D67="","",IF(D67="010-I","Caída de personas a distinto nivel",IF(D67="020-I","Caída de personas al mismo nivel",IF(D67="030-I","Caída de objetos por desplome",IF(D67="040-I","Caída de objetos en manipulación",IF(D67="090-I","Golpes/cortes por objetos o herramientas",IF(D67="110-I","Atrapamiento por o entre objetos",IF(D67="100-I","Proyección de fragmentos o partículas",IF(D67="230-I","Atropellos o golpes con vehículos",IF(D67="250a-I","Otros riesgos de accidente a) inherentes a la manipulación de herramientas eléctricas",IF(D67="250b-I","Otros riesgos de accidente b) Inherentes a la manipulación de herramientas manuales",IF(D67="390","Otra exposición a) asfixia o intoxicación",IF(D67="160-I","Contactos Eléctricos",IF(D67="570","Organización del trabajo incorrecta",IF(D67="120-I","Atrapamiento por vuelco de máquinas",IF(D67="330","Ruido",IF(D67="340","Vibración",IF(D67="360","Radiaciones ionizantes",IF(D67="170","Exposición a sustancias nocivas",IF(D67="130","Sobreesfuerzos",IF(D67="380","Iluminación",IF(D67="330","Ruido",IF(D67="340","Vibración",IF(D67="360","Radiaciones ionizantes",IF(D67="170","Exposición a sustancias nocivas",IF(D67="130","Sobreesfuerzos",IF(D67="380","Iluminación"))))))))))))))))))))))))))))))))))))))))))))</f>
        <v>Ruido</v>
      </c>
      <c r="F67" s="114" t="str">
        <f>IF(D67="","",IF(D67="010-E","Riesgo de seguridad (Riesgo Mecánico)",IF(D67="020-E","Riesgo de seguridad (Riesgo Mecánico)",IF(D67="030-E","Riesgo de seguridad (Riesgo Mecánico)",IF(D67="040-E","Riesgo de seguridad (Riesgo Mecánico)",IF(D67="090-E","Riesgo de seguridad (Riesgo Mecánico)",IF(D67="110-E","Riesgo de seguridad (Riesgo Mecánico)",IF(D67="100-E","Riesgo de seguridad (Riesgo Mecánico)",IF(D67="230-E","Riesgo de seguridad (Riesgo Mecánico)",IF(D67="250a-E","Riesgo de seguridad (Riesgo Mecánico)",IF(D67="250b-E","Riesgo de seguridad (Riesgo Mecánico)",IF(D67="160-E","Riesgo de seguridad (Riesgo Eléctrico)",IF(D67="150a-E","Riesgo de seguridad (Riesgo Industrial Mayor)",IF(D67="150b-E","Riesgo de seguridad (Riesgo Industrial Mayor)",IF(D67="150c-E","Riesgo de seguridad (Riesgo Industrial Mayor)",IF(D67="570","Riesgo de seguridad (Riesgo Locativo)",IF(D67="120-I","Riesgo Mecánico",IF(D67="330","Riesgo Físico",IF(D67="340","Riesgo Físico",IF(D67="360","Riesgo Físico",IF(D67="170","Riesgo Químico",IF(D67="130","Riesgo Ergonómico",IF(D67="380","Riesgo Físico",IF(D67="010-I","Riesgo de seguridad (Riesgo Mecánico)",IF(D67="020-I","Riesgo de seguridad (Riesgo Mecánico)",IF(D67="030-I","Riesgo de seguridad (Riesgo Mecánico)",IF(D67="040-I","Riesgo de seguridad (Riesgo Mecánico)",IF(D67="090-I","Riesgo de seguridad (Riesgo Mecánico)",IF(D67="110-I","Riesgo de seguridad (Riesgo Mecánico)",IF(D67="100-I","Riesgo de seguridad (Riesgo Mecánico)",IF(D67="230-I","Riesgo de seguridad (Riesgo Mecánico)",IF(D67="250a-I","Riesgo de seguridad (Riesgo Mecánico)",IF(D67="250b-I","Riesgo de seguridad (Riesgo Mecánico)",IF(D67="160-I","Riesgo de seguridad (Riesgo Eléctrico)",IF(D67="590","Riesgo de seguridad (Riesgo Mecánico)")))))))))))))))))))))))))))))))))))</f>
        <v>Riesgo Físico</v>
      </c>
      <c r="G67" s="117">
        <f>'E-IE-RC-RF-R'!I13</f>
        <v>10</v>
      </c>
      <c r="H67" s="113" t="str">
        <f t="shared" si="1"/>
        <v>MD</v>
      </c>
      <c r="I67" s="10">
        <v>2</v>
      </c>
      <c r="J67" s="113" t="str">
        <f>IF(I67=4,"EC",IF(I67=3,"EF",IF(I67=2,"EO",IF(I67=1,"EE",""))))</f>
        <v>EO</v>
      </c>
      <c r="K67" s="11">
        <f>IF(I67="","",G67*I67)</f>
        <v>20</v>
      </c>
      <c r="L67" s="113" t="str">
        <f t="shared" si="2"/>
        <v>A</v>
      </c>
      <c r="M67" s="10">
        <v>10</v>
      </c>
      <c r="N67" s="113" t="str">
        <f>IF(M67="","",IF(M67=100,"M",IF(M67=60,"MG",IF(M67=25,"G",IF(M67=10,"L","")))))</f>
        <v>L</v>
      </c>
      <c r="O67" s="42">
        <f t="shared" si="3"/>
        <v>200</v>
      </c>
      <c r="P67" s="113" t="str">
        <f t="shared" si="4"/>
        <v>II</v>
      </c>
      <c r="Q67" s="114" t="str">
        <f t="shared" si="5"/>
        <v>Corregir
y adoptar medidas de control.</v>
      </c>
      <c r="R67" s="114" t="str">
        <f t="shared" si="6"/>
        <v>Pequeñas lesiones que no requieren hospitalización.</v>
      </c>
      <c r="S67" s="114" t="s">
        <v>24</v>
      </c>
      <c r="T67" s="46"/>
    </row>
    <row r="68" spans="1:20" ht="57">
      <c r="A68" s="63"/>
      <c r="B68" s="113" t="s">
        <v>24</v>
      </c>
      <c r="C68" s="114" t="str">
        <f t="shared" si="0"/>
        <v>Movimientos oscilatorios</v>
      </c>
      <c r="D68" s="9" t="s">
        <v>39</v>
      </c>
      <c r="E68" s="114" t="str">
        <f>IF(D68="","",IF(D68="010-E","Caída de personas a distinto nivel",IF(D68="020-E","Caída de personas al mismo nivel",IF(D68="030-E","Caída de objetos por desplome",IF(D68="040-E","Caída de objetos en manipulación",IF(D68="090-E","Golpes/cortes por objetos o herramientas",IF(D68="110-E","Atrapamiento por o entre objetos",IF(D68="100-E","Proyección de fragmentos o partículas",IF(D68="230-E","Atropellos o golpes con vehículos",IF(D68="250a-E","Otros riesgos de accidente a) inherentes a la manipulación de herramientas eléctricas",IF(D68="250b-E","Otros riesgos de accidente b) Inherentes a la manipulación de herramientas manuales",IF(D68="160-E","Contactos Eléctricos",IF(D68="150a-E","Contactos térmicos a) inherentes al trabajador",IF(D68="150b-E","Contactos térmicos b) inherentes a la manipulación de elementos estructurales",IF(D68="150c-E","Contactos térmicos c) inherentes al proceso de soldadura",IF(D68="570","Organización del trabajo incorrecta",IF(D68="120-I","Atrapamiento por vuelco de máquinas",IF(D68="","",IF(D68="010-I","Caída de personas a distinto nivel",IF(D68="020-I","Caída de personas al mismo nivel",IF(D68="030-I","Caída de objetos por desplome",IF(D68="040-I","Caída de objetos en manipulación",IF(D68="090-I","Golpes/cortes por objetos o herramientas",IF(D68="110-I","Atrapamiento por o entre objetos",IF(D68="100-I","Proyección de fragmentos o partículas",IF(D68="230-I","Atropellos o golpes con vehículos",IF(D68="250a-I","Otros riesgos de accidente a) inherentes a la manipulación de herramientas eléctricas",IF(D68="250b-I","Otros riesgos de accidente b) Inherentes a la manipulación de herramientas manuales",IF(D68="390","Otra exposición a) asfixia o intoxicación",IF(D68="160-I","Contactos Eléctricos",IF(D68="570","Organización del trabajo incorrecta",IF(D68="120-I","Atrapamiento por vuelco de máquinas",IF(D68="330","Ruido",IF(D68="340","Vibración",IF(D68="360","Radiaciones ionizantes",IF(D68="170","Exposición a sustancias nocivas",IF(D68="130","Sobreesfuerzos",IF(D68="380","Iluminación",IF(D68="330","Ruido",IF(D68="340","Vibración",IF(D68="360","Radiaciones ionizantes",IF(D68="170","Exposición a sustancias nocivas",IF(D68="130","Sobreesfuerzos",IF(D68="380","Iluminación"))))))))))))))))))))))))))))))))))))))))))))</f>
        <v>Vibración</v>
      </c>
      <c r="F68" s="114" t="str">
        <f>IF(D68="","",IF(D68="010-E","Riesgo de seguridad (Riesgo Mecánico)",IF(D68="020-E","Riesgo de seguridad (Riesgo Mecánico)",IF(D68="030-E","Riesgo de seguridad (Riesgo Mecánico)",IF(D68="040-E","Riesgo de seguridad (Riesgo Mecánico)",IF(D68="090-E","Riesgo de seguridad (Riesgo Mecánico)",IF(D68="110-E","Riesgo de seguridad (Riesgo Mecánico)",IF(D68="100-E","Riesgo de seguridad (Riesgo Mecánico)",IF(D68="230-E","Riesgo de seguridad (Riesgo Mecánico)",IF(D68="250a-E","Riesgo de seguridad (Riesgo Mecánico)",IF(D68="250b-E","Riesgo de seguridad (Riesgo Mecánico)",IF(D68="160-E","Riesgo de seguridad (Riesgo Eléctrico)",IF(D68="150a-E","Riesgo de seguridad (Riesgo Industrial Mayor)",IF(D68="150b-E","Riesgo de seguridad (Riesgo Industrial Mayor)",IF(D68="150c-E","Riesgo de seguridad (Riesgo Industrial Mayor)",IF(D68="570","Riesgo de seguridad (Riesgo Locativo)",IF(D68="120-I","Riesgo Mecánico",IF(D68="330","Riesgo Físico",IF(D68="340","Riesgo Físico",IF(D68="360","Riesgo Físico",IF(D68="170","Riesgo Químico",IF(D68="130","Riesgo Ergonómico",IF(D68="380","Riesgo Físico",IF(D68="010-I","Riesgo de seguridad (Riesgo Mecánico)",IF(D68="020-I","Riesgo de seguridad (Riesgo Mecánico)",IF(D68="030-I","Riesgo de seguridad (Riesgo Mecánico)",IF(D68="040-I","Riesgo de seguridad (Riesgo Mecánico)",IF(D68="090-I","Riesgo de seguridad (Riesgo Mecánico)",IF(D68="110-I","Riesgo de seguridad (Riesgo Mecánico)",IF(D68="100-I","Riesgo de seguridad (Riesgo Mecánico)",IF(D68="230-I","Riesgo de seguridad (Riesgo Mecánico)",IF(D68="250a-I","Riesgo de seguridad (Riesgo Mecánico)",IF(D68="250b-I","Riesgo de seguridad (Riesgo Mecánico)",IF(D68="160-I","Riesgo de seguridad (Riesgo Eléctrico)",IF(D68="590","Riesgo de seguridad (Riesgo Mecánico)")))))))))))))))))))))))))))))))))))</f>
        <v>Riesgo Físico</v>
      </c>
      <c r="G68" s="117">
        <f>'E-IE-RC-RF-V'!I13</f>
        <v>10</v>
      </c>
      <c r="H68" s="113" t="str">
        <f t="shared" si="1"/>
        <v>MD</v>
      </c>
      <c r="I68" s="10">
        <v>2</v>
      </c>
      <c r="J68" s="113" t="str">
        <f>IF(I68=4,"EC",IF(I68=3,"EF",IF(I68=2,"EO",IF(I68=1,"EE",""))))</f>
        <v>EO</v>
      </c>
      <c r="K68" s="11">
        <f>IF(I68="","",G68*I68)</f>
        <v>20</v>
      </c>
      <c r="L68" s="113" t="str">
        <f t="shared" si="2"/>
        <v>A</v>
      </c>
      <c r="M68" s="10">
        <v>10</v>
      </c>
      <c r="N68" s="113" t="str">
        <f>IF(M68="","",IF(M68=100,"M",IF(M68=60,"MG",IF(M68=25,"G",IF(M68=10,"L","")))))</f>
        <v>L</v>
      </c>
      <c r="O68" s="42">
        <f t="shared" si="3"/>
        <v>200</v>
      </c>
      <c r="P68" s="113" t="str">
        <f t="shared" si="4"/>
        <v>II</v>
      </c>
      <c r="Q68" s="114" t="str">
        <f t="shared" si="5"/>
        <v>Corregir
y adoptar medidas de control.</v>
      </c>
      <c r="R68" s="114" t="str">
        <f t="shared" si="6"/>
        <v>Pequeñas lesiones que no requieren hospitalización.</v>
      </c>
      <c r="S68" s="114" t="s">
        <v>24</v>
      </c>
      <c r="T68" s="46"/>
    </row>
    <row r="69" spans="1:20" ht="85.5">
      <c r="A69" s="63"/>
      <c r="B69" s="113" t="s">
        <v>24</v>
      </c>
      <c r="C69" s="114" t="str">
        <f t="shared" ref="C69:C108" si="16">IF(D69="","",IF(D69="010-E","Trabajo en altura/ zonas con desnivel",IF(D69="020-E","Superficies irregulares u obstruidas",IF(D69="030-E","Estructuras inestables/ espacios confinados",IF(D69="040-E","Desprendimiento de objetos",IF(D69="090-E","Manipulación de máquinas/ herramientas",IF(D69="100-E","Operaciones de conformado",IF(D69="110-E","Objetos fijos o móviles",IF(D69="250a-E","Situaciones fortuitas",IF(D69="230-E","Colisión/ impacto vehicular",IF(D69="250b-E","Situaciones fortuitas",IF(D69="160-E","Energía eléctrica",IF(D69="150a-E","Fuentes de calor",IF(D69="150b-E","Fuentes de calor",IF(D69="150c-E","Fuentes de calor",IF(D69="570","Condiciones inadecuadas",IF(D69="120-I","Maquinaria pesada",IF(D69="330","Niveles sonoros",IF(D69="340","Movimientos oscilatorios",IF(D69="360","Fuentes emisoras de energía",IF(D69="170","Sustancias químicas",IF(D69="380","Niveles lumínicos",IF(D69="010-I","Trabajo en altura/ zonas con desnivel",IF(D69="020-I","Superficies irregulares u obstruidas",IF(D69="030-I","Estructuras inestables/ espacios confinados",IF(D69="040-I","Desprendimiento de objetos",IF(D69="090-I","Manipulación de máquinas/ herramientas",IF(D69="100-I","Operaciones de conformado",IF(D69="110-I","Objetos fijos o móviles",IF(D69="250a-I","Situaciones fortuitas",IF(D69="230-I","Colisión/ impacto vehicular",IF(D69="250b-I","Situaciones fortuitas",IF(D69="160-I","Energía eléctrica",IF(D69="390","Atmósferas contaminadas",IF(D69="130","Posturas forzadas/ manipulación manual de cargas")))))))))))))))))))))))))))))))))))</f>
        <v>Niveles lumínicos</v>
      </c>
      <c r="D69" s="9" t="s">
        <v>26</v>
      </c>
      <c r="E69" s="114" t="str">
        <f>IF(D69="","",IF(D69="010-E","Caída de personas a distinto nivel",IF(D69="020-E","Caída de personas al mismo nivel",IF(D69="030-E","Caída de objetos por desplome",IF(D69="040-E","Caída de objetos en manipulación",IF(D69="090-E","Golpes/cortes por objetos o herramientas",IF(D69="110-E","Atrapamiento por o entre objetos",IF(D69="100-E","Proyección de fragmentos o partículas",IF(D69="230-E","Atropellos o golpes con vehículos",IF(D69="250a-E","Otros riesgos de accidente a) inherentes a la manipulación de herramientas eléctricas",IF(D69="250b-E","Otros riesgos de accidente b) Inherentes a la manipulación de herramientas manuales",IF(D69="160-E","Contactos Eléctricos",IF(D69="150a-E","Contactos térmicos a) inherentes al trabajador",IF(D69="150b-E","Contactos térmicos b) inherentes a la manipulación de elementos estructurales",IF(D69="150c-E","Contactos térmicos c) inherentes al proceso de soldadura",IF(D69="570","Organización del trabajo incorrecta",IF(D69="120-I","Atrapamiento por vuelco de máquinas",IF(D69="","",IF(D69="010-I","Caída de personas a distinto nivel",IF(D69="020-I","Caída de personas al mismo nivel",IF(D69="030-I","Caída de objetos por desplome",IF(D69="040-I","Caída de objetos en manipulación",IF(D69="090-I","Golpes/cortes por objetos o herramientas",IF(D69="110-I","Atrapamiento por o entre objetos",IF(D69="100-I","Proyección de fragmentos o partículas",IF(D69="230-I","Atropellos o golpes con vehículos",IF(D69="250a-I","Otros riesgos de accidente a) inherentes a la manipulación de herramientas eléctricas",IF(D69="250b-I","Otros riesgos de accidente b) Inherentes a la manipulación de herramientas manuales",IF(D69="390","Otra exposición a) asfixia o intoxicación",IF(D69="160-I","Contactos Eléctricos",IF(D69="570","Organización del trabajo incorrecta",IF(D69="120-I","Atrapamiento por vuelco de máquinas",IF(D69="330","Ruido",IF(D69="340","Vibración",IF(D69="360","Radiaciones ionizantes",IF(D69="170","Exposición a sustancias nocivas",IF(D69="130","Sobreesfuerzos",IF(D69="380","Iluminación",IF(D69="330","Ruido",IF(D69="340","Vibración",IF(D69="360","Radiaciones ionizantes",IF(D69="170","Exposición a sustancias nocivas",IF(D69="130","Sobreesfuerzos",IF(D69="380","Iluminación"))))))))))))))))))))))))))))))))))))))))))))</f>
        <v>Iluminación</v>
      </c>
      <c r="F69" s="114" t="str">
        <f>IF(D69="","",IF(D69="010-E","Riesgo de seguridad (Riesgo Mecánico)",IF(D69="020-E","Riesgo de seguridad (Riesgo Mecánico)",IF(D69="030-E","Riesgo de seguridad (Riesgo Mecánico)",IF(D69="040-E","Riesgo de seguridad (Riesgo Mecánico)",IF(D69="090-E","Riesgo de seguridad (Riesgo Mecánico)",IF(D69="110-E","Riesgo de seguridad (Riesgo Mecánico)",IF(D69="100-E","Riesgo de seguridad (Riesgo Mecánico)",IF(D69="230-E","Riesgo de seguridad (Riesgo Mecánico)",IF(D69="250a-E","Riesgo de seguridad (Riesgo Mecánico)",IF(D69="250b-E","Riesgo de seguridad (Riesgo Mecánico)",IF(D69="160-E","Riesgo de seguridad (Riesgo Eléctrico)",IF(D69="150a-E","Riesgo de seguridad (Riesgo Industrial Mayor)",IF(D69="150b-E","Riesgo de seguridad (Riesgo Industrial Mayor)",IF(D69="150c-E","Riesgo de seguridad (Riesgo Industrial Mayor)",IF(D69="570","Riesgo de seguridad (Riesgo Locativo)",IF(D69="120-I","Riesgo Mecánico",IF(D69="330","Riesgo Físico",IF(D69="340","Riesgo Físico",IF(D69="360","Riesgo Físico",IF(D69="170","Riesgo Químico",IF(D69="130","Riesgo Ergonómico",IF(D69="380","Riesgo Físico",IF(D69="010-I","Riesgo de seguridad (Riesgo Mecánico)",IF(D69="020-I","Riesgo de seguridad (Riesgo Mecánico)",IF(D69="030-I","Riesgo de seguridad (Riesgo Mecánico)",IF(D69="040-I","Riesgo de seguridad (Riesgo Mecánico)",IF(D69="090-I","Riesgo de seguridad (Riesgo Mecánico)",IF(D69="110-I","Riesgo de seguridad (Riesgo Mecánico)",IF(D69="100-I","Riesgo de seguridad (Riesgo Mecánico)",IF(D69="230-I","Riesgo de seguridad (Riesgo Mecánico)",IF(D69="250a-I","Riesgo de seguridad (Riesgo Mecánico)",IF(D69="250b-I","Riesgo de seguridad (Riesgo Mecánico)",IF(D69="160-I","Riesgo de seguridad (Riesgo Eléctrico)",IF(D69="590","Riesgo de seguridad (Riesgo Mecánico)")))))))))))))))))))))))))))))))))))</f>
        <v>Riesgo Físico</v>
      </c>
      <c r="G69" s="117">
        <f>'E-IE-RC-RF-I'!I12</f>
        <v>9.4736842105263186</v>
      </c>
      <c r="H69" s="113" t="str">
        <f t="shared" si="1"/>
        <v>MD</v>
      </c>
      <c r="I69" s="10">
        <v>1</v>
      </c>
      <c r="J69" s="113" t="str">
        <f>IF(I69=4,"EC",IF(I69=3,"EF",IF(I69=2,"EO",IF(I69=1,"EE",""))))</f>
        <v>EE</v>
      </c>
      <c r="K69" s="11">
        <f>IF(I69="","",G69*I69)</f>
        <v>9.4736842105263186</v>
      </c>
      <c r="L69" s="113" t="str">
        <f t="shared" si="2"/>
        <v>A</v>
      </c>
      <c r="M69" s="10">
        <v>10</v>
      </c>
      <c r="N69" s="113" t="str">
        <f>IF(M69="","",IF(M69=100,"M",IF(M69=60,"MG",IF(M69=25,"G",IF(M69=10,"L","")))))</f>
        <v>L</v>
      </c>
      <c r="O69" s="42">
        <f t="shared" ref="O69:O108" si="17">IF(M69="","",ROUND(M69*K69,0))</f>
        <v>95</v>
      </c>
      <c r="P69" s="113" t="str">
        <f t="shared" si="4"/>
        <v>III</v>
      </c>
      <c r="Q69" s="114" t="str">
        <f t="shared" si="5"/>
        <v>Mejorar si es posible. Sería conveniente justificar la intervención y su rentabilidad.</v>
      </c>
      <c r="R69" s="114" t="str">
        <f t="shared" si="6"/>
        <v>Pequeñas lesiones que no requieren hospitalización.</v>
      </c>
      <c r="S69" s="114" t="s">
        <v>24</v>
      </c>
      <c r="T69" s="46"/>
    </row>
    <row r="70" spans="1:20" ht="57">
      <c r="A70" s="63"/>
      <c r="B70" s="113" t="s">
        <v>24</v>
      </c>
      <c r="C70" s="114" t="str">
        <f t="shared" si="16"/>
        <v>Condiciones inadecuadas</v>
      </c>
      <c r="D70" s="9" t="s">
        <v>27</v>
      </c>
      <c r="E70" s="114" t="str">
        <f t="shared" si="8"/>
        <v>Organización del trabajo incorrecta</v>
      </c>
      <c r="F70" s="114" t="str">
        <f t="shared" si="7"/>
        <v>Riesgo de seguridad (Riesgo Locativo)</v>
      </c>
      <c r="G70" s="117">
        <f>'E-IE-RL-OI'!J14</f>
        <v>9.9999999999999982</v>
      </c>
      <c r="H70" s="113" t="str">
        <f t="shared" si="1"/>
        <v>MD</v>
      </c>
      <c r="I70" s="10">
        <v>2</v>
      </c>
      <c r="J70" s="113" t="str">
        <f t="shared" si="9"/>
        <v>EO</v>
      </c>
      <c r="K70" s="11">
        <f>IF(I70="","",G70*I70)</f>
        <v>19.999999999999996</v>
      </c>
      <c r="L70" s="113" t="str">
        <f t="shared" si="2"/>
        <v>A</v>
      </c>
      <c r="M70" s="10">
        <v>25</v>
      </c>
      <c r="N70" s="113" t="str">
        <f t="shared" si="11"/>
        <v>G</v>
      </c>
      <c r="O70" s="42">
        <f t="shared" si="17"/>
        <v>500</v>
      </c>
      <c r="P70" s="113" t="str">
        <f t="shared" si="4"/>
        <v>II</v>
      </c>
      <c r="Q70" s="114" t="str">
        <f t="shared" si="5"/>
        <v>Corregir
y adoptar medidas de control.</v>
      </c>
      <c r="R70" s="114" t="str">
        <f t="shared" si="6"/>
        <v>Lesiones con incapacidad laboral transitoria (I. L. T.).</v>
      </c>
      <c r="S70" s="114" t="s">
        <v>24</v>
      </c>
      <c r="T70" s="46"/>
    </row>
    <row r="71" spans="1:20" ht="57">
      <c r="A71" s="63"/>
      <c r="B71" s="113" t="s">
        <v>24</v>
      </c>
      <c r="C71" s="114" t="str">
        <f t="shared" si="16"/>
        <v>Trabajo en altura/ zonas con desnivel</v>
      </c>
      <c r="D71" s="9" t="s">
        <v>40</v>
      </c>
      <c r="E71" s="114" t="str">
        <f t="shared" si="8"/>
        <v>Caída de personas a distinto nivel</v>
      </c>
      <c r="F71" s="114" t="str">
        <f t="shared" si="7"/>
        <v>Riesgo de seguridad (Riesgo Mecánico)</v>
      </c>
      <c r="G71" s="117">
        <f>'E-IE-RM-CDN'!J20</f>
        <v>8.4905660377358512</v>
      </c>
      <c r="H71" s="113" t="str">
        <f t="shared" ref="H71:H108" si="18">IF(G71="","",IF(AND(G71&lt;=10,G71&gt;6),"MD",IF(AND(G71&lt;=6,G71&gt;2),"D",IF(AND(G71&lt;=2,G71&gt;0),"M",IF(G71=0,"B")))))</f>
        <v>MD</v>
      </c>
      <c r="I71" s="10">
        <v>3</v>
      </c>
      <c r="J71" s="113" t="str">
        <f t="shared" si="9"/>
        <v>EF</v>
      </c>
      <c r="K71" s="11">
        <f t="shared" si="10"/>
        <v>25.471698113207552</v>
      </c>
      <c r="L71" s="113" t="str">
        <f t="shared" ref="L71:L108" si="19">IF(K71="","",IF(K71&gt;=24,"MA",IF(AND(K71&lt;24,K71&gt;8),"A",IF(AND(K71&lt;=8,K71&gt;4),"M",IF(AND(K71&lt;=4,K71&gt;=0),"B")))))</f>
        <v>MA</v>
      </c>
      <c r="M71" s="10">
        <v>60</v>
      </c>
      <c r="N71" s="113" t="str">
        <f t="shared" si="11"/>
        <v>MG</v>
      </c>
      <c r="O71" s="42">
        <f t="shared" si="17"/>
        <v>1528</v>
      </c>
      <c r="P71" s="113" t="str">
        <f t="shared" ref="P71:P108" si="20">IF(O71="","",IF(O71="","",IF(AND(O71&lt;=4000,O71&gt;500),"I",IF(AND(O71&lt;=500,O71&gt;120),"II",IF(AND(O71&lt;=120,O71&gt;20),"III",IF(O71&lt;=20,"IV"))))))</f>
        <v>I</v>
      </c>
      <c r="Q71" s="114" t="str">
        <f t="shared" ref="Q71:Q108" si="21">IF(P71="","",IF(P71="I","Situación Crítica.
Corrección urgente.",IF(P71="II","Corregir
y adoptar medidas de control.",IF(P71="III","Mejorar si es posible. Sería conveniente justificar la intervención y su rentabilidad.",IF(P71="IV","No intervenir, salvo que un análisis más preciso lo justifique.")))))</f>
        <v>Situación Crítica.
Corrección urgente.</v>
      </c>
      <c r="R71" s="114" t="str">
        <f t="shared" si="6"/>
        <v>Lesiones graves que pueden ser irreparables.</v>
      </c>
      <c r="S71" s="114" t="s">
        <v>24</v>
      </c>
      <c r="T71" s="46"/>
    </row>
    <row r="72" spans="1:20" ht="57">
      <c r="A72" s="63"/>
      <c r="B72" s="113" t="s">
        <v>24</v>
      </c>
      <c r="C72" s="114" t="str">
        <f t="shared" si="16"/>
        <v>Superficies irregulares u obstruidas</v>
      </c>
      <c r="D72" s="9" t="s">
        <v>28</v>
      </c>
      <c r="E72" s="114" t="str">
        <f t="shared" si="8"/>
        <v>Caída de personas al mismo nivel</v>
      </c>
      <c r="F72" s="114" t="str">
        <f t="shared" si="7"/>
        <v>Riesgo de seguridad (Riesgo Mecánico)</v>
      </c>
      <c r="G72" s="117">
        <f>'E-IE-RM-CMN'!J15</f>
        <v>9.615384615384615</v>
      </c>
      <c r="H72" s="113" t="str">
        <f t="shared" si="18"/>
        <v>MD</v>
      </c>
      <c r="I72" s="10">
        <v>3</v>
      </c>
      <c r="J72" s="113" t="str">
        <f t="shared" si="9"/>
        <v>EF</v>
      </c>
      <c r="K72" s="11">
        <f t="shared" si="10"/>
        <v>28.846153846153847</v>
      </c>
      <c r="L72" s="113" t="str">
        <f t="shared" si="19"/>
        <v>MA</v>
      </c>
      <c r="M72" s="10">
        <v>60</v>
      </c>
      <c r="N72" s="113" t="str">
        <f t="shared" si="11"/>
        <v>MG</v>
      </c>
      <c r="O72" s="42">
        <f t="shared" si="17"/>
        <v>1731</v>
      </c>
      <c r="P72" s="113" t="str">
        <f t="shared" si="20"/>
        <v>I</v>
      </c>
      <c r="Q72" s="114" t="str">
        <f t="shared" si="21"/>
        <v>Situación Crítica.
Corrección urgente.</v>
      </c>
      <c r="R72" s="114" t="str">
        <f t="shared" ref="R72:R108" si="22">IF(M72=10,"Pequeñas lesiones que no requieren hospitalización.",IF(M72=25,"Lesiones con incapacidad laboral transitoria (I. L. T.).",IF(M72=60,"Lesiones graves que pueden ser irreparables.",IF(M72=100,"1 muerto o más."))))</f>
        <v>Lesiones graves que pueden ser irreparables.</v>
      </c>
      <c r="S72" s="114" t="s">
        <v>24</v>
      </c>
      <c r="T72" s="46"/>
    </row>
    <row r="73" spans="1:20" ht="57">
      <c r="A73" s="63"/>
      <c r="B73" s="113" t="s">
        <v>24</v>
      </c>
      <c r="C73" s="114" t="str">
        <f t="shared" si="16"/>
        <v>Desprendimiento de objetos</v>
      </c>
      <c r="D73" s="9" t="s">
        <v>29</v>
      </c>
      <c r="E73" s="114" t="str">
        <f t="shared" si="8"/>
        <v>Caída de objetos en manipulación</v>
      </c>
      <c r="F73" s="114" t="str">
        <f t="shared" si="7"/>
        <v>Riesgo de seguridad (Riesgo Mecánico)</v>
      </c>
      <c r="G73" s="117">
        <f>'E-IE-RM-COM'!J17</f>
        <v>3.0000000000000004</v>
      </c>
      <c r="H73" s="113" t="str">
        <f t="shared" si="18"/>
        <v>D</v>
      </c>
      <c r="I73" s="10">
        <v>2</v>
      </c>
      <c r="J73" s="113" t="str">
        <f t="shared" si="9"/>
        <v>EO</v>
      </c>
      <c r="K73" s="11">
        <f t="shared" si="10"/>
        <v>6.0000000000000009</v>
      </c>
      <c r="L73" s="113" t="str">
        <f t="shared" si="19"/>
        <v>M</v>
      </c>
      <c r="M73" s="10">
        <v>25</v>
      </c>
      <c r="N73" s="113" t="str">
        <f t="shared" si="11"/>
        <v>G</v>
      </c>
      <c r="O73" s="42">
        <f t="shared" si="17"/>
        <v>150</v>
      </c>
      <c r="P73" s="113" t="str">
        <f t="shared" si="20"/>
        <v>II</v>
      </c>
      <c r="Q73" s="114" t="str">
        <f t="shared" si="21"/>
        <v>Corregir
y adoptar medidas de control.</v>
      </c>
      <c r="R73" s="114" t="str">
        <f t="shared" si="22"/>
        <v>Lesiones con incapacidad laboral transitoria (I. L. T.).</v>
      </c>
      <c r="S73" s="114" t="s">
        <v>24</v>
      </c>
      <c r="T73" s="46"/>
    </row>
    <row r="74" spans="1:20" ht="85.5">
      <c r="A74" s="63"/>
      <c r="B74" s="113" t="s">
        <v>24</v>
      </c>
      <c r="C74" s="114" t="str">
        <f t="shared" si="16"/>
        <v>Manipulación de máquinas/ herramientas</v>
      </c>
      <c r="D74" s="9" t="s">
        <v>30</v>
      </c>
      <c r="E74" s="114" t="str">
        <f t="shared" si="8"/>
        <v>Golpes/cortes por objetos o herramientas</v>
      </c>
      <c r="F74" s="114" t="str">
        <f t="shared" si="7"/>
        <v>Riesgo de seguridad (Riesgo Mecánico)</v>
      </c>
      <c r="G74" s="117">
        <f>'E-IE-RM-CGOH'!J17</f>
        <v>1.7857142857142858</v>
      </c>
      <c r="H74" s="113" t="str">
        <f t="shared" si="18"/>
        <v>M</v>
      </c>
      <c r="I74" s="10">
        <v>2</v>
      </c>
      <c r="J74" s="113" t="str">
        <f t="shared" si="9"/>
        <v>EO</v>
      </c>
      <c r="K74" s="11">
        <f t="shared" si="10"/>
        <v>3.5714285714285716</v>
      </c>
      <c r="L74" s="113" t="str">
        <f t="shared" si="19"/>
        <v>B</v>
      </c>
      <c r="M74" s="10">
        <v>25</v>
      </c>
      <c r="N74" s="113" t="str">
        <f t="shared" si="11"/>
        <v>G</v>
      </c>
      <c r="O74" s="42">
        <f t="shared" si="17"/>
        <v>89</v>
      </c>
      <c r="P74" s="113" t="str">
        <f t="shared" si="20"/>
        <v>III</v>
      </c>
      <c r="Q74" s="114" t="str">
        <f t="shared" si="21"/>
        <v>Mejorar si es posible. Sería conveniente justificar la intervención y su rentabilidad.</v>
      </c>
      <c r="R74" s="114" t="str">
        <f t="shared" si="22"/>
        <v>Lesiones con incapacidad laboral transitoria (I. L. T.).</v>
      </c>
      <c r="S74" s="114" t="s">
        <v>24</v>
      </c>
      <c r="T74" s="46"/>
    </row>
    <row r="75" spans="1:20" ht="57">
      <c r="A75" s="63"/>
      <c r="B75" s="113" t="s">
        <v>24</v>
      </c>
      <c r="C75" s="114" t="str">
        <f t="shared" si="16"/>
        <v>Operaciones de conformado</v>
      </c>
      <c r="D75" s="9" t="s">
        <v>31</v>
      </c>
      <c r="E75" s="114" t="str">
        <f t="shared" si="8"/>
        <v>Proyección de fragmentos o partículas</v>
      </c>
      <c r="F75" s="114" t="str">
        <f t="shared" si="7"/>
        <v>Riesgo de seguridad (Riesgo Mecánico)</v>
      </c>
      <c r="G75" s="117">
        <f>'E-IE-RM-PFP'!J13</f>
        <v>3.75</v>
      </c>
      <c r="H75" s="113" t="str">
        <f t="shared" si="18"/>
        <v>D</v>
      </c>
      <c r="I75" s="10">
        <v>2</v>
      </c>
      <c r="J75" s="113" t="str">
        <f t="shared" si="9"/>
        <v>EO</v>
      </c>
      <c r="K75" s="11">
        <f t="shared" si="10"/>
        <v>7.5</v>
      </c>
      <c r="L75" s="113" t="str">
        <f t="shared" si="19"/>
        <v>M</v>
      </c>
      <c r="M75" s="10">
        <v>25</v>
      </c>
      <c r="N75" s="113" t="str">
        <f t="shared" si="11"/>
        <v>G</v>
      </c>
      <c r="O75" s="42">
        <f t="shared" si="17"/>
        <v>188</v>
      </c>
      <c r="P75" s="113" t="str">
        <f t="shared" si="20"/>
        <v>II</v>
      </c>
      <c r="Q75" s="114" t="str">
        <f t="shared" si="21"/>
        <v>Corregir
y adoptar medidas de control.</v>
      </c>
      <c r="R75" s="114" t="str">
        <f t="shared" si="22"/>
        <v>Lesiones con incapacidad laboral transitoria (I. L. T.).</v>
      </c>
      <c r="S75" s="114" t="s">
        <v>24</v>
      </c>
      <c r="T75" s="46"/>
    </row>
    <row r="76" spans="1:20" ht="85.5">
      <c r="A76" s="63"/>
      <c r="B76" s="113" t="s">
        <v>24</v>
      </c>
      <c r="C76" s="114" t="str">
        <f t="shared" si="16"/>
        <v>Situaciones fortuitas</v>
      </c>
      <c r="D76" s="9" t="s">
        <v>34</v>
      </c>
      <c r="E76" s="114" t="str">
        <f t="shared" si="8"/>
        <v>Otros riesgos de accidente a) inherentes a la manipulación de herramientas eléctricas</v>
      </c>
      <c r="F76" s="114" t="str">
        <f t="shared" si="7"/>
        <v>Riesgo de seguridad (Riesgo Mecánico)</v>
      </c>
      <c r="G76" s="117">
        <f>'E-IE-RM-ORAa'!J15</f>
        <v>5</v>
      </c>
      <c r="H76" s="113" t="str">
        <f>IF(G76="","",IF(AND(G76&lt;=10,G76&gt;6),"MD",IF(AND(G76&lt;=6,G76&gt;2),"D",IF(AND(G76&lt;=2,G76&gt;0),"M",IF(G76=0,"B")))))</f>
        <v>D</v>
      </c>
      <c r="I76" s="10">
        <v>3</v>
      </c>
      <c r="J76" s="113" t="str">
        <f>IF(I76=4,"EC",IF(I76=3,"EF",IF(I76=2,"EO",IF(I76=1,"EE",""))))</f>
        <v>EF</v>
      </c>
      <c r="K76" s="11">
        <f>IF(I76="","",G76*I76)</f>
        <v>15</v>
      </c>
      <c r="L76" s="113" t="str">
        <f>IF(K76="","",IF(K76&gt;=24,"MA",IF(AND(K76&lt;24,K76&gt;8),"A",IF(AND(K76&lt;=8,K76&gt;4),"M",IF(AND(K76&lt;=4,K76&gt;=0),"B")))))</f>
        <v>A</v>
      </c>
      <c r="M76" s="10">
        <v>10</v>
      </c>
      <c r="N76" s="113" t="str">
        <f>IF(M76="","",IF(M76=100,"M",IF(M76=60,"MG",IF(M76=25,"G",IF(M76=10,"L","")))))</f>
        <v>L</v>
      </c>
      <c r="O76" s="42">
        <f t="shared" si="17"/>
        <v>150</v>
      </c>
      <c r="P76" s="113" t="str">
        <f>IF(O76="","",IF(O76="","",IF(AND(O76&lt;=4000,O76&gt;500),"I",IF(AND(O76&lt;=500,O76&gt;120),"II",IF(AND(O76&lt;=120,O76&gt;20),"III",IF(O76&lt;=20,"IV"))))))</f>
        <v>II</v>
      </c>
      <c r="Q76" s="114" t="str">
        <f>IF(P76="","",IF(P76="I","Situación Crítica.
Corrección urgente.",IF(P76="II","Corregir
y adoptar medidas de control.",IF(P76="III","Mejorar si es posible. Sería conveniente justificar la intervención y su rentabilidad.",IF(P76="IV","No intervenir, salvo que un análisis más preciso lo justifique.")))))</f>
        <v>Corregir
y adoptar medidas de control.</v>
      </c>
      <c r="R76" s="114" t="str">
        <f>IF(M76=10,"Pequeñas lesiones que no requieren hospitalización.",IF(M76=25,"Lesiones con incapacidad laboral transitoria (I. L. T.).",IF(M76=60,"Lesiones graves que pueden ser irreparables.",IF(M76=100,"1 muerto o más."))))</f>
        <v>Pequeñas lesiones que no requieren hospitalización.</v>
      </c>
      <c r="S76" s="114" t="s">
        <v>24</v>
      </c>
      <c r="T76" s="46"/>
    </row>
    <row r="77" spans="1:20" ht="85.5">
      <c r="A77" s="63"/>
      <c r="B77" s="113" t="s">
        <v>24</v>
      </c>
      <c r="C77" s="114" t="str">
        <f t="shared" si="16"/>
        <v>Situaciones fortuitas</v>
      </c>
      <c r="D77" s="9" t="s">
        <v>35</v>
      </c>
      <c r="E77" s="114" t="str">
        <f t="shared" si="8"/>
        <v>Otros riesgos de accidente b) Inherentes a la manipulación de herramientas manuales</v>
      </c>
      <c r="F77" s="114" t="str">
        <f t="shared" si="7"/>
        <v>Riesgo de seguridad (Riesgo Mecánico)</v>
      </c>
      <c r="G77" s="117">
        <f>'E-IE-RM-ORAb'!J15</f>
        <v>4</v>
      </c>
      <c r="H77" s="113" t="str">
        <f>IF(G77="","",IF(AND(G77&lt;=10,G77&gt;6),"MD",IF(AND(G77&lt;=6,G77&gt;2),"D",IF(AND(G77&lt;=2,G77&gt;0),"M",IF(G77=0,"B")))))</f>
        <v>D</v>
      </c>
      <c r="I77" s="10">
        <v>3</v>
      </c>
      <c r="J77" s="113" t="str">
        <f>IF(I77=4,"EC",IF(I77=3,"EF",IF(I77=2,"EO",IF(I77=1,"EE",""))))</f>
        <v>EF</v>
      </c>
      <c r="K77" s="11">
        <f>IF(I77="","",G77*I77)</f>
        <v>12</v>
      </c>
      <c r="L77" s="113" t="str">
        <f>IF(K77="","",IF(K77&gt;=24,"MA",IF(AND(K77&lt;24,K77&gt;8),"A",IF(AND(K77&lt;=8,K77&gt;4),"M",IF(AND(K77&lt;=4,K77&gt;=0),"B")))))</f>
        <v>A</v>
      </c>
      <c r="M77" s="10">
        <v>10</v>
      </c>
      <c r="N77" s="113" t="str">
        <f>IF(M77="","",IF(M77=100,"M",IF(M77=60,"MG",IF(M77=25,"G",IF(M77=10,"L","")))))</f>
        <v>L</v>
      </c>
      <c r="O77" s="42">
        <f t="shared" si="17"/>
        <v>120</v>
      </c>
      <c r="P77" s="113" t="str">
        <f>IF(O77="","",IF(O77="","",IF(AND(O77&lt;=4000,O77&gt;500),"I",IF(AND(O77&lt;=500,O77&gt;120),"II",IF(AND(O77&lt;=120,O77&gt;20),"III",IF(O77&lt;=20,"IV"))))))</f>
        <v>III</v>
      </c>
      <c r="Q77" s="114" t="str">
        <f>IF(P77="","",IF(P77="I","Situación Crítica.
Corrección urgente.",IF(P77="II","Corregir
y adoptar medidas de control.",IF(P77="III","Mejorar si es posible. Sería conveniente justificar la intervención y su rentabilidad.",IF(P77="IV","No intervenir, salvo que un análisis más preciso lo justifique.")))))</f>
        <v>Mejorar si es posible. Sería conveniente justificar la intervención y su rentabilidad.</v>
      </c>
      <c r="R77" s="114" t="str">
        <f>IF(M77=10,"Pequeñas lesiones que no requieren hospitalización.",IF(M77=25,"Lesiones con incapacidad laboral transitoria (I. L. T.).",IF(M77=60,"Lesiones graves que pueden ser irreparables.",IF(M77=100,"1 muerto o más."))))</f>
        <v>Pequeñas lesiones que no requieren hospitalización.</v>
      </c>
      <c r="S77" s="114" t="s">
        <v>24</v>
      </c>
      <c r="T77" s="46"/>
    </row>
    <row r="78" spans="1:20" ht="57">
      <c r="A78" s="63"/>
      <c r="B78" s="113" t="s">
        <v>24</v>
      </c>
      <c r="C78" s="114" t="str">
        <f t="shared" si="16"/>
        <v>Energía eléctrica</v>
      </c>
      <c r="D78" s="9" t="s">
        <v>36</v>
      </c>
      <c r="E78" s="114" t="str">
        <f t="shared" si="8"/>
        <v>Contactos Eléctricos</v>
      </c>
      <c r="F78" s="114" t="str">
        <f t="shared" si="7"/>
        <v>Riesgo de seguridad (Riesgo Eléctrico)</v>
      </c>
      <c r="G78" s="117">
        <f>'E-IE-RE-CE'!J20</f>
        <v>8.108108108108107</v>
      </c>
      <c r="H78" s="113" t="str">
        <f t="shared" si="18"/>
        <v>MD</v>
      </c>
      <c r="I78" s="10">
        <v>4</v>
      </c>
      <c r="J78" s="113" t="str">
        <f t="shared" si="9"/>
        <v>EC</v>
      </c>
      <c r="K78" s="11">
        <f t="shared" si="10"/>
        <v>32.432432432432428</v>
      </c>
      <c r="L78" s="113" t="str">
        <f t="shared" si="19"/>
        <v>MA</v>
      </c>
      <c r="M78" s="10">
        <v>60</v>
      </c>
      <c r="N78" s="113" t="str">
        <f t="shared" si="11"/>
        <v>MG</v>
      </c>
      <c r="O78" s="42">
        <f t="shared" si="17"/>
        <v>1946</v>
      </c>
      <c r="P78" s="113" t="str">
        <f t="shared" si="20"/>
        <v>I</v>
      </c>
      <c r="Q78" s="114" t="str">
        <f t="shared" si="21"/>
        <v>Situación Crítica.
Corrección urgente.</v>
      </c>
      <c r="R78" s="114" t="str">
        <f t="shared" si="22"/>
        <v>Lesiones graves que pueden ser irreparables.</v>
      </c>
      <c r="S78" s="114" t="s">
        <v>24</v>
      </c>
      <c r="T78" s="46"/>
    </row>
    <row r="79" spans="1:20" ht="57">
      <c r="A79" s="63"/>
      <c r="B79" s="113" t="s">
        <v>24</v>
      </c>
      <c r="C79" s="114" t="str">
        <f t="shared" si="16"/>
        <v>Posturas forzadas/ manipulación manual de cargas</v>
      </c>
      <c r="D79" s="9" t="s">
        <v>37</v>
      </c>
      <c r="E79" s="114" t="str">
        <f t="shared" si="8"/>
        <v>Sobreesfuerzos</v>
      </c>
      <c r="F79" s="114" t="str">
        <f t="shared" si="7"/>
        <v>Riesgo Ergonómico</v>
      </c>
      <c r="G79" s="117">
        <f>'E-IE-RC-RE-S'!I15</f>
        <v>10.000000000000002</v>
      </c>
      <c r="H79" s="113" t="str">
        <f t="shared" si="18"/>
        <v>MD</v>
      </c>
      <c r="I79" s="10">
        <v>2</v>
      </c>
      <c r="J79" s="113" t="str">
        <f>IF(I79=4,"EC",IF(I79=3,"EF",IF(I79=2,"EO",IF(I79=1,"EE",""))))</f>
        <v>EO</v>
      </c>
      <c r="K79" s="11">
        <f t="shared" ref="K79:K84" si="23">IF(I79="","",G79*I79)</f>
        <v>20.000000000000004</v>
      </c>
      <c r="L79" s="113" t="str">
        <f t="shared" si="19"/>
        <v>A</v>
      </c>
      <c r="M79" s="10">
        <v>25</v>
      </c>
      <c r="N79" s="113" t="str">
        <f>IF(M79="","",IF(M79=100,"M",IF(M79=60,"MG",IF(M79=25,"G",IF(M79=10,"L","")))))</f>
        <v>G</v>
      </c>
      <c r="O79" s="42">
        <f t="shared" si="17"/>
        <v>500</v>
      </c>
      <c r="P79" s="113" t="str">
        <f t="shared" si="20"/>
        <v>II</v>
      </c>
      <c r="Q79" s="114" t="str">
        <f t="shared" si="21"/>
        <v>Corregir
y adoptar medidas de control.</v>
      </c>
      <c r="R79" s="114" t="str">
        <f t="shared" si="22"/>
        <v>Lesiones con incapacidad laboral transitoria (I. L. T.).</v>
      </c>
      <c r="S79" s="114" t="s">
        <v>24</v>
      </c>
      <c r="T79" s="46"/>
    </row>
    <row r="80" spans="1:20" ht="85.5">
      <c r="A80" s="63" t="s">
        <v>49</v>
      </c>
      <c r="B80" s="113" t="s">
        <v>24</v>
      </c>
      <c r="C80" s="114" t="str">
        <f t="shared" si="16"/>
        <v>Niveles sonoros</v>
      </c>
      <c r="D80" s="9" t="s">
        <v>25</v>
      </c>
      <c r="E80" s="114" t="str">
        <f t="shared" si="8"/>
        <v>Ruido</v>
      </c>
      <c r="F80" s="114" t="str">
        <f t="shared" si="7"/>
        <v>Riesgo Físico</v>
      </c>
      <c r="G80" s="117">
        <f>'E-IH-RC-RF-R'!I13</f>
        <v>10</v>
      </c>
      <c r="H80" s="113" t="str">
        <f t="shared" si="18"/>
        <v>MD</v>
      </c>
      <c r="I80" s="10">
        <v>1</v>
      </c>
      <c r="J80" s="113" t="str">
        <f>IF(I80=4,"EC",IF(I80=3,"EF",IF(I80=2,"EO",IF(I80=1,"EE",""))))</f>
        <v>EE</v>
      </c>
      <c r="K80" s="11">
        <f t="shared" si="23"/>
        <v>10</v>
      </c>
      <c r="L80" s="113" t="str">
        <f t="shared" si="19"/>
        <v>A</v>
      </c>
      <c r="M80" s="10">
        <v>10</v>
      </c>
      <c r="N80" s="113" t="str">
        <f>IF(M80="","",IF(M80=100,"M",IF(M80=60,"MG",IF(M80=25,"G",IF(M80=10,"L","")))))</f>
        <v>L</v>
      </c>
      <c r="O80" s="42">
        <f t="shared" si="17"/>
        <v>100</v>
      </c>
      <c r="P80" s="113" t="str">
        <f t="shared" si="20"/>
        <v>III</v>
      </c>
      <c r="Q80" s="114" t="str">
        <f t="shared" si="21"/>
        <v>Mejorar si es posible. Sería conveniente justificar la intervención y su rentabilidad.</v>
      </c>
      <c r="R80" s="114" t="str">
        <f t="shared" si="22"/>
        <v>Pequeñas lesiones que no requieren hospitalización.</v>
      </c>
      <c r="S80" s="114" t="s">
        <v>24</v>
      </c>
      <c r="T80" s="46"/>
    </row>
    <row r="81" spans="1:20" ht="85.5">
      <c r="A81" s="63"/>
      <c r="B81" s="113" t="s">
        <v>24</v>
      </c>
      <c r="C81" s="114" t="str">
        <f t="shared" si="16"/>
        <v>Movimientos oscilatorios</v>
      </c>
      <c r="D81" s="9" t="s">
        <v>39</v>
      </c>
      <c r="E81" s="114" t="str">
        <f t="shared" si="8"/>
        <v>Vibración</v>
      </c>
      <c r="F81" s="114" t="str">
        <f t="shared" si="7"/>
        <v>Riesgo Físico</v>
      </c>
      <c r="G81" s="117">
        <f>'E-IH-RC-RF-V'!I13</f>
        <v>10</v>
      </c>
      <c r="H81" s="113" t="str">
        <f t="shared" si="18"/>
        <v>MD</v>
      </c>
      <c r="I81" s="10">
        <v>1</v>
      </c>
      <c r="J81" s="113" t="str">
        <f>IF(I81=4,"EC",IF(I81=3,"EF",IF(I81=2,"EO",IF(I81=1,"EE",""))))</f>
        <v>EE</v>
      </c>
      <c r="K81" s="11">
        <f t="shared" si="23"/>
        <v>10</v>
      </c>
      <c r="L81" s="113" t="str">
        <f t="shared" si="19"/>
        <v>A</v>
      </c>
      <c r="M81" s="10">
        <v>10</v>
      </c>
      <c r="N81" s="113" t="str">
        <f>IF(M81="","",IF(M81=100,"M",IF(M81=60,"MG",IF(M81=25,"G",IF(M81=10,"L","")))))</f>
        <v>L</v>
      </c>
      <c r="O81" s="42">
        <f t="shared" si="17"/>
        <v>100</v>
      </c>
      <c r="P81" s="113" t="str">
        <f t="shared" si="20"/>
        <v>III</v>
      </c>
      <c r="Q81" s="114" t="str">
        <f t="shared" si="21"/>
        <v>Mejorar si es posible. Sería conveniente justificar la intervención y su rentabilidad.</v>
      </c>
      <c r="R81" s="114" t="str">
        <f t="shared" si="22"/>
        <v>Pequeñas lesiones que no requieren hospitalización.</v>
      </c>
      <c r="S81" s="114" t="s">
        <v>24</v>
      </c>
      <c r="T81" s="46"/>
    </row>
    <row r="82" spans="1:20" ht="57">
      <c r="A82" s="63"/>
      <c r="B82" s="113" t="s">
        <v>24</v>
      </c>
      <c r="C82" s="114" t="str">
        <f t="shared" si="16"/>
        <v>Niveles lumínicos</v>
      </c>
      <c r="D82" s="9" t="s">
        <v>26</v>
      </c>
      <c r="E82" s="114" t="str">
        <f t="shared" si="8"/>
        <v>Iluminación</v>
      </c>
      <c r="F82" s="114" t="str">
        <f t="shared" si="7"/>
        <v>Riesgo Físico</v>
      </c>
      <c r="G82" s="117">
        <f>'E-IH-RC-RF-I'!I12</f>
        <v>9.4736842105263186</v>
      </c>
      <c r="H82" s="113" t="str">
        <f t="shared" si="18"/>
        <v>MD</v>
      </c>
      <c r="I82" s="10">
        <v>2</v>
      </c>
      <c r="J82" s="113" t="str">
        <f>IF(I82=4,"EC",IF(I82=3,"EF",IF(I82=2,"EO",IF(I82=1,"EE",""))))</f>
        <v>EO</v>
      </c>
      <c r="K82" s="11">
        <f t="shared" si="23"/>
        <v>18.947368421052637</v>
      </c>
      <c r="L82" s="113" t="str">
        <f t="shared" si="19"/>
        <v>A</v>
      </c>
      <c r="M82" s="10">
        <v>25</v>
      </c>
      <c r="N82" s="113" t="str">
        <f>IF(M82="","",IF(M82=100,"M",IF(M82=60,"MG",IF(M82=25,"G",IF(M82=10,"L","")))))</f>
        <v>G</v>
      </c>
      <c r="O82" s="42">
        <f t="shared" si="17"/>
        <v>474</v>
      </c>
      <c r="P82" s="113" t="str">
        <f t="shared" si="20"/>
        <v>II</v>
      </c>
      <c r="Q82" s="114" t="str">
        <f t="shared" si="21"/>
        <v>Corregir
y adoptar medidas de control.</v>
      </c>
      <c r="R82" s="114" t="str">
        <f t="shared" si="22"/>
        <v>Lesiones con incapacidad laboral transitoria (I. L. T.).</v>
      </c>
      <c r="S82" s="114" t="s">
        <v>24</v>
      </c>
      <c r="T82" s="46"/>
    </row>
    <row r="83" spans="1:20" ht="57">
      <c r="A83" s="63"/>
      <c r="B83" s="113" t="s">
        <v>24</v>
      </c>
      <c r="C83" s="114" t="str">
        <f t="shared" si="16"/>
        <v>Sustancias químicas</v>
      </c>
      <c r="D83" s="9" t="s">
        <v>43</v>
      </c>
      <c r="E83" s="114" t="str">
        <f t="shared" si="8"/>
        <v>Exposición a sustancias nocivas</v>
      </c>
      <c r="F83" s="114" t="str">
        <f t="shared" si="7"/>
        <v>Riesgo Químico</v>
      </c>
      <c r="G83" s="117">
        <f>'E-IH-RC-RQ-ESN'!I16</f>
        <v>10.000000000000002</v>
      </c>
      <c r="H83" s="113" t="str">
        <f t="shared" si="18"/>
        <v>MD</v>
      </c>
      <c r="I83" s="10">
        <v>3</v>
      </c>
      <c r="J83" s="113" t="str">
        <f>IF(I83=4,"EC",IF(I83=3,"EF",IF(I83=2,"EO",IF(I83=1,"EE",""))))</f>
        <v>EF</v>
      </c>
      <c r="K83" s="11">
        <f t="shared" si="23"/>
        <v>30.000000000000007</v>
      </c>
      <c r="L83" s="113" t="str">
        <f t="shared" si="19"/>
        <v>MA</v>
      </c>
      <c r="M83" s="10">
        <v>25</v>
      </c>
      <c r="N83" s="113" t="str">
        <f>IF(M83="","",IF(M83=100,"M",IF(M83=60,"MG",IF(M83=25,"G",IF(M83=10,"L","")))))</f>
        <v>G</v>
      </c>
      <c r="O83" s="42">
        <f t="shared" si="17"/>
        <v>750</v>
      </c>
      <c r="P83" s="113" t="str">
        <f t="shared" si="20"/>
        <v>I</v>
      </c>
      <c r="Q83" s="114" t="str">
        <f t="shared" si="21"/>
        <v>Situación Crítica.
Corrección urgente.</v>
      </c>
      <c r="R83" s="114" t="str">
        <f t="shared" si="22"/>
        <v>Lesiones con incapacidad laboral transitoria (I. L. T.).</v>
      </c>
      <c r="S83" s="114" t="s">
        <v>24</v>
      </c>
      <c r="T83" s="46"/>
    </row>
    <row r="84" spans="1:20" ht="57">
      <c r="A84" s="63"/>
      <c r="B84" s="113" t="s">
        <v>24</v>
      </c>
      <c r="C84" s="114" t="str">
        <f t="shared" si="16"/>
        <v>Condiciones inadecuadas</v>
      </c>
      <c r="D84" s="9" t="s">
        <v>27</v>
      </c>
      <c r="E84" s="114" t="str">
        <f t="shared" si="8"/>
        <v>Organización del trabajo incorrecta</v>
      </c>
      <c r="F84" s="114" t="str">
        <f t="shared" si="7"/>
        <v>Riesgo de seguridad (Riesgo Locativo)</v>
      </c>
      <c r="G84" s="117">
        <f>'E-IH-RL-OI'!J14</f>
        <v>9.9999999999999982</v>
      </c>
      <c r="H84" s="113" t="str">
        <f t="shared" si="18"/>
        <v>MD</v>
      </c>
      <c r="I84" s="10">
        <v>2</v>
      </c>
      <c r="J84" s="113" t="str">
        <f t="shared" si="9"/>
        <v>EO</v>
      </c>
      <c r="K84" s="11">
        <f t="shared" si="23"/>
        <v>19.999999999999996</v>
      </c>
      <c r="L84" s="113" t="str">
        <f t="shared" si="19"/>
        <v>A</v>
      </c>
      <c r="M84" s="10">
        <v>25</v>
      </c>
      <c r="N84" s="113" t="str">
        <f t="shared" si="11"/>
        <v>G</v>
      </c>
      <c r="O84" s="42">
        <f t="shared" si="17"/>
        <v>500</v>
      </c>
      <c r="P84" s="113" t="str">
        <f t="shared" si="20"/>
        <v>II</v>
      </c>
      <c r="Q84" s="114" t="str">
        <f t="shared" si="21"/>
        <v>Corregir
y adoptar medidas de control.</v>
      </c>
      <c r="R84" s="114" t="str">
        <f t="shared" si="22"/>
        <v>Lesiones con incapacidad laboral transitoria (I. L. T.).</v>
      </c>
      <c r="S84" s="114" t="s">
        <v>24</v>
      </c>
      <c r="T84" s="46"/>
    </row>
    <row r="85" spans="1:20" ht="57">
      <c r="A85" s="63"/>
      <c r="B85" s="113" t="s">
        <v>24</v>
      </c>
      <c r="C85" s="114" t="str">
        <f t="shared" si="16"/>
        <v>Trabajo en altura/ zonas con desnivel</v>
      </c>
      <c r="D85" s="9" t="s">
        <v>40</v>
      </c>
      <c r="E85" s="114" t="str">
        <f t="shared" si="8"/>
        <v>Caída de personas a distinto nivel</v>
      </c>
      <c r="F85" s="114" t="str">
        <f t="shared" si="7"/>
        <v>Riesgo de seguridad (Riesgo Mecánico)</v>
      </c>
      <c r="G85" s="117">
        <f>'E-IH-RM-CDN'!J20</f>
        <v>7.3584905660377373</v>
      </c>
      <c r="H85" s="113" t="str">
        <f t="shared" si="18"/>
        <v>MD</v>
      </c>
      <c r="I85" s="10">
        <v>2</v>
      </c>
      <c r="J85" s="113" t="str">
        <f t="shared" si="9"/>
        <v>EO</v>
      </c>
      <c r="K85" s="11">
        <f t="shared" si="10"/>
        <v>14.716981132075475</v>
      </c>
      <c r="L85" s="113" t="str">
        <f t="shared" si="19"/>
        <v>A</v>
      </c>
      <c r="M85" s="10">
        <v>60</v>
      </c>
      <c r="N85" s="113" t="str">
        <f t="shared" si="11"/>
        <v>MG</v>
      </c>
      <c r="O85" s="42">
        <f t="shared" si="17"/>
        <v>883</v>
      </c>
      <c r="P85" s="113" t="str">
        <f t="shared" si="20"/>
        <v>I</v>
      </c>
      <c r="Q85" s="114" t="str">
        <f t="shared" si="21"/>
        <v>Situación Crítica.
Corrección urgente.</v>
      </c>
      <c r="R85" s="114" t="str">
        <f t="shared" si="22"/>
        <v>Lesiones graves que pueden ser irreparables.</v>
      </c>
      <c r="S85" s="114" t="s">
        <v>24</v>
      </c>
      <c r="T85" s="46"/>
    </row>
    <row r="86" spans="1:20" ht="57">
      <c r="A86" s="63"/>
      <c r="B86" s="113" t="s">
        <v>24</v>
      </c>
      <c r="C86" s="114" t="str">
        <f t="shared" si="16"/>
        <v>Superficies irregulares u obstruidas</v>
      </c>
      <c r="D86" s="9" t="s">
        <v>28</v>
      </c>
      <c r="E86" s="114" t="str">
        <f t="shared" si="8"/>
        <v>Caída de personas al mismo nivel</v>
      </c>
      <c r="F86" s="114" t="str">
        <f t="shared" si="7"/>
        <v>Riesgo de seguridad (Riesgo Mecánico)</v>
      </c>
      <c r="G86" s="117">
        <f>'E-IH-RM-CMN'!J15</f>
        <v>8.0769230769230766</v>
      </c>
      <c r="H86" s="113" t="str">
        <f t="shared" si="18"/>
        <v>MD</v>
      </c>
      <c r="I86" s="10">
        <v>3</v>
      </c>
      <c r="J86" s="113" t="str">
        <f t="shared" si="9"/>
        <v>EF</v>
      </c>
      <c r="K86" s="11">
        <f t="shared" si="10"/>
        <v>24.23076923076923</v>
      </c>
      <c r="L86" s="113" t="str">
        <f t="shared" si="19"/>
        <v>MA</v>
      </c>
      <c r="M86" s="10">
        <v>60</v>
      </c>
      <c r="N86" s="113" t="str">
        <f t="shared" si="11"/>
        <v>MG</v>
      </c>
      <c r="O86" s="42">
        <f t="shared" si="17"/>
        <v>1454</v>
      </c>
      <c r="P86" s="113" t="str">
        <f t="shared" si="20"/>
        <v>I</v>
      </c>
      <c r="Q86" s="114" t="str">
        <f t="shared" si="21"/>
        <v>Situación Crítica.
Corrección urgente.</v>
      </c>
      <c r="R86" s="114" t="str">
        <f t="shared" si="22"/>
        <v>Lesiones graves que pueden ser irreparables.</v>
      </c>
      <c r="S86" s="114" t="s">
        <v>24</v>
      </c>
      <c r="T86" s="46"/>
    </row>
    <row r="87" spans="1:20" ht="57">
      <c r="A87" s="63"/>
      <c r="B87" s="113" t="s">
        <v>24</v>
      </c>
      <c r="C87" s="114" t="str">
        <f t="shared" si="16"/>
        <v>Desprendimiento de objetos</v>
      </c>
      <c r="D87" s="9" t="s">
        <v>29</v>
      </c>
      <c r="E87" s="114" t="str">
        <f t="shared" si="8"/>
        <v>Caída de objetos en manipulación</v>
      </c>
      <c r="F87" s="114" t="str">
        <f t="shared" si="7"/>
        <v>Riesgo de seguridad (Riesgo Mecánico)</v>
      </c>
      <c r="G87" s="117">
        <f>'E-IH-RM-COM'!J17</f>
        <v>7.3333333333333339</v>
      </c>
      <c r="H87" s="113" t="str">
        <f t="shared" si="18"/>
        <v>MD</v>
      </c>
      <c r="I87" s="10">
        <v>2</v>
      </c>
      <c r="J87" s="113" t="str">
        <f t="shared" si="9"/>
        <v>EO</v>
      </c>
      <c r="K87" s="11">
        <f t="shared" si="10"/>
        <v>14.666666666666668</v>
      </c>
      <c r="L87" s="113" t="str">
        <f t="shared" si="19"/>
        <v>A</v>
      </c>
      <c r="M87" s="10">
        <v>60</v>
      </c>
      <c r="N87" s="113" t="str">
        <f t="shared" si="11"/>
        <v>MG</v>
      </c>
      <c r="O87" s="42">
        <f t="shared" si="17"/>
        <v>880</v>
      </c>
      <c r="P87" s="113" t="str">
        <f t="shared" si="20"/>
        <v>I</v>
      </c>
      <c r="Q87" s="114" t="str">
        <f t="shared" si="21"/>
        <v>Situación Crítica.
Corrección urgente.</v>
      </c>
      <c r="R87" s="114" t="str">
        <f t="shared" si="22"/>
        <v>Lesiones graves que pueden ser irreparables.</v>
      </c>
      <c r="S87" s="114" t="s">
        <v>24</v>
      </c>
      <c r="T87" s="46"/>
    </row>
    <row r="88" spans="1:20" ht="57">
      <c r="A88" s="63"/>
      <c r="B88" s="113" t="s">
        <v>24</v>
      </c>
      <c r="C88" s="114" t="str">
        <f t="shared" si="16"/>
        <v>Manipulación de máquinas/ herramientas</v>
      </c>
      <c r="D88" s="9" t="s">
        <v>30</v>
      </c>
      <c r="E88" s="114" t="str">
        <f t="shared" si="8"/>
        <v>Golpes/cortes por objetos o herramientas</v>
      </c>
      <c r="F88" s="114" t="str">
        <f t="shared" si="7"/>
        <v>Riesgo de seguridad (Riesgo Mecánico)</v>
      </c>
      <c r="G88" s="117">
        <f>'E-IH-RM-CGOH'!J17</f>
        <v>2.8571428571428572</v>
      </c>
      <c r="H88" s="113" t="str">
        <f t="shared" si="18"/>
        <v>D</v>
      </c>
      <c r="I88" s="10">
        <v>2</v>
      </c>
      <c r="J88" s="113" t="str">
        <f t="shared" si="9"/>
        <v>EO</v>
      </c>
      <c r="K88" s="11">
        <f t="shared" si="10"/>
        <v>5.7142857142857144</v>
      </c>
      <c r="L88" s="113" t="str">
        <f t="shared" si="19"/>
        <v>M</v>
      </c>
      <c r="M88" s="10">
        <v>25</v>
      </c>
      <c r="N88" s="113" t="str">
        <f t="shared" si="11"/>
        <v>G</v>
      </c>
      <c r="O88" s="42">
        <f t="shared" si="17"/>
        <v>143</v>
      </c>
      <c r="P88" s="113" t="str">
        <f t="shared" si="20"/>
        <v>II</v>
      </c>
      <c r="Q88" s="114" t="str">
        <f t="shared" si="21"/>
        <v>Corregir
y adoptar medidas de control.</v>
      </c>
      <c r="R88" s="114" t="str">
        <f t="shared" si="22"/>
        <v>Lesiones con incapacidad laboral transitoria (I. L. T.).</v>
      </c>
      <c r="S88" s="114" t="s">
        <v>24</v>
      </c>
      <c r="T88" s="46"/>
    </row>
    <row r="89" spans="1:20" ht="85.5">
      <c r="A89" s="63"/>
      <c r="B89" s="113" t="s">
        <v>24</v>
      </c>
      <c r="C89" s="114" t="str">
        <f t="shared" si="16"/>
        <v>Operaciones de conformado</v>
      </c>
      <c r="D89" s="9" t="s">
        <v>31</v>
      </c>
      <c r="E89" s="114" t="str">
        <f t="shared" si="8"/>
        <v>Proyección de fragmentos o partículas</v>
      </c>
      <c r="F89" s="114" t="str">
        <f t="shared" si="7"/>
        <v>Riesgo de seguridad (Riesgo Mecánico)</v>
      </c>
      <c r="G89" s="117">
        <f>'E-IH-RM-PFP'!J13</f>
        <v>5.8333333333333339</v>
      </c>
      <c r="H89" s="113" t="str">
        <f t="shared" si="18"/>
        <v>D</v>
      </c>
      <c r="I89" s="10">
        <v>2</v>
      </c>
      <c r="J89" s="113" t="str">
        <f t="shared" si="9"/>
        <v>EO</v>
      </c>
      <c r="K89" s="11">
        <f t="shared" si="10"/>
        <v>11.666666666666668</v>
      </c>
      <c r="L89" s="113" t="str">
        <f t="shared" si="19"/>
        <v>A</v>
      </c>
      <c r="M89" s="10">
        <v>10</v>
      </c>
      <c r="N89" s="113" t="str">
        <f t="shared" si="11"/>
        <v>L</v>
      </c>
      <c r="O89" s="42">
        <f t="shared" si="17"/>
        <v>117</v>
      </c>
      <c r="P89" s="113" t="str">
        <f t="shared" si="20"/>
        <v>III</v>
      </c>
      <c r="Q89" s="114" t="str">
        <f t="shared" si="21"/>
        <v>Mejorar si es posible. Sería conveniente justificar la intervención y su rentabilidad.</v>
      </c>
      <c r="R89" s="114" t="str">
        <f t="shared" si="22"/>
        <v>Pequeñas lesiones que no requieren hospitalización.</v>
      </c>
      <c r="S89" s="114" t="s">
        <v>24</v>
      </c>
      <c r="T89" s="46"/>
    </row>
    <row r="90" spans="1:20" ht="85.5">
      <c r="A90" s="63"/>
      <c r="B90" s="113" t="s">
        <v>24</v>
      </c>
      <c r="C90" s="114" t="str">
        <f t="shared" si="16"/>
        <v>Situaciones fortuitas</v>
      </c>
      <c r="D90" s="9" t="s">
        <v>34</v>
      </c>
      <c r="E90" s="114" t="str">
        <f t="shared" si="8"/>
        <v>Otros riesgos de accidente a) inherentes a la manipulación de herramientas eléctricas</v>
      </c>
      <c r="F90" s="114" t="str">
        <f t="shared" si="7"/>
        <v>Riesgo de seguridad (Riesgo Mecánico)</v>
      </c>
      <c r="G90" s="117">
        <f>'E-IH-RM-ORAa'!J15</f>
        <v>1.5384615384615383</v>
      </c>
      <c r="H90" s="113" t="str">
        <f>IF(G90="","",IF(AND(G90&lt;=10,G90&gt;6),"MD",IF(AND(G90&lt;=6,G90&gt;2),"D",IF(AND(G90&lt;=2,G90&gt;0),"M",IF(G90=0,"B")))))</f>
        <v>M</v>
      </c>
      <c r="I90" s="10">
        <v>2</v>
      </c>
      <c r="J90" s="113" t="str">
        <f>IF(I90=4,"EC",IF(I90=3,"EF",IF(I90=2,"EO",IF(I90=1,"EE",""))))</f>
        <v>EO</v>
      </c>
      <c r="K90" s="11">
        <f>IF(I90="","",G90*I90)</f>
        <v>3.0769230769230766</v>
      </c>
      <c r="L90" s="113" t="str">
        <f>IF(K90="","",IF(K90&gt;=24,"MA",IF(AND(K90&lt;24,K90&gt;8),"A",IF(AND(K90&lt;=8,K90&gt;4),"M",IF(AND(K90&lt;=4,K90&gt;=0),"B")))))</f>
        <v>B</v>
      </c>
      <c r="M90" s="10">
        <v>10</v>
      </c>
      <c r="N90" s="113" t="str">
        <f>IF(M90="","",IF(M90=100,"M",IF(M90=60,"MG",IF(M90=25,"G",IF(M90=10,"L","")))))</f>
        <v>L</v>
      </c>
      <c r="O90" s="42">
        <f t="shared" si="17"/>
        <v>31</v>
      </c>
      <c r="P90" s="113" t="str">
        <f>IF(O90="","",IF(O90="","",IF(AND(O90&lt;=4000,O90&gt;500),"I",IF(AND(O90&lt;=500,O90&gt;120),"II",IF(AND(O90&lt;=120,O90&gt;20),"III",IF(O90&lt;=20,"IV"))))))</f>
        <v>III</v>
      </c>
      <c r="Q90" s="114" t="str">
        <f>IF(P90="","",IF(P90="I","Situación Crítica.
Corrección urgente.",IF(P90="II","Corregir
y adoptar medidas de control.",IF(P90="III","Mejorar si es posible. Sería conveniente justificar la intervención y su rentabilidad.",IF(P90="IV","No intervenir, salvo que un análisis más preciso lo justifique.")))))</f>
        <v>Mejorar si es posible. Sería conveniente justificar la intervención y su rentabilidad.</v>
      </c>
      <c r="R90" s="114" t="str">
        <f>IF(M90=10,"Pequeñas lesiones que no requieren hospitalización.",IF(M90=25,"Lesiones con incapacidad laboral transitoria (I. L. T.).",IF(M90=60,"Lesiones graves que pueden ser irreparables.",IF(M90=100,"1 muerto o más."))))</f>
        <v>Pequeñas lesiones que no requieren hospitalización.</v>
      </c>
      <c r="S90" s="114" t="s">
        <v>24</v>
      </c>
      <c r="T90" s="46"/>
    </row>
    <row r="91" spans="1:20" ht="85.5">
      <c r="A91" s="63"/>
      <c r="B91" s="113" t="s">
        <v>24</v>
      </c>
      <c r="C91" s="114" t="str">
        <f t="shared" si="16"/>
        <v>Situaciones fortuitas</v>
      </c>
      <c r="D91" s="9" t="s">
        <v>35</v>
      </c>
      <c r="E91" s="114" t="str">
        <f t="shared" si="8"/>
        <v>Otros riesgos de accidente b) Inherentes a la manipulación de herramientas manuales</v>
      </c>
      <c r="F91" s="114" t="str">
        <f t="shared" si="7"/>
        <v>Riesgo de seguridad (Riesgo Mecánico)</v>
      </c>
      <c r="G91" s="117">
        <f>'E-IH-RM-ORAb'!J15</f>
        <v>2</v>
      </c>
      <c r="H91" s="113" t="str">
        <f>IF(G91="","",IF(AND(G91&lt;=10,G91&gt;6),"MD",IF(AND(G91&lt;=6,G91&gt;2),"D",IF(AND(G91&lt;=2,G91&gt;0),"M",IF(G91=0,"B")))))</f>
        <v>M</v>
      </c>
      <c r="I91" s="10">
        <v>2</v>
      </c>
      <c r="J91" s="113" t="str">
        <f>IF(I91=4,"EC",IF(I91=3,"EF",IF(I91=2,"EO",IF(I91=1,"EE",""))))</f>
        <v>EO</v>
      </c>
      <c r="K91" s="11">
        <f>IF(I91="","",G91*I91)</f>
        <v>4</v>
      </c>
      <c r="L91" s="113" t="str">
        <f>IF(K91="","",IF(K91&gt;=24,"MA",IF(AND(K91&lt;24,K91&gt;8),"A",IF(AND(K91&lt;=8,K91&gt;4),"M",IF(AND(K91&lt;=4,K91&gt;=0),"B")))))</f>
        <v>B</v>
      </c>
      <c r="M91" s="10">
        <v>10</v>
      </c>
      <c r="N91" s="113" t="str">
        <f>IF(M91="","",IF(M91=100,"M",IF(M91=60,"MG",IF(M91=25,"G",IF(M91=10,"L","")))))</f>
        <v>L</v>
      </c>
      <c r="O91" s="42">
        <f t="shared" si="17"/>
        <v>40</v>
      </c>
      <c r="P91" s="113" t="str">
        <f>IF(O91="","",IF(O91="","",IF(AND(O91&lt;=4000,O91&gt;500),"I",IF(AND(O91&lt;=500,O91&gt;120),"II",IF(AND(O91&lt;=120,O91&gt;20),"III",IF(O91&lt;=20,"IV"))))))</f>
        <v>III</v>
      </c>
      <c r="Q91" s="114" t="str">
        <f>IF(P91="","",IF(P91="I","Situación Crítica.
Corrección urgente.",IF(P91="II","Corregir
y adoptar medidas de control.",IF(P91="III","Mejorar si es posible. Sería conveniente justificar la intervención y su rentabilidad.",IF(P91="IV","No intervenir, salvo que un análisis más preciso lo justifique.")))))</f>
        <v>Mejorar si es posible. Sería conveniente justificar la intervención y su rentabilidad.</v>
      </c>
      <c r="R91" s="114" t="str">
        <f>IF(M91=10,"Pequeñas lesiones que no requieren hospitalización.",IF(M91=25,"Lesiones con incapacidad laboral transitoria (I. L. T.).",IF(M91=60,"Lesiones graves que pueden ser irreparables.",IF(M91=100,"1 muerto o más."))))</f>
        <v>Pequeñas lesiones que no requieren hospitalización.</v>
      </c>
      <c r="S91" s="114" t="s">
        <v>24</v>
      </c>
      <c r="T91" s="46"/>
    </row>
    <row r="92" spans="1:20" ht="57">
      <c r="A92" s="63"/>
      <c r="B92" s="113" t="s">
        <v>24</v>
      </c>
      <c r="C92" s="114" t="str">
        <f t="shared" si="16"/>
        <v>Energía eléctrica</v>
      </c>
      <c r="D92" s="9" t="s">
        <v>36</v>
      </c>
      <c r="E92" s="114" t="str">
        <f t="shared" si="8"/>
        <v>Contactos Eléctricos</v>
      </c>
      <c r="F92" s="114" t="str">
        <f t="shared" si="7"/>
        <v>Riesgo de seguridad (Riesgo Eléctrico)</v>
      </c>
      <c r="G92" s="117">
        <f>'E-IH-RE-CE'!J20</f>
        <v>8.108108108108107</v>
      </c>
      <c r="H92" s="113" t="str">
        <f t="shared" si="18"/>
        <v>MD</v>
      </c>
      <c r="I92" s="10">
        <v>2</v>
      </c>
      <c r="J92" s="113" t="str">
        <f t="shared" si="9"/>
        <v>EO</v>
      </c>
      <c r="K92" s="11">
        <f t="shared" si="10"/>
        <v>16.216216216216214</v>
      </c>
      <c r="L92" s="113" t="str">
        <f t="shared" si="19"/>
        <v>A</v>
      </c>
      <c r="M92" s="10">
        <v>25</v>
      </c>
      <c r="N92" s="113" t="str">
        <f t="shared" si="11"/>
        <v>G</v>
      </c>
      <c r="O92" s="42">
        <f t="shared" si="17"/>
        <v>405</v>
      </c>
      <c r="P92" s="113" t="str">
        <f t="shared" si="20"/>
        <v>II</v>
      </c>
      <c r="Q92" s="114" t="str">
        <f t="shared" si="21"/>
        <v>Corregir
y adoptar medidas de control.</v>
      </c>
      <c r="R92" s="114" t="str">
        <f t="shared" si="22"/>
        <v>Lesiones con incapacidad laboral transitoria (I. L. T.).</v>
      </c>
      <c r="S92" s="114" t="s">
        <v>24</v>
      </c>
      <c r="T92" s="46"/>
    </row>
    <row r="93" spans="1:20" ht="57">
      <c r="A93" s="63"/>
      <c r="B93" s="113" t="s">
        <v>24</v>
      </c>
      <c r="C93" s="114" t="str">
        <f t="shared" si="16"/>
        <v>Posturas forzadas/ manipulación manual de cargas</v>
      </c>
      <c r="D93" s="9" t="s">
        <v>37</v>
      </c>
      <c r="E93" s="114" t="str">
        <f t="shared" si="8"/>
        <v>Sobreesfuerzos</v>
      </c>
      <c r="F93" s="114" t="str">
        <f t="shared" si="7"/>
        <v>Riesgo Ergonómico</v>
      </c>
      <c r="G93" s="117">
        <f>'E-IH-RC-RE-S'!I15</f>
        <v>10.000000000000002</v>
      </c>
      <c r="H93" s="113" t="str">
        <f t="shared" si="18"/>
        <v>MD</v>
      </c>
      <c r="I93" s="10">
        <v>2</v>
      </c>
      <c r="J93" s="113" t="str">
        <f>IF(I93=4,"EC",IF(I93=3,"EF",IF(I93=2,"EO",IF(I93=1,"EE",""))))</f>
        <v>EO</v>
      </c>
      <c r="K93" s="11">
        <f t="shared" ref="K93:K98" si="24">IF(I93="","",G93*I93)</f>
        <v>20.000000000000004</v>
      </c>
      <c r="L93" s="113" t="str">
        <f t="shared" si="19"/>
        <v>A</v>
      </c>
      <c r="M93" s="10">
        <v>25</v>
      </c>
      <c r="N93" s="113" t="str">
        <f>IF(M93="","",IF(M93=100,"M",IF(M93=60,"MG",IF(M93=25,"G",IF(M93=10,"L","")))))</f>
        <v>G</v>
      </c>
      <c r="O93" s="42">
        <f t="shared" si="17"/>
        <v>500</v>
      </c>
      <c r="P93" s="113" t="str">
        <f t="shared" si="20"/>
        <v>II</v>
      </c>
      <c r="Q93" s="114" t="str">
        <f t="shared" si="21"/>
        <v>Corregir
y adoptar medidas de control.</v>
      </c>
      <c r="R93" s="114" t="str">
        <f t="shared" si="22"/>
        <v>Lesiones con incapacidad laboral transitoria (I. L. T.).</v>
      </c>
      <c r="S93" s="114" t="s">
        <v>24</v>
      </c>
      <c r="T93" s="46"/>
    </row>
    <row r="94" spans="1:20" ht="57">
      <c r="A94" s="63" t="s">
        <v>50</v>
      </c>
      <c r="B94" s="113" t="s">
        <v>24</v>
      </c>
      <c r="C94" s="114" t="str">
        <f t="shared" si="16"/>
        <v>Niveles sonoros</v>
      </c>
      <c r="D94" s="9" t="s">
        <v>25</v>
      </c>
      <c r="E94" s="114" t="str">
        <f>IF(D94="","",IF(D94="010-E","Caída de personas a distinto nivel",IF(D94="020-E","Caída de personas al mismo nivel",IF(D94="030-E","Caída de objetos por desplome",IF(D94="040-E","Caída de objetos en manipulación",IF(D94="090-E","Golpes/cortes por objetos o herramientas",IF(D94="110-E","Atrapamiento por o entre objetos",IF(D94="100-E","Proyección de fragmentos o partículas",IF(D94="230-E","Atropellos o golpes con vehículos",IF(D94="250a-E","Otros riesgos de accidente a) inherentes a la manipulación de herramientas eléctricas",IF(D94="250b-E","Otros riesgos de accidente b) Inherentes a la manipulación de herramientas manuales",IF(D94="160-E","Contactos Eléctricos",IF(D94="150a-E","Contactos térmicos a) inherentes al trabajador",IF(D94="150b-E","Contactos térmicos b) inherentes a la manipulación de elementos estructurales",IF(D94="150c-E","Contactos térmicos c) inherentes al proceso de soldadura",IF(D94="570","Organización del trabajo incorrecta",IF(D94="120-I","Atrapamiento por vuelco de máquinas",IF(D94="","",IF(D94="010-I","Caída de personas a distinto nivel",IF(D94="020-I","Caída de personas al mismo nivel",IF(D94="030-I","Caída de objetos por desplome",IF(D94="040-I","Caída de objetos en manipulación",IF(D94="090-I","Golpes/cortes por objetos o herramientas",IF(D94="110-I","Atrapamiento por o entre objetos",IF(D94="100-I","Proyección de fragmentos o partículas",IF(D94="230-I","Atropellos o golpes con vehículos",IF(D94="250a-I","Otros riesgos de accidente a) inherentes a la manipulación de herramientas eléctricas",IF(D94="250b-I","Otros riesgos de accidente b) Inherentes a la manipulación de herramientas manuales",IF(D94="390","Otra exposición a) asfixia o intoxicación",IF(D94="160-I","Contactos Eléctricos",IF(D94="570","Organización del trabajo incorrecta",IF(D94="120-I","Atrapamiento por vuelco de máquinas",IF(D94="330","Ruido",IF(D94="340","Vibración",IF(D94="360","Radiaciones ionizantes",IF(D94="170","Exposición a sustancias nocivas",IF(D94="130","Sobreesfuerzos",IF(D94="380","Iluminación",IF(D94="330","Ruido",IF(D94="340","Vibración",IF(D94="360","Radiaciones ionizantes",IF(D94="170","Exposición a sustancias nocivas",IF(D94="130","Sobreesfuerzos",IF(D94="380","Iluminación"))))))))))))))))))))))))))))))))))))))))))))</f>
        <v>Ruido</v>
      </c>
      <c r="F94" s="114" t="str">
        <f>IF(D94="","",IF(D94="010-E","Riesgo de seguridad (Riesgo Mecánico)",IF(D94="020-E","Riesgo de seguridad (Riesgo Mecánico)",IF(D94="030-E","Riesgo de seguridad (Riesgo Mecánico)",IF(D94="040-E","Riesgo de seguridad (Riesgo Mecánico)",IF(D94="090-E","Riesgo de seguridad (Riesgo Mecánico)",IF(D94="110-E","Riesgo de seguridad (Riesgo Mecánico)",IF(D94="100-E","Riesgo de seguridad (Riesgo Mecánico)",IF(D94="230-E","Riesgo de seguridad (Riesgo Mecánico)",IF(D94="250a-E","Riesgo de seguridad (Riesgo Mecánico)",IF(D94="250b-E","Riesgo de seguridad (Riesgo Mecánico)",IF(D94="160-E","Riesgo de seguridad (Riesgo Eléctrico)",IF(D94="150a-E","Riesgo de seguridad (Riesgo Industrial Mayor)",IF(D94="150b-E","Riesgo de seguridad (Riesgo Industrial Mayor)",IF(D94="150c-E","Riesgo de seguridad (Riesgo Industrial Mayor)",IF(D94="570","Riesgo de seguridad (Riesgo Locativo)",IF(D94="120-I","Riesgo Mecánico",IF(D94="330","Riesgo Físico",IF(D94="340","Riesgo Físico",IF(D94="360","Riesgo Físico",IF(D94="170","Riesgo Químico",IF(D94="130","Riesgo Ergonómico",IF(D94="380","Riesgo Físico",IF(D94="010-I","Riesgo de seguridad (Riesgo Mecánico)",IF(D94="020-I","Riesgo de seguridad (Riesgo Mecánico)",IF(D94="030-I","Riesgo de seguridad (Riesgo Mecánico)",IF(D94="040-I","Riesgo de seguridad (Riesgo Mecánico)",IF(D94="090-I","Riesgo de seguridad (Riesgo Mecánico)",IF(D94="110-I","Riesgo de seguridad (Riesgo Mecánico)",IF(D94="100-I","Riesgo de seguridad (Riesgo Mecánico)",IF(D94="230-I","Riesgo de seguridad (Riesgo Mecánico)",IF(D94="250a-I","Riesgo de seguridad (Riesgo Mecánico)",IF(D94="250b-I","Riesgo de seguridad (Riesgo Mecánico)",IF(D94="160-I","Riesgo de seguridad (Riesgo Eléctrico)",IF(D94="590","Riesgo de seguridad (Riesgo Mecánico)")))))))))))))))))))))))))))))))))))</f>
        <v>Riesgo Físico</v>
      </c>
      <c r="G94" s="117">
        <f>'E-A-RC-RF-R'!I13</f>
        <v>10</v>
      </c>
      <c r="H94" s="113" t="str">
        <f t="shared" si="18"/>
        <v>MD</v>
      </c>
      <c r="I94" s="10">
        <v>3</v>
      </c>
      <c r="J94" s="113" t="str">
        <f>IF(I94=4,"EC",IF(I94=3,"EF",IF(I94=2,"EO",IF(I94=1,"EE",""))))</f>
        <v>EF</v>
      </c>
      <c r="K94" s="11">
        <f t="shared" si="24"/>
        <v>30</v>
      </c>
      <c r="L94" s="113" t="str">
        <f t="shared" si="19"/>
        <v>MA</v>
      </c>
      <c r="M94" s="10">
        <v>25</v>
      </c>
      <c r="N94" s="113" t="str">
        <f>IF(M94="","",IF(M94=100,"M",IF(M94=60,"MG",IF(M94=25,"G",IF(M94=10,"L","")))))</f>
        <v>G</v>
      </c>
      <c r="O94" s="42">
        <f t="shared" si="17"/>
        <v>750</v>
      </c>
      <c r="P94" s="113" t="str">
        <f t="shared" si="20"/>
        <v>I</v>
      </c>
      <c r="Q94" s="114" t="str">
        <f t="shared" si="21"/>
        <v>Situación Crítica.
Corrección urgente.</v>
      </c>
      <c r="R94" s="114" t="str">
        <f t="shared" si="22"/>
        <v>Lesiones con incapacidad laboral transitoria (I. L. T.).</v>
      </c>
      <c r="S94" s="114" t="s">
        <v>24</v>
      </c>
      <c r="T94" s="46"/>
    </row>
    <row r="95" spans="1:20" ht="57">
      <c r="A95" s="63"/>
      <c r="B95" s="113" t="s">
        <v>24</v>
      </c>
      <c r="C95" s="114" t="str">
        <f t="shared" si="16"/>
        <v>Movimientos oscilatorios</v>
      </c>
      <c r="D95" s="9" t="s">
        <v>39</v>
      </c>
      <c r="E95" s="114" t="str">
        <f>IF(D95="","",IF(D95="010-E","Caída de personas a distinto nivel",IF(D95="020-E","Caída de personas al mismo nivel",IF(D95="030-E","Caída de objetos por desplome",IF(D95="040-E","Caída de objetos en manipulación",IF(D95="090-E","Golpes/cortes por objetos o herramientas",IF(D95="110-E","Atrapamiento por o entre objetos",IF(D95="100-E","Proyección de fragmentos o partículas",IF(D95="230-E","Atropellos o golpes con vehículos",IF(D95="250a-E","Otros riesgos de accidente a) inherentes a la manipulación de herramientas eléctricas",IF(D95="250b-E","Otros riesgos de accidente b) Inherentes a la manipulación de herramientas manuales",IF(D95="160-E","Contactos Eléctricos",IF(D95="150a-E","Contactos térmicos a) inherentes al trabajador",IF(D95="150b-E","Contactos térmicos b) inherentes a la manipulación de elementos estructurales",IF(D95="150c-E","Contactos térmicos c) inherentes al proceso de soldadura",IF(D95="570","Organización del trabajo incorrecta",IF(D95="120-I","Atrapamiento por vuelco de máquinas",IF(D95="","",IF(D95="010-I","Caída de personas a distinto nivel",IF(D95="020-I","Caída de personas al mismo nivel",IF(D95="030-I","Caída de objetos por desplome",IF(D95="040-I","Caída de objetos en manipulación",IF(D95="090-I","Golpes/cortes por objetos o herramientas",IF(D95="110-I","Atrapamiento por o entre objetos",IF(D95="100-I","Proyección de fragmentos o partículas",IF(D95="230-I","Atropellos o golpes con vehículos",IF(D95="250a-I","Otros riesgos de accidente a) inherentes a la manipulación de herramientas eléctricas",IF(D95="250b-I","Otros riesgos de accidente b) Inherentes a la manipulación de herramientas manuales",IF(D95="390","Otra exposición a) asfixia o intoxicación",IF(D95="160-I","Contactos Eléctricos",IF(D95="570","Organización del trabajo incorrecta",IF(D95="120-I","Atrapamiento por vuelco de máquinas",IF(D95="330","Ruido",IF(D95="340","Vibración",IF(D95="360","Radiaciones ionizantes",IF(D95="170","Exposición a sustancias nocivas",IF(D95="130","Sobreesfuerzos",IF(D95="380","Iluminación",IF(D95="330","Ruido",IF(D95="340","Vibración",IF(D95="360","Radiaciones ionizantes",IF(D95="170","Exposición a sustancias nocivas",IF(D95="130","Sobreesfuerzos",IF(D95="380","Iluminación"))))))))))))))))))))))))))))))))))))))))))))</f>
        <v>Vibración</v>
      </c>
      <c r="F95" s="114" t="str">
        <f>IF(D95="","",IF(D95="010-E","Riesgo de seguridad (Riesgo Mecánico)",IF(D95="020-E","Riesgo de seguridad (Riesgo Mecánico)",IF(D95="030-E","Riesgo de seguridad (Riesgo Mecánico)",IF(D95="040-E","Riesgo de seguridad (Riesgo Mecánico)",IF(D95="090-E","Riesgo de seguridad (Riesgo Mecánico)",IF(D95="110-E","Riesgo de seguridad (Riesgo Mecánico)",IF(D95="100-E","Riesgo de seguridad (Riesgo Mecánico)",IF(D95="230-E","Riesgo de seguridad (Riesgo Mecánico)",IF(D95="250a-E","Riesgo de seguridad (Riesgo Mecánico)",IF(D95="250b-E","Riesgo de seguridad (Riesgo Mecánico)",IF(D95="160-E","Riesgo de seguridad (Riesgo Eléctrico)",IF(D95="150a-E","Riesgo de seguridad (Riesgo Industrial Mayor)",IF(D95="150b-E","Riesgo de seguridad (Riesgo Industrial Mayor)",IF(D95="150c-E","Riesgo de seguridad (Riesgo Industrial Mayor)",IF(D95="570","Riesgo de seguridad (Riesgo Locativo)",IF(D95="120-I","Riesgo Mecánico",IF(D95="330","Riesgo Físico",IF(D95="340","Riesgo Físico",IF(D95="360","Riesgo Físico",IF(D95="170","Riesgo Químico",IF(D95="130","Riesgo Ergonómico",IF(D95="380","Riesgo Físico",IF(D95="010-I","Riesgo de seguridad (Riesgo Mecánico)",IF(D95="020-I","Riesgo de seguridad (Riesgo Mecánico)",IF(D95="030-I","Riesgo de seguridad (Riesgo Mecánico)",IF(D95="040-I","Riesgo de seguridad (Riesgo Mecánico)",IF(D95="090-I","Riesgo de seguridad (Riesgo Mecánico)",IF(D95="110-I","Riesgo de seguridad (Riesgo Mecánico)",IF(D95="100-I","Riesgo de seguridad (Riesgo Mecánico)",IF(D95="230-I","Riesgo de seguridad (Riesgo Mecánico)",IF(D95="250a-I","Riesgo de seguridad (Riesgo Mecánico)",IF(D95="250b-I","Riesgo de seguridad (Riesgo Mecánico)",IF(D95="160-I","Riesgo de seguridad (Riesgo Eléctrico)",IF(D95="590","Riesgo de seguridad (Riesgo Mecánico)")))))))))))))))))))))))))))))))))))</f>
        <v>Riesgo Físico</v>
      </c>
      <c r="G95" s="117">
        <f>'E-A-RC-RF-V'!I13</f>
        <v>10</v>
      </c>
      <c r="H95" s="113" t="str">
        <f t="shared" si="18"/>
        <v>MD</v>
      </c>
      <c r="I95" s="10">
        <v>3</v>
      </c>
      <c r="J95" s="113" t="str">
        <f>IF(I95=4,"EC",IF(I95=3,"EF",IF(I95=2,"EO",IF(I95=1,"EE",""))))</f>
        <v>EF</v>
      </c>
      <c r="K95" s="11">
        <f t="shared" si="24"/>
        <v>30</v>
      </c>
      <c r="L95" s="113" t="str">
        <f t="shared" si="19"/>
        <v>MA</v>
      </c>
      <c r="M95" s="10">
        <v>25</v>
      </c>
      <c r="N95" s="113" t="str">
        <f>IF(M95="","",IF(M95=100,"M",IF(M95=60,"MG",IF(M95=25,"G",IF(M95=10,"L","")))))</f>
        <v>G</v>
      </c>
      <c r="O95" s="42">
        <f t="shared" si="17"/>
        <v>750</v>
      </c>
      <c r="P95" s="113" t="str">
        <f t="shared" si="20"/>
        <v>I</v>
      </c>
      <c r="Q95" s="114" t="str">
        <f t="shared" si="21"/>
        <v>Situación Crítica.
Corrección urgente.</v>
      </c>
      <c r="R95" s="114" t="str">
        <f t="shared" si="22"/>
        <v>Lesiones con incapacidad laboral transitoria (I. L. T.).</v>
      </c>
      <c r="S95" s="114" t="s">
        <v>24</v>
      </c>
      <c r="T95" s="46"/>
    </row>
    <row r="96" spans="1:20" ht="85.5">
      <c r="A96" s="63"/>
      <c r="B96" s="113" t="s">
        <v>24</v>
      </c>
      <c r="C96" s="114" t="str">
        <f t="shared" si="16"/>
        <v>Niveles lumínicos</v>
      </c>
      <c r="D96" s="9" t="s">
        <v>26</v>
      </c>
      <c r="E96" s="114" t="str">
        <f>IF(D96="","",IF(D96="010-E","Caída de personas a distinto nivel",IF(D96="020-E","Caída de personas al mismo nivel",IF(D96="030-E","Caída de objetos por desplome",IF(D96="040-E","Caída de objetos en manipulación",IF(D96="090-E","Golpes/cortes por objetos o herramientas",IF(D96="110-E","Atrapamiento por o entre objetos",IF(D96="100-E","Proyección de fragmentos o partículas",IF(D96="230-E","Atropellos o golpes con vehículos",IF(D96="250a-E","Otros riesgos de accidente a) inherentes a la manipulación de herramientas eléctricas",IF(D96="250b-E","Otros riesgos de accidente b) Inherentes a la manipulación de herramientas manuales",IF(D96="160-E","Contactos Eléctricos",IF(D96="150a-E","Contactos térmicos a) inherentes al trabajador",IF(D96="150b-E","Contactos térmicos b) inherentes a la manipulación de elementos estructurales",IF(D96="150c-E","Contactos térmicos c) inherentes al proceso de soldadura",IF(D96="570","Organización del trabajo incorrecta",IF(D96="120-I","Atrapamiento por vuelco de máquinas",IF(D96="","",IF(D96="010-I","Caída de personas a distinto nivel",IF(D96="020-I","Caída de personas al mismo nivel",IF(D96="030-I","Caída de objetos por desplome",IF(D96="040-I","Caída de objetos en manipulación",IF(D96="090-I","Golpes/cortes por objetos o herramientas",IF(D96="110-I","Atrapamiento por o entre objetos",IF(D96="100-I","Proyección de fragmentos o partículas",IF(D96="230-I","Atropellos o golpes con vehículos",IF(D96="250a-I","Otros riesgos de accidente a) inherentes a la manipulación de herramientas eléctricas",IF(D96="250b-I","Otros riesgos de accidente b) Inherentes a la manipulación de herramientas manuales",IF(D96="390","Otra exposición a) asfixia o intoxicación",IF(D96="160-I","Contactos Eléctricos",IF(D96="570","Organización del trabajo incorrecta",IF(D96="120-I","Atrapamiento por vuelco de máquinas",IF(D96="330","Ruido",IF(D96="340","Vibración",IF(D96="360","Radiaciones ionizantes",IF(D96="170","Exposición a sustancias nocivas",IF(D96="130","Sobreesfuerzos",IF(D96="380","Iluminación",IF(D96="330","Ruido",IF(D96="340","Vibración",IF(D96="360","Radiaciones ionizantes",IF(D96="170","Exposición a sustancias nocivas",IF(D96="130","Sobreesfuerzos",IF(D96="380","Iluminación"))))))))))))))))))))))))))))))))))))))))))))</f>
        <v>Iluminación</v>
      </c>
      <c r="F96" s="114" t="str">
        <f>IF(D96="","",IF(D96="010-E","Riesgo de seguridad (Riesgo Mecánico)",IF(D96="020-E","Riesgo de seguridad (Riesgo Mecánico)",IF(D96="030-E","Riesgo de seguridad (Riesgo Mecánico)",IF(D96="040-E","Riesgo de seguridad (Riesgo Mecánico)",IF(D96="090-E","Riesgo de seguridad (Riesgo Mecánico)",IF(D96="110-E","Riesgo de seguridad (Riesgo Mecánico)",IF(D96="100-E","Riesgo de seguridad (Riesgo Mecánico)",IF(D96="230-E","Riesgo de seguridad (Riesgo Mecánico)",IF(D96="250a-E","Riesgo de seguridad (Riesgo Mecánico)",IF(D96="250b-E","Riesgo de seguridad (Riesgo Mecánico)",IF(D96="160-E","Riesgo de seguridad (Riesgo Eléctrico)",IF(D96="150a-E","Riesgo de seguridad (Riesgo Industrial Mayor)",IF(D96="150b-E","Riesgo de seguridad (Riesgo Industrial Mayor)",IF(D96="150c-E","Riesgo de seguridad (Riesgo Industrial Mayor)",IF(D96="570","Riesgo de seguridad (Riesgo Locativo)",IF(D96="120-I","Riesgo Mecánico",IF(D96="330","Riesgo Físico",IF(D96="340","Riesgo Físico",IF(D96="360","Riesgo Físico",IF(D96="170","Riesgo Químico",IF(D96="130","Riesgo Ergonómico",IF(D96="380","Riesgo Físico",IF(D96="010-I","Riesgo de seguridad (Riesgo Mecánico)",IF(D96="020-I","Riesgo de seguridad (Riesgo Mecánico)",IF(D96="030-I","Riesgo de seguridad (Riesgo Mecánico)",IF(D96="040-I","Riesgo de seguridad (Riesgo Mecánico)",IF(D96="090-I","Riesgo de seguridad (Riesgo Mecánico)",IF(D96="110-I","Riesgo de seguridad (Riesgo Mecánico)",IF(D96="100-I","Riesgo de seguridad (Riesgo Mecánico)",IF(D96="230-I","Riesgo de seguridad (Riesgo Mecánico)",IF(D96="250a-I","Riesgo de seguridad (Riesgo Mecánico)",IF(D96="250b-I","Riesgo de seguridad (Riesgo Mecánico)",IF(D96="160-I","Riesgo de seguridad (Riesgo Eléctrico)",IF(D96="590","Riesgo de seguridad (Riesgo Mecánico)")))))))))))))))))))))))))))))))))))</f>
        <v>Riesgo Físico</v>
      </c>
      <c r="G96" s="117">
        <f>'E-A-RC-RF-I'!I12</f>
        <v>9.4736842105263186</v>
      </c>
      <c r="H96" s="113" t="str">
        <f t="shared" si="18"/>
        <v>MD</v>
      </c>
      <c r="I96" s="10">
        <v>1</v>
      </c>
      <c r="J96" s="113" t="str">
        <f>IF(I96=4,"EC",IF(I96=3,"EF",IF(I96=2,"EO",IF(I96=1,"EE",""))))</f>
        <v>EE</v>
      </c>
      <c r="K96" s="11">
        <f t="shared" si="24"/>
        <v>9.4736842105263186</v>
      </c>
      <c r="L96" s="113" t="str">
        <f t="shared" si="19"/>
        <v>A</v>
      </c>
      <c r="M96" s="10">
        <v>10</v>
      </c>
      <c r="N96" s="113" t="str">
        <f>IF(M96="","",IF(M96=100,"M",IF(M96=60,"MG",IF(M96=25,"G",IF(M96=10,"L","")))))</f>
        <v>L</v>
      </c>
      <c r="O96" s="42">
        <f t="shared" si="17"/>
        <v>95</v>
      </c>
      <c r="P96" s="113" t="str">
        <f t="shared" si="20"/>
        <v>III</v>
      </c>
      <c r="Q96" s="114" t="str">
        <f t="shared" si="21"/>
        <v>Mejorar si es posible. Sería conveniente justificar la intervención y su rentabilidad.</v>
      </c>
      <c r="R96" s="114" t="str">
        <f t="shared" si="22"/>
        <v>Pequeñas lesiones que no requieren hospitalización.</v>
      </c>
      <c r="S96" s="114" t="s">
        <v>24</v>
      </c>
      <c r="T96" s="46"/>
    </row>
    <row r="97" spans="1:20" ht="57">
      <c r="A97" s="63"/>
      <c r="B97" s="113" t="s">
        <v>24</v>
      </c>
      <c r="C97" s="114" t="str">
        <f t="shared" si="16"/>
        <v>Sustancias químicas</v>
      </c>
      <c r="D97" s="9" t="s">
        <v>43</v>
      </c>
      <c r="E97" s="114" t="str">
        <f>IF(D97="","",IF(D97="010-E","Caída de personas a distinto nivel",IF(D97="020-E","Caída de personas al mismo nivel",IF(D97="030-E","Caída de objetos por desplome",IF(D97="040-E","Caída de objetos en manipulación",IF(D97="090-E","Golpes/cortes por objetos o herramientas",IF(D97="110-E","Atrapamiento por o entre objetos",IF(D97="100-E","Proyección de fragmentos o partículas",IF(D97="230-E","Atropellos o golpes con vehículos",IF(D97="250a-E","Otros riesgos de accidente a) inherentes a la manipulación de herramientas eléctricas",IF(D97="250b-E","Otros riesgos de accidente b) Inherentes a la manipulación de herramientas manuales",IF(D97="160-E","Contactos Eléctricos",IF(D97="150a-E","Contactos térmicos a) inherentes al trabajador",IF(D97="150b-E","Contactos térmicos b) inherentes a la manipulación de elementos estructurales",IF(D97="150c-E","Contactos térmicos c) inherentes al proceso de soldadura",IF(D97="570","Organización del trabajo incorrecta",IF(D97="120-I","Atrapamiento por vuelco de máquinas",IF(D97="","",IF(D97="010-I","Caída de personas a distinto nivel",IF(D97="020-I","Caída de personas al mismo nivel",IF(D97="030-I","Caída de objetos por desplome",IF(D97="040-I","Caída de objetos en manipulación",IF(D97="090-I","Golpes/cortes por objetos o herramientas",IF(D97="110-I","Atrapamiento por o entre objetos",IF(D97="100-I","Proyección de fragmentos o partículas",IF(D97="230-I","Atropellos o golpes con vehículos",IF(D97="250a-I","Otros riesgos de accidente a) inherentes a la manipulación de herramientas eléctricas",IF(D97="250b-I","Otros riesgos de accidente b) Inherentes a la manipulación de herramientas manuales",IF(D97="390","Otra exposición a) asfixia o intoxicación",IF(D97="160-I","Contactos Eléctricos",IF(D97="570","Organización del trabajo incorrecta",IF(D97="120-I","Atrapamiento por vuelco de máquinas",IF(D97="330","Ruido",IF(D97="340","Vibración",IF(D97="360","Radiaciones ionizantes",IF(D97="170","Exposición a sustancias nocivas",IF(D97="130","Sobreesfuerzos",IF(D97="380","Iluminación",IF(D97="330","Ruido",IF(D97="340","Vibración",IF(D97="360","Radiaciones ionizantes",IF(D97="170","Exposición a sustancias nocivas",IF(D97="130","Sobreesfuerzos",IF(D97="380","Iluminación"))))))))))))))))))))))))))))))))))))))))))))</f>
        <v>Exposición a sustancias nocivas</v>
      </c>
      <c r="F97" s="114" t="str">
        <f>IF(D97="","",IF(D97="010-E","Riesgo de seguridad (Riesgo Mecánico)",IF(D97="020-E","Riesgo de seguridad (Riesgo Mecánico)",IF(D97="030-E","Riesgo de seguridad (Riesgo Mecánico)",IF(D97="040-E","Riesgo de seguridad (Riesgo Mecánico)",IF(D97="090-E","Riesgo de seguridad (Riesgo Mecánico)",IF(D97="110-E","Riesgo de seguridad (Riesgo Mecánico)",IF(D97="100-E","Riesgo de seguridad (Riesgo Mecánico)",IF(D97="230-E","Riesgo de seguridad (Riesgo Mecánico)",IF(D97="250a-E","Riesgo de seguridad (Riesgo Mecánico)",IF(D97="250b-E","Riesgo de seguridad (Riesgo Mecánico)",IF(D97="160-E","Riesgo de seguridad (Riesgo Eléctrico)",IF(D97="150a-E","Riesgo de seguridad (Riesgo Industrial Mayor)",IF(D97="150b-E","Riesgo de seguridad (Riesgo Industrial Mayor)",IF(D97="150c-E","Riesgo de seguridad (Riesgo Industrial Mayor)",IF(D97="570","Riesgo de seguridad (Riesgo Locativo)",IF(D97="120-I","Riesgo Mecánico",IF(D97="330","Riesgo Físico",IF(D97="340","Riesgo Físico",IF(D97="360","Riesgo Físico",IF(D97="170","Riesgo Químico",IF(D97="130","Riesgo Ergonómico",IF(D97="380","Riesgo Físico",IF(D97="010-I","Riesgo de seguridad (Riesgo Mecánico)",IF(D97="020-I","Riesgo de seguridad (Riesgo Mecánico)",IF(D97="030-I","Riesgo de seguridad (Riesgo Mecánico)",IF(D97="040-I","Riesgo de seguridad (Riesgo Mecánico)",IF(D97="090-I","Riesgo de seguridad (Riesgo Mecánico)",IF(D97="110-I","Riesgo de seguridad (Riesgo Mecánico)",IF(D97="100-I","Riesgo de seguridad (Riesgo Mecánico)",IF(D97="230-I","Riesgo de seguridad (Riesgo Mecánico)",IF(D97="250a-I","Riesgo de seguridad (Riesgo Mecánico)",IF(D97="250b-I","Riesgo de seguridad (Riesgo Mecánico)",IF(D97="160-I","Riesgo de seguridad (Riesgo Eléctrico)",IF(D97="590","Riesgo de seguridad (Riesgo Mecánico)")))))))))))))))))))))))))))))))))))</f>
        <v>Riesgo Químico</v>
      </c>
      <c r="G97" s="117">
        <f>'E-A-RC-RQ-ESN'!I16</f>
        <v>10.000000000000002</v>
      </c>
      <c r="H97" s="113" t="str">
        <f t="shared" si="18"/>
        <v>MD</v>
      </c>
      <c r="I97" s="10">
        <v>3</v>
      </c>
      <c r="J97" s="113" t="str">
        <f>IF(I97=4,"EC",IF(I97=3,"EF",IF(I97=2,"EO",IF(I97=1,"EE",""))))</f>
        <v>EF</v>
      </c>
      <c r="K97" s="11">
        <f t="shared" si="24"/>
        <v>30.000000000000007</v>
      </c>
      <c r="L97" s="113" t="str">
        <f t="shared" si="19"/>
        <v>MA</v>
      </c>
      <c r="M97" s="10">
        <v>25</v>
      </c>
      <c r="N97" s="113" t="str">
        <f>IF(M97="","",IF(M97=100,"M",IF(M97=60,"MG",IF(M97=25,"G",IF(M97=10,"L","")))))</f>
        <v>G</v>
      </c>
      <c r="O97" s="42">
        <f t="shared" si="17"/>
        <v>750</v>
      </c>
      <c r="P97" s="113" t="str">
        <f t="shared" si="20"/>
        <v>I</v>
      </c>
      <c r="Q97" s="114" t="str">
        <f t="shared" si="21"/>
        <v>Situación Crítica.
Corrección urgente.</v>
      </c>
      <c r="R97" s="114" t="str">
        <f t="shared" si="22"/>
        <v>Lesiones con incapacidad laboral transitoria (I. L. T.).</v>
      </c>
      <c r="S97" s="114" t="s">
        <v>24</v>
      </c>
      <c r="T97" s="46"/>
    </row>
    <row r="98" spans="1:20" ht="57">
      <c r="A98" s="63"/>
      <c r="B98" s="113" t="s">
        <v>24</v>
      </c>
      <c r="C98" s="114" t="str">
        <f t="shared" si="16"/>
        <v>Condiciones inadecuadas</v>
      </c>
      <c r="D98" s="9" t="s">
        <v>27</v>
      </c>
      <c r="E98" s="114" t="str">
        <f t="shared" si="8"/>
        <v>Organización del trabajo incorrecta</v>
      </c>
      <c r="F98" s="114" t="str">
        <f t="shared" si="7"/>
        <v>Riesgo de seguridad (Riesgo Locativo)</v>
      </c>
      <c r="G98" s="117">
        <f>'E-A-RL-OI'!J14</f>
        <v>9.9999999999999982</v>
      </c>
      <c r="H98" s="113" t="str">
        <f t="shared" si="18"/>
        <v>MD</v>
      </c>
      <c r="I98" s="10">
        <v>2</v>
      </c>
      <c r="J98" s="113" t="str">
        <f t="shared" si="9"/>
        <v>EO</v>
      </c>
      <c r="K98" s="11">
        <f t="shared" si="24"/>
        <v>19.999999999999996</v>
      </c>
      <c r="L98" s="113" t="str">
        <f t="shared" si="19"/>
        <v>A</v>
      </c>
      <c r="M98" s="10">
        <v>25</v>
      </c>
      <c r="N98" s="113" t="str">
        <f t="shared" si="11"/>
        <v>G</v>
      </c>
      <c r="O98" s="42">
        <f t="shared" si="17"/>
        <v>500</v>
      </c>
      <c r="P98" s="113" t="str">
        <f t="shared" si="20"/>
        <v>II</v>
      </c>
      <c r="Q98" s="114" t="str">
        <f t="shared" si="21"/>
        <v>Corregir
y adoptar medidas de control.</v>
      </c>
      <c r="R98" s="114" t="str">
        <f t="shared" si="22"/>
        <v>Lesiones con incapacidad laboral transitoria (I. L. T.).</v>
      </c>
      <c r="S98" s="114" t="s">
        <v>24</v>
      </c>
      <c r="T98" s="46"/>
    </row>
    <row r="99" spans="1:20" ht="57">
      <c r="A99" s="63"/>
      <c r="B99" s="113" t="s">
        <v>24</v>
      </c>
      <c r="C99" s="114" t="str">
        <f t="shared" si="16"/>
        <v>Trabajo en altura/ zonas con desnivel</v>
      </c>
      <c r="D99" s="9" t="s">
        <v>40</v>
      </c>
      <c r="E99" s="114" t="str">
        <f t="shared" ref="E99:E108" si="25">IF(D99="","",IF(D99="010-E","Caída de personas a distinto nivel",IF(D99="020-E","Caída de personas al mismo nivel",IF(D99="030-E","Caída de objetos por desplome",IF(D99="040-E","Caída de objetos en manipulación",IF(D99="090-E","Golpes/cortes por objetos o herramientas",IF(D99="110-E","Atrapamiento por o entre objetos",IF(D99="100-E","Proyección de fragmentos o partículas",IF(D99="230-E","Atropellos o golpes con vehículos",IF(D99="250a-E","Otros riesgos de accidente a) inherentes a la manipulación de herramientas eléctricas",IF(D99="250b-E","Otros riesgos de accidente b) Inherentes a la manipulación de herramientas manuales",IF(D99="160-E","Contactos Eléctricos",IF(D99="150a-E","Contactos térmicos a) inherentes al trabajador",IF(D99="150b-E","Contactos térmicos b) inherentes a la manipulación de elementos estructurales",IF(D99="150 c","Contactos térmicos c) inherentes al proceso de soldadura",IF(D99="570","Organización del trabajo incorrecta",IF(D99="120-I","Atrapamiento por vuelco de máquinas",IF(D99="","",IF(D99="010-I","Caída de personas a distinto nivel",IF(D99="020-I","Caída de personas al mismo nivel",IF(D99="030-I","Caída de objetos por desplome",IF(D99="040-I","Caída de objetos en manipulación",IF(D99="090-I","Golpes/cortes por objetos o herramientas",IF(D99="110-I","Atrapamiento por o entre objetos",IF(D99="100-I","Proyección de fragmentos o partículas",IF(D99="230-I","Atropellos o golpes con vehículos",IF(D99="250a-I","Otros riesgos de accidente a) inherentes a la manipulación de herramientas eléctricas",IF(D99="250b-I","Otros riesgos de accidente b) Inherentes a la manipulación de herramientas manuales",IF(D99="390","Otra exposición a) asfixia o intoxicación",IF(D99="160-I","Contactos Eléctricos",IF(D99="570","Organización del trabajo incorrecta",IF(D99="120-I","Atrapamiento por vuelco de máquinas",IF(D99="330","Ruido",IF(D99="340","Vibración",IF(D99="360","Radiaciones ionizantes",IF(D99="170","Exposición a sustancias nocivas",IF(D99="130","Sobreesfuerzos",IF(D99="380","Iluminación",IF(D99="330","Ruido",IF(D99="340","Vibración",IF(D99="360","Radiaciones ionizantes",IF(D99="170","Exposición a sustancias nocivas",IF(D99="130","Sobreesfuerzos",IF(D99="380","Iluminación"))))))))))))))))))))))))))))))))))))))))))))</f>
        <v>Caída de personas a distinto nivel</v>
      </c>
      <c r="F99" s="114" t="str">
        <f t="shared" si="7"/>
        <v>Riesgo de seguridad (Riesgo Mecánico)</v>
      </c>
      <c r="G99" s="117">
        <f>'E-A-RM-CDN'!J20</f>
        <v>6.9811320754716997</v>
      </c>
      <c r="H99" s="113" t="str">
        <f t="shared" si="18"/>
        <v>MD</v>
      </c>
      <c r="I99" s="10">
        <v>2</v>
      </c>
      <c r="J99" s="113" t="str">
        <f t="shared" si="9"/>
        <v>EO</v>
      </c>
      <c r="K99" s="11">
        <f t="shared" si="10"/>
        <v>13.962264150943399</v>
      </c>
      <c r="L99" s="113" t="str">
        <f t="shared" si="19"/>
        <v>A</v>
      </c>
      <c r="M99" s="10">
        <v>60</v>
      </c>
      <c r="N99" s="113" t="str">
        <f t="shared" si="11"/>
        <v>MG</v>
      </c>
      <c r="O99" s="42">
        <f t="shared" si="17"/>
        <v>838</v>
      </c>
      <c r="P99" s="113" t="str">
        <f t="shared" si="20"/>
        <v>I</v>
      </c>
      <c r="Q99" s="114" t="str">
        <f t="shared" si="21"/>
        <v>Situación Crítica.
Corrección urgente.</v>
      </c>
      <c r="R99" s="114" t="str">
        <f t="shared" si="22"/>
        <v>Lesiones graves que pueden ser irreparables.</v>
      </c>
      <c r="S99" s="114" t="s">
        <v>24</v>
      </c>
      <c r="T99" s="46"/>
    </row>
    <row r="100" spans="1:20" ht="57">
      <c r="A100" s="63"/>
      <c r="B100" s="113" t="s">
        <v>24</v>
      </c>
      <c r="C100" s="114" t="str">
        <f t="shared" si="16"/>
        <v>Superficies irregulares u obstruidas</v>
      </c>
      <c r="D100" s="9" t="s">
        <v>28</v>
      </c>
      <c r="E100" s="114" t="str">
        <f t="shared" si="25"/>
        <v>Caída de personas al mismo nivel</v>
      </c>
      <c r="F100" s="114" t="str">
        <f t="shared" si="7"/>
        <v>Riesgo de seguridad (Riesgo Mecánico)</v>
      </c>
      <c r="G100" s="117">
        <f>'E-A-RM-CMN'!J15</f>
        <v>7.6923076923076916</v>
      </c>
      <c r="H100" s="113" t="str">
        <f t="shared" si="18"/>
        <v>MD</v>
      </c>
      <c r="I100" s="10">
        <v>3</v>
      </c>
      <c r="J100" s="113" t="str">
        <f t="shared" si="9"/>
        <v>EF</v>
      </c>
      <c r="K100" s="11">
        <f t="shared" si="10"/>
        <v>23.076923076923073</v>
      </c>
      <c r="L100" s="113" t="str">
        <f t="shared" si="19"/>
        <v>A</v>
      </c>
      <c r="M100" s="10">
        <v>60</v>
      </c>
      <c r="N100" s="113" t="str">
        <f t="shared" si="11"/>
        <v>MG</v>
      </c>
      <c r="O100" s="42">
        <f t="shared" si="17"/>
        <v>1385</v>
      </c>
      <c r="P100" s="113" t="str">
        <f t="shared" si="20"/>
        <v>I</v>
      </c>
      <c r="Q100" s="114" t="str">
        <f t="shared" si="21"/>
        <v>Situación Crítica.
Corrección urgente.</v>
      </c>
      <c r="R100" s="114" t="str">
        <f t="shared" si="22"/>
        <v>Lesiones graves que pueden ser irreparables.</v>
      </c>
      <c r="S100" s="114" t="s">
        <v>24</v>
      </c>
      <c r="T100" s="46"/>
    </row>
    <row r="101" spans="1:20" ht="57">
      <c r="A101" s="63"/>
      <c r="B101" s="113" t="s">
        <v>24</v>
      </c>
      <c r="C101" s="114" t="str">
        <f t="shared" si="16"/>
        <v>Desprendimiento de objetos</v>
      </c>
      <c r="D101" s="9" t="s">
        <v>29</v>
      </c>
      <c r="E101" s="114" t="str">
        <f t="shared" si="25"/>
        <v>Caída de objetos en manipulación</v>
      </c>
      <c r="F101" s="114" t="str">
        <f t="shared" si="7"/>
        <v>Riesgo de seguridad (Riesgo Mecánico)</v>
      </c>
      <c r="G101" s="117">
        <f>'E-A-RM-COM'!J17</f>
        <v>9.0000000000000018</v>
      </c>
      <c r="H101" s="113" t="str">
        <f t="shared" si="18"/>
        <v>MD</v>
      </c>
      <c r="I101" s="10">
        <v>3</v>
      </c>
      <c r="J101" s="113" t="str">
        <f t="shared" si="9"/>
        <v>EF</v>
      </c>
      <c r="K101" s="11">
        <f t="shared" si="10"/>
        <v>27.000000000000007</v>
      </c>
      <c r="L101" s="113" t="str">
        <f t="shared" si="19"/>
        <v>MA</v>
      </c>
      <c r="M101" s="10">
        <v>60</v>
      </c>
      <c r="N101" s="113" t="str">
        <f t="shared" si="11"/>
        <v>MG</v>
      </c>
      <c r="O101" s="42">
        <f t="shared" si="17"/>
        <v>1620</v>
      </c>
      <c r="P101" s="113" t="str">
        <f t="shared" si="20"/>
        <v>I</v>
      </c>
      <c r="Q101" s="114" t="str">
        <f t="shared" si="21"/>
        <v>Situación Crítica.
Corrección urgente.</v>
      </c>
      <c r="R101" s="114" t="str">
        <f t="shared" si="22"/>
        <v>Lesiones graves que pueden ser irreparables.</v>
      </c>
      <c r="S101" s="114" t="s">
        <v>24</v>
      </c>
      <c r="T101" s="46"/>
    </row>
    <row r="102" spans="1:20" ht="57">
      <c r="A102" s="63"/>
      <c r="B102" s="113" t="s">
        <v>24</v>
      </c>
      <c r="C102" s="114" t="str">
        <f t="shared" si="16"/>
        <v>Manipulación de máquinas/ herramientas</v>
      </c>
      <c r="D102" s="9" t="s">
        <v>30</v>
      </c>
      <c r="E102" s="114" t="str">
        <f t="shared" si="25"/>
        <v>Golpes/cortes por objetos o herramientas</v>
      </c>
      <c r="F102" s="114" t="str">
        <f t="shared" si="7"/>
        <v>Riesgo de seguridad (Riesgo Mecánico)</v>
      </c>
      <c r="G102" s="117">
        <f>'E-A-RM-CGOH'!J17</f>
        <v>3.9285714285714288</v>
      </c>
      <c r="H102" s="113" t="str">
        <f t="shared" si="18"/>
        <v>D</v>
      </c>
      <c r="I102" s="10">
        <v>2</v>
      </c>
      <c r="J102" s="113" t="str">
        <f t="shared" si="9"/>
        <v>EO</v>
      </c>
      <c r="K102" s="11">
        <f t="shared" si="10"/>
        <v>7.8571428571428577</v>
      </c>
      <c r="L102" s="113" t="str">
        <f t="shared" si="19"/>
        <v>M</v>
      </c>
      <c r="M102" s="10">
        <v>25</v>
      </c>
      <c r="N102" s="113" t="str">
        <f t="shared" si="11"/>
        <v>G</v>
      </c>
      <c r="O102" s="42">
        <f t="shared" si="17"/>
        <v>196</v>
      </c>
      <c r="P102" s="113" t="str">
        <f t="shared" si="20"/>
        <v>II</v>
      </c>
      <c r="Q102" s="114" t="str">
        <f t="shared" si="21"/>
        <v>Corregir
y adoptar medidas de control.</v>
      </c>
      <c r="R102" s="114" t="str">
        <f t="shared" si="22"/>
        <v>Lesiones con incapacidad laboral transitoria (I. L. T.).</v>
      </c>
      <c r="S102" s="114" t="s">
        <v>24</v>
      </c>
      <c r="T102" s="46"/>
    </row>
    <row r="103" spans="1:20" ht="57">
      <c r="A103" s="63"/>
      <c r="B103" s="113" t="s">
        <v>24</v>
      </c>
      <c r="C103" s="114" t="str">
        <f t="shared" si="16"/>
        <v>Operaciones de conformado</v>
      </c>
      <c r="D103" s="9" t="s">
        <v>31</v>
      </c>
      <c r="E103" s="114" t="str">
        <f t="shared" si="25"/>
        <v>Proyección de fragmentos o partículas</v>
      </c>
      <c r="F103" s="114" t="str">
        <f t="shared" si="7"/>
        <v>Riesgo de seguridad (Riesgo Mecánico)</v>
      </c>
      <c r="G103" s="117">
        <f>'E-A-RM-PFP'!J13</f>
        <v>5.8333333333333339</v>
      </c>
      <c r="H103" s="113" t="str">
        <f t="shared" si="18"/>
        <v>D</v>
      </c>
      <c r="I103" s="10">
        <v>3</v>
      </c>
      <c r="J103" s="113" t="str">
        <f t="shared" si="9"/>
        <v>EF</v>
      </c>
      <c r="K103" s="11">
        <f t="shared" si="10"/>
        <v>17.5</v>
      </c>
      <c r="L103" s="113" t="str">
        <f t="shared" si="19"/>
        <v>A</v>
      </c>
      <c r="M103" s="10">
        <v>25</v>
      </c>
      <c r="N103" s="113" t="str">
        <f t="shared" si="11"/>
        <v>G</v>
      </c>
      <c r="O103" s="42">
        <f t="shared" si="17"/>
        <v>438</v>
      </c>
      <c r="P103" s="113" t="str">
        <f t="shared" si="20"/>
        <v>II</v>
      </c>
      <c r="Q103" s="114" t="str">
        <f t="shared" si="21"/>
        <v>Corregir
y adoptar medidas de control.</v>
      </c>
      <c r="R103" s="114" t="str">
        <f t="shared" si="22"/>
        <v>Lesiones con incapacidad laboral transitoria (I. L. T.).</v>
      </c>
      <c r="S103" s="114" t="s">
        <v>24</v>
      </c>
      <c r="T103" s="46"/>
    </row>
    <row r="104" spans="1:20" ht="57">
      <c r="A104" s="63"/>
      <c r="B104" s="113" t="s">
        <v>24</v>
      </c>
      <c r="C104" s="114" t="str">
        <f t="shared" si="16"/>
        <v>Objetos fijos o móviles</v>
      </c>
      <c r="D104" s="9" t="s">
        <v>32</v>
      </c>
      <c r="E104" s="114" t="str">
        <f t="shared" si="25"/>
        <v>Atrapamiento por o entre objetos</v>
      </c>
      <c r="F104" s="114" t="str">
        <f t="shared" si="7"/>
        <v>Riesgo de seguridad (Riesgo Mecánico)</v>
      </c>
      <c r="G104" s="117">
        <f>'E-A-RM-APEO'!J17</f>
        <v>6.666666666666667</v>
      </c>
      <c r="H104" s="113" t="str">
        <f t="shared" si="18"/>
        <v>MD</v>
      </c>
      <c r="I104" s="10">
        <v>3</v>
      </c>
      <c r="J104" s="113" t="str">
        <f t="shared" si="9"/>
        <v>EF</v>
      </c>
      <c r="K104" s="11">
        <f t="shared" si="10"/>
        <v>20</v>
      </c>
      <c r="L104" s="113" t="str">
        <f t="shared" si="19"/>
        <v>A</v>
      </c>
      <c r="M104" s="10">
        <v>60</v>
      </c>
      <c r="N104" s="113" t="str">
        <f t="shared" si="11"/>
        <v>MG</v>
      </c>
      <c r="O104" s="42">
        <f t="shared" si="17"/>
        <v>1200</v>
      </c>
      <c r="P104" s="113" t="str">
        <f t="shared" si="20"/>
        <v>I</v>
      </c>
      <c r="Q104" s="114" t="str">
        <f t="shared" si="21"/>
        <v>Situación Crítica.
Corrección urgente.</v>
      </c>
      <c r="R104" s="114" t="str">
        <f t="shared" si="22"/>
        <v>Lesiones graves que pueden ser irreparables.</v>
      </c>
      <c r="S104" s="114" t="s">
        <v>24</v>
      </c>
      <c r="T104" s="46"/>
    </row>
    <row r="105" spans="1:20" ht="85.5">
      <c r="A105" s="63"/>
      <c r="B105" s="113" t="s">
        <v>24</v>
      </c>
      <c r="C105" s="114" t="str">
        <f t="shared" si="16"/>
        <v>Situaciones fortuitas</v>
      </c>
      <c r="D105" s="9" t="s">
        <v>34</v>
      </c>
      <c r="E105" s="114" t="str">
        <f t="shared" si="25"/>
        <v>Otros riesgos de accidente a) inherentes a la manipulación de herramientas eléctricas</v>
      </c>
      <c r="F105" s="114" t="str">
        <f t="shared" si="7"/>
        <v>Riesgo de seguridad (Riesgo Mecánico)</v>
      </c>
      <c r="G105" s="117">
        <f>'E-A-RM-ORAa'!J15</f>
        <v>3.0769230769230766</v>
      </c>
      <c r="H105" s="113" t="str">
        <f t="shared" si="18"/>
        <v>D</v>
      </c>
      <c r="I105" s="10">
        <v>3</v>
      </c>
      <c r="J105" s="113" t="str">
        <f t="shared" si="9"/>
        <v>EF</v>
      </c>
      <c r="K105" s="11">
        <f t="shared" si="10"/>
        <v>9.2307692307692299</v>
      </c>
      <c r="L105" s="113" t="str">
        <f t="shared" si="19"/>
        <v>A</v>
      </c>
      <c r="M105" s="10">
        <v>25</v>
      </c>
      <c r="N105" s="113" t="str">
        <f t="shared" si="11"/>
        <v>G</v>
      </c>
      <c r="O105" s="42">
        <f t="shared" si="17"/>
        <v>231</v>
      </c>
      <c r="P105" s="113" t="str">
        <f t="shared" si="20"/>
        <v>II</v>
      </c>
      <c r="Q105" s="114" t="str">
        <f t="shared" si="21"/>
        <v>Corregir
y adoptar medidas de control.</v>
      </c>
      <c r="R105" s="114" t="str">
        <f t="shared" si="22"/>
        <v>Lesiones con incapacidad laboral transitoria (I. L. T.).</v>
      </c>
      <c r="S105" s="114" t="s">
        <v>24</v>
      </c>
      <c r="T105" s="46"/>
    </row>
    <row r="106" spans="1:20" ht="85.5">
      <c r="A106" s="63"/>
      <c r="B106" s="113" t="s">
        <v>24</v>
      </c>
      <c r="C106" s="114" t="str">
        <f t="shared" si="16"/>
        <v>Situaciones fortuitas</v>
      </c>
      <c r="D106" s="9" t="s">
        <v>35</v>
      </c>
      <c r="E106" s="114" t="str">
        <f t="shared" si="25"/>
        <v>Otros riesgos de accidente b) Inherentes a la manipulación de herramientas manuales</v>
      </c>
      <c r="F106" s="114" t="str">
        <f t="shared" si="7"/>
        <v>Riesgo de seguridad (Riesgo Mecánico)</v>
      </c>
      <c r="G106" s="117">
        <f>'E-A-RM-ORAb'!J15</f>
        <v>2</v>
      </c>
      <c r="H106" s="113" t="str">
        <f t="shared" si="18"/>
        <v>M</v>
      </c>
      <c r="I106" s="10">
        <v>2</v>
      </c>
      <c r="J106" s="113" t="str">
        <f t="shared" si="9"/>
        <v>EO</v>
      </c>
      <c r="K106" s="11">
        <f t="shared" si="10"/>
        <v>4</v>
      </c>
      <c r="L106" s="113" t="str">
        <f t="shared" si="19"/>
        <v>B</v>
      </c>
      <c r="M106" s="10">
        <v>10</v>
      </c>
      <c r="N106" s="113" t="str">
        <f t="shared" si="11"/>
        <v>L</v>
      </c>
      <c r="O106" s="42">
        <f t="shared" si="17"/>
        <v>40</v>
      </c>
      <c r="P106" s="113" t="str">
        <f t="shared" si="20"/>
        <v>III</v>
      </c>
      <c r="Q106" s="114" t="str">
        <f t="shared" si="21"/>
        <v>Mejorar si es posible. Sería conveniente justificar la intervención y su rentabilidad.</v>
      </c>
      <c r="R106" s="114" t="str">
        <f t="shared" si="22"/>
        <v>Pequeñas lesiones que no requieren hospitalización.</v>
      </c>
      <c r="S106" s="114" t="s">
        <v>24</v>
      </c>
      <c r="T106" s="46"/>
    </row>
    <row r="107" spans="1:20" ht="57">
      <c r="A107" s="63"/>
      <c r="B107" s="113" t="s">
        <v>24</v>
      </c>
      <c r="C107" s="114" t="str">
        <f t="shared" si="16"/>
        <v>Energía eléctrica</v>
      </c>
      <c r="D107" s="9" t="s">
        <v>36</v>
      </c>
      <c r="E107" s="114" t="str">
        <f t="shared" si="25"/>
        <v>Contactos Eléctricos</v>
      </c>
      <c r="F107" s="114" t="str">
        <f t="shared" si="7"/>
        <v>Riesgo de seguridad (Riesgo Eléctrico)</v>
      </c>
      <c r="G107" s="117">
        <f>'E-A-RE-CE'!J20</f>
        <v>8.108108108108107</v>
      </c>
      <c r="H107" s="113" t="str">
        <f t="shared" si="18"/>
        <v>MD</v>
      </c>
      <c r="I107" s="10">
        <v>2</v>
      </c>
      <c r="J107" s="113" t="str">
        <f t="shared" si="9"/>
        <v>EO</v>
      </c>
      <c r="K107" s="11">
        <f t="shared" si="10"/>
        <v>16.216216216216214</v>
      </c>
      <c r="L107" s="113" t="str">
        <f t="shared" si="19"/>
        <v>A</v>
      </c>
      <c r="M107" s="10">
        <v>10</v>
      </c>
      <c r="N107" s="113" t="str">
        <f t="shared" si="11"/>
        <v>L</v>
      </c>
      <c r="O107" s="42">
        <f t="shared" si="17"/>
        <v>162</v>
      </c>
      <c r="P107" s="113" t="str">
        <f t="shared" si="20"/>
        <v>II</v>
      </c>
      <c r="Q107" s="114" t="str">
        <f t="shared" si="21"/>
        <v>Corregir
y adoptar medidas de control.</v>
      </c>
      <c r="R107" s="114" t="str">
        <f t="shared" si="22"/>
        <v>Pequeñas lesiones que no requieren hospitalización.</v>
      </c>
      <c r="S107" s="114" t="s">
        <v>24</v>
      </c>
      <c r="T107" s="46"/>
    </row>
    <row r="108" spans="1:20" ht="57">
      <c r="A108" s="63"/>
      <c r="B108" s="113" t="s">
        <v>24</v>
      </c>
      <c r="C108" s="114" t="str">
        <f t="shared" si="16"/>
        <v>Posturas forzadas/ manipulación manual de cargas</v>
      </c>
      <c r="D108" s="9" t="s">
        <v>37</v>
      </c>
      <c r="E108" s="114" t="str">
        <f t="shared" si="25"/>
        <v>Sobreesfuerzos</v>
      </c>
      <c r="F108" s="114" t="str">
        <f t="shared" si="7"/>
        <v>Riesgo Ergonómico</v>
      </c>
      <c r="G108" s="117">
        <f>'E-A-RC-RE-S'!I15</f>
        <v>10.000000000000002</v>
      </c>
      <c r="H108" s="113" t="str">
        <f t="shared" si="18"/>
        <v>MD</v>
      </c>
      <c r="I108" s="10">
        <v>3</v>
      </c>
      <c r="J108" s="113" t="str">
        <f>IF(I108=4,"EC",IF(I108=3,"EF",IF(I108=2,"EO",IF(I108=1,"EE",""))))</f>
        <v>EF</v>
      </c>
      <c r="K108" s="11">
        <f>IF(I108="","",G108*I108)</f>
        <v>30.000000000000007</v>
      </c>
      <c r="L108" s="113" t="str">
        <f t="shared" si="19"/>
        <v>MA</v>
      </c>
      <c r="M108" s="10">
        <v>25</v>
      </c>
      <c r="N108" s="113" t="str">
        <f>IF(M108="","",IF(M108=100,"M",IF(M108=60,"MG",IF(M108=25,"G",IF(M108=10,"L","")))))</f>
        <v>G</v>
      </c>
      <c r="O108" s="42">
        <f t="shared" si="17"/>
        <v>750</v>
      </c>
      <c r="P108" s="113" t="str">
        <f t="shared" si="20"/>
        <v>I</v>
      </c>
      <c r="Q108" s="114" t="str">
        <f t="shared" si="21"/>
        <v>Situación Crítica.
Corrección urgente.</v>
      </c>
      <c r="R108" s="114" t="str">
        <f t="shared" si="22"/>
        <v>Lesiones con incapacidad laboral transitoria (I. L. T.).</v>
      </c>
      <c r="S108" s="114" t="s">
        <v>24</v>
      </c>
      <c r="T108" s="46"/>
    </row>
    <row r="109" spans="1:20">
      <c r="B109" s="116"/>
      <c r="C109" s="118"/>
      <c r="D109" s="25"/>
      <c r="E109" s="118"/>
      <c r="F109" s="118"/>
      <c r="G109" s="116"/>
      <c r="H109" s="116"/>
      <c r="I109" s="116"/>
      <c r="J109" s="116"/>
      <c r="K109" s="119"/>
      <c r="L109" s="116"/>
      <c r="M109" s="116"/>
      <c r="N109" s="116"/>
      <c r="O109" s="119"/>
      <c r="P109" s="116"/>
      <c r="Q109" s="116"/>
      <c r="R109" s="116"/>
      <c r="S109" s="116"/>
    </row>
    <row r="110" spans="1:20">
      <c r="B110" s="116"/>
      <c r="C110" s="118"/>
      <c r="D110" s="25"/>
      <c r="E110" s="118"/>
      <c r="F110" s="118"/>
      <c r="G110" s="116"/>
      <c r="H110" s="116"/>
      <c r="I110" s="116"/>
      <c r="J110" s="116"/>
      <c r="K110" s="119"/>
      <c r="L110" s="116"/>
      <c r="M110" s="116"/>
      <c r="N110" s="116"/>
      <c r="O110" s="119"/>
      <c r="P110" s="116"/>
      <c r="Q110" s="116"/>
      <c r="R110" s="116"/>
      <c r="S110" s="116"/>
    </row>
    <row r="111" spans="1:20">
      <c r="B111" s="116"/>
      <c r="C111" s="118"/>
      <c r="D111" s="25"/>
      <c r="E111" s="118"/>
      <c r="F111" s="118"/>
      <c r="G111" s="116"/>
      <c r="H111" s="116"/>
      <c r="I111" s="116"/>
      <c r="J111" s="116"/>
      <c r="K111" s="119"/>
      <c r="L111" s="116"/>
      <c r="M111" s="116"/>
      <c r="N111" s="116"/>
      <c r="O111" s="119"/>
      <c r="P111" s="116"/>
      <c r="Q111" s="116"/>
      <c r="R111" s="116"/>
      <c r="S111" s="116"/>
    </row>
    <row r="112" spans="1:20">
      <c r="B112" s="116"/>
      <c r="C112" s="118"/>
      <c r="D112" s="25"/>
      <c r="E112" s="118"/>
      <c r="F112" s="118"/>
      <c r="G112" s="116"/>
      <c r="H112" s="116"/>
      <c r="I112" s="116"/>
      <c r="J112" s="116"/>
      <c r="K112" s="119"/>
      <c r="L112" s="116"/>
      <c r="M112" s="116"/>
      <c r="N112" s="116"/>
      <c r="O112" s="119"/>
      <c r="P112" s="116"/>
      <c r="Q112" s="116"/>
      <c r="R112" s="116"/>
      <c r="S112" s="116"/>
    </row>
    <row r="113" spans="3:6">
      <c r="C113" s="118"/>
      <c r="D113" s="25"/>
      <c r="E113" s="118"/>
      <c r="F113" s="118"/>
    </row>
    <row r="114" spans="3:6">
      <c r="C114" s="118"/>
      <c r="D114" s="25"/>
      <c r="E114" s="118"/>
      <c r="F114" s="118"/>
    </row>
    <row r="115" spans="3:6">
      <c r="C115" s="118"/>
      <c r="D115" s="25"/>
      <c r="E115" s="118"/>
      <c r="F115" s="118"/>
    </row>
  </sheetData>
  <mergeCells count="12">
    <mergeCell ref="C1:F1"/>
    <mergeCell ref="B1:B2"/>
    <mergeCell ref="A3:A15"/>
    <mergeCell ref="G1:Q1"/>
    <mergeCell ref="R1:S1"/>
    <mergeCell ref="A67:A79"/>
    <mergeCell ref="A80:A93"/>
    <mergeCell ref="A94:A108"/>
    <mergeCell ref="A1:A2"/>
    <mergeCell ref="A16:A31"/>
    <mergeCell ref="A32:A47"/>
    <mergeCell ref="A48:A66"/>
  </mergeCells>
  <phoneticPr fontId="9" type="noConversion"/>
  <conditionalFormatting sqref="H3:H108">
    <cfRule type="expression" dxfId="41" priority="28">
      <formula>$G3=""</formula>
    </cfRule>
    <cfRule type="expression" dxfId="40" priority="29">
      <formula>$H3="B"</formula>
    </cfRule>
    <cfRule type="expression" dxfId="39" priority="30">
      <formula>$H3="M"</formula>
    </cfRule>
    <cfRule type="expression" dxfId="38" priority="31">
      <formula>$H3="D"</formula>
    </cfRule>
    <cfRule type="expression" dxfId="37" priority="32">
      <formula>$H3="MD"</formula>
    </cfRule>
  </conditionalFormatting>
  <conditionalFormatting sqref="J3:J108">
    <cfRule type="expression" dxfId="36" priority="24">
      <formula>$I3=1</formula>
    </cfRule>
    <cfRule type="expression" dxfId="35" priority="25">
      <formula>$I3=2</formula>
    </cfRule>
    <cfRule type="expression" dxfId="34" priority="26">
      <formula>$I3=3</formula>
    </cfRule>
    <cfRule type="expression" dxfId="33" priority="27">
      <formula>$I3=4</formula>
    </cfRule>
  </conditionalFormatting>
  <conditionalFormatting sqref="L3:L108">
    <cfRule type="expression" dxfId="32" priority="1">
      <formula>$L3="B"</formula>
    </cfRule>
    <cfRule type="expression" dxfId="31" priority="2">
      <formula>$L3="M"</formula>
    </cfRule>
    <cfRule type="expression" dxfId="30" priority="3">
      <formula>$L3="A"</formula>
    </cfRule>
    <cfRule type="expression" dxfId="29" priority="4">
      <formula>$L3="MA"</formula>
    </cfRule>
  </conditionalFormatting>
  <conditionalFormatting sqref="N3:N108">
    <cfRule type="expression" dxfId="28" priority="9">
      <formula>$M3=10</formula>
    </cfRule>
    <cfRule type="expression" dxfId="27" priority="10">
      <formula>$M3=25</formula>
    </cfRule>
    <cfRule type="expression" dxfId="26" priority="11">
      <formula>$M3=60</formula>
    </cfRule>
    <cfRule type="expression" dxfId="25" priority="12">
      <formula>$M3=100</formula>
    </cfRule>
  </conditionalFormatting>
  <conditionalFormatting sqref="P3:P108">
    <cfRule type="expression" dxfId="24" priority="5">
      <formula>$P3="IV"</formula>
    </cfRule>
    <cfRule type="expression" dxfId="23" priority="6">
      <formula>$P3="III"</formula>
    </cfRule>
    <cfRule type="expression" dxfId="22" priority="7">
      <formula>$P3="II"</formula>
    </cfRule>
    <cfRule type="expression" dxfId="21" priority="8">
      <formula>$P3="I"</formula>
    </cfRule>
  </conditionalFormatting>
  <hyperlinks>
    <hyperlink ref="U2" location="'I-Resumen'!A1" display="'I-Resumen'!A1" xr:uid="{64114D59-30D1-4B0B-993D-8C8B1DF7E2C9}"/>
  </hyperlinks>
  <pageMargins left="0.7" right="0.7" top="0.75" bottom="0.75" header="0.3" footer="0.3"/>
  <ignoredErrors>
    <ignoredError sqref="D3:D5" numberStoredAsText="1"/>
  </ignoredErrors>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584E0-5831-4190-B8C2-5CC7110FB7DB}">
  <sheetPr>
    <tabColor rgb="FF92D050"/>
  </sheetPr>
  <dimension ref="A1:I13"/>
  <sheetViews>
    <sheetView workbookViewId="0">
      <selection sqref="A1:I13"/>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9" width="12" style="21" customWidth="1"/>
    <col min="10" max="16384" width="11.42578125" style="21"/>
  </cols>
  <sheetData>
    <row r="1" spans="1:9" ht="15">
      <c r="A1" s="70" t="s">
        <v>51</v>
      </c>
      <c r="B1" s="70"/>
      <c r="C1" s="84" t="s">
        <v>52</v>
      </c>
      <c r="D1" s="120"/>
      <c r="E1" s="120"/>
      <c r="F1" s="120"/>
      <c r="G1" s="120"/>
      <c r="H1" s="120"/>
      <c r="I1" s="121"/>
    </row>
    <row r="2" spans="1:9" ht="15">
      <c r="A2" s="70" t="s">
        <v>0</v>
      </c>
      <c r="B2" s="70"/>
      <c r="C2" s="84" t="s">
        <v>23</v>
      </c>
      <c r="D2" s="120"/>
      <c r="E2" s="120"/>
      <c r="F2" s="120"/>
      <c r="G2" s="120"/>
      <c r="H2" s="120"/>
      <c r="I2" s="121"/>
    </row>
    <row r="3" spans="1:9" ht="15">
      <c r="A3" s="70" t="s">
        <v>53</v>
      </c>
      <c r="B3" s="70"/>
      <c r="C3" s="55" t="s">
        <v>54</v>
      </c>
      <c r="D3" s="122">
        <v>330</v>
      </c>
      <c r="E3" s="122"/>
      <c r="F3" s="122"/>
      <c r="G3" s="122"/>
      <c r="H3" s="122"/>
      <c r="I3" s="122"/>
    </row>
    <row r="4" spans="1:9" ht="60">
      <c r="A4" s="52" t="s">
        <v>55</v>
      </c>
      <c r="B4" s="70" t="s">
        <v>56</v>
      </c>
      <c r="C4" s="70"/>
      <c r="D4" s="52" t="s">
        <v>24</v>
      </c>
      <c r="E4" s="52" t="s">
        <v>57</v>
      </c>
      <c r="F4" s="52" t="s">
        <v>58</v>
      </c>
      <c r="G4" s="52" t="s">
        <v>59</v>
      </c>
      <c r="H4" s="52" t="s">
        <v>60</v>
      </c>
      <c r="I4" s="52" t="s">
        <v>61</v>
      </c>
    </row>
    <row r="5" spans="1:9" ht="46.5" customHeight="1">
      <c r="A5" s="52">
        <v>1</v>
      </c>
      <c r="B5" s="122" t="s">
        <v>62</v>
      </c>
      <c r="C5" s="122"/>
      <c r="D5" s="123"/>
      <c r="E5" s="123" t="s">
        <v>63</v>
      </c>
      <c r="F5" s="123"/>
      <c r="G5" s="123">
        <v>10</v>
      </c>
      <c r="H5" s="124">
        <f>(G5*10)/SUM($G$5:$G$12)</f>
        <v>1.5625</v>
      </c>
      <c r="I5" s="124">
        <f t="shared" ref="I5:I12" si="0">IF(E5="X",((G5*10)/SUM($G$5:$G$12)),0)</f>
        <v>1.5625</v>
      </c>
    </row>
    <row r="6" spans="1:9" ht="60" customHeight="1">
      <c r="A6" s="52">
        <v>2</v>
      </c>
      <c r="B6" s="122" t="s">
        <v>64</v>
      </c>
      <c r="C6" s="122"/>
      <c r="D6" s="123"/>
      <c r="E6" s="123" t="s">
        <v>63</v>
      </c>
      <c r="F6" s="123"/>
      <c r="G6" s="123">
        <v>6</v>
      </c>
      <c r="H6" s="124">
        <f t="shared" ref="H6:H12" si="1">(G6*10)/SUM($G$5:$G$12)</f>
        <v>0.9375</v>
      </c>
      <c r="I6" s="124">
        <f t="shared" si="0"/>
        <v>0.9375</v>
      </c>
    </row>
    <row r="7" spans="1:9" ht="47.25" customHeight="1">
      <c r="A7" s="52">
        <v>3</v>
      </c>
      <c r="B7" s="122" t="s">
        <v>65</v>
      </c>
      <c r="C7" s="122"/>
      <c r="D7" s="123"/>
      <c r="E7" s="123" t="s">
        <v>63</v>
      </c>
      <c r="F7" s="123"/>
      <c r="G7" s="123">
        <v>10</v>
      </c>
      <c r="H7" s="124">
        <f t="shared" si="1"/>
        <v>1.5625</v>
      </c>
      <c r="I7" s="124">
        <f t="shared" si="0"/>
        <v>1.5625</v>
      </c>
    </row>
    <row r="8" spans="1:9" ht="47.25" customHeight="1">
      <c r="A8" s="52">
        <v>4</v>
      </c>
      <c r="B8" s="122" t="s">
        <v>66</v>
      </c>
      <c r="C8" s="122"/>
      <c r="D8" s="123"/>
      <c r="E8" s="123" t="s">
        <v>63</v>
      </c>
      <c r="F8" s="123"/>
      <c r="G8" s="123">
        <v>2</v>
      </c>
      <c r="H8" s="124">
        <f t="shared" si="1"/>
        <v>0.3125</v>
      </c>
      <c r="I8" s="124">
        <f t="shared" si="0"/>
        <v>0.3125</v>
      </c>
    </row>
    <row r="9" spans="1:9" ht="75.75" customHeight="1">
      <c r="A9" s="52">
        <v>5</v>
      </c>
      <c r="B9" s="122" t="s">
        <v>67</v>
      </c>
      <c r="C9" s="122"/>
      <c r="D9" s="123"/>
      <c r="E9" s="123" t="s">
        <v>63</v>
      </c>
      <c r="F9" s="123"/>
      <c r="G9" s="123">
        <v>10</v>
      </c>
      <c r="H9" s="124">
        <f t="shared" si="1"/>
        <v>1.5625</v>
      </c>
      <c r="I9" s="124">
        <f t="shared" si="0"/>
        <v>1.5625</v>
      </c>
    </row>
    <row r="10" spans="1:9" ht="46.5" customHeight="1">
      <c r="A10" s="52">
        <v>6</v>
      </c>
      <c r="B10" s="122" t="s">
        <v>68</v>
      </c>
      <c r="C10" s="122"/>
      <c r="D10" s="123"/>
      <c r="E10" s="123" t="s">
        <v>63</v>
      </c>
      <c r="F10" s="123"/>
      <c r="G10" s="123">
        <v>6</v>
      </c>
      <c r="H10" s="124">
        <f t="shared" si="1"/>
        <v>0.9375</v>
      </c>
      <c r="I10" s="124">
        <f t="shared" si="0"/>
        <v>0.9375</v>
      </c>
    </row>
    <row r="11" spans="1:9" ht="50.25" customHeight="1">
      <c r="A11" s="52">
        <v>7</v>
      </c>
      <c r="B11" s="122" t="s">
        <v>69</v>
      </c>
      <c r="C11" s="122"/>
      <c r="D11" s="123"/>
      <c r="E11" s="123" t="s">
        <v>63</v>
      </c>
      <c r="F11" s="123"/>
      <c r="G11" s="123">
        <v>10</v>
      </c>
      <c r="H11" s="124">
        <f t="shared" si="1"/>
        <v>1.5625</v>
      </c>
      <c r="I11" s="124">
        <f t="shared" si="0"/>
        <v>1.5625</v>
      </c>
    </row>
    <row r="12" spans="1:9" ht="61.5" customHeight="1">
      <c r="A12" s="52">
        <v>8</v>
      </c>
      <c r="B12" s="122" t="s">
        <v>70</v>
      </c>
      <c r="C12" s="122"/>
      <c r="D12" s="123"/>
      <c r="E12" s="123" t="s">
        <v>63</v>
      </c>
      <c r="F12" s="123"/>
      <c r="G12" s="123">
        <v>10</v>
      </c>
      <c r="H12" s="124">
        <f t="shared" si="1"/>
        <v>1.5625</v>
      </c>
      <c r="I12" s="124">
        <f t="shared" si="0"/>
        <v>1.5625</v>
      </c>
    </row>
    <row r="13" spans="1:9" ht="15.75" customHeight="1">
      <c r="A13" s="71" t="s">
        <v>71</v>
      </c>
      <c r="B13" s="72"/>
      <c r="C13" s="72"/>
      <c r="D13" s="72"/>
      <c r="E13" s="72"/>
      <c r="F13" s="72"/>
      <c r="G13" s="72"/>
      <c r="H13" s="29">
        <f>SUM(H5:H12)</f>
        <v>10</v>
      </c>
      <c r="I13" s="20">
        <f>SUM(I5:I12)</f>
        <v>10</v>
      </c>
    </row>
  </sheetData>
  <mergeCells count="16">
    <mergeCell ref="A13:G13"/>
    <mergeCell ref="A3:B3"/>
    <mergeCell ref="B4:C4"/>
    <mergeCell ref="B11:C11"/>
    <mergeCell ref="B12:C12"/>
    <mergeCell ref="D3:I3"/>
    <mergeCell ref="B5:C5"/>
    <mergeCell ref="B6:C6"/>
    <mergeCell ref="B7:C7"/>
    <mergeCell ref="B8:C8"/>
    <mergeCell ref="B9:C9"/>
    <mergeCell ref="A1:B1"/>
    <mergeCell ref="A2:B2"/>
    <mergeCell ref="C1:I1"/>
    <mergeCell ref="C2:I2"/>
    <mergeCell ref="B10:C10"/>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7ADC0-AC0A-4C18-8BB0-CEDCBDE39370}">
  <sheetPr>
    <tabColor rgb="FF92D050"/>
  </sheetPr>
  <dimension ref="A1:I12"/>
  <sheetViews>
    <sheetView topLeftCell="A6" workbookViewId="0">
      <selection sqref="A1:I12"/>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52</v>
      </c>
      <c r="D1" s="120"/>
      <c r="E1" s="120"/>
      <c r="F1" s="120"/>
      <c r="G1" s="120"/>
      <c r="H1" s="120"/>
      <c r="I1" s="121"/>
    </row>
    <row r="2" spans="1:9" ht="15">
      <c r="A2" s="70" t="s">
        <v>0</v>
      </c>
      <c r="B2" s="70"/>
      <c r="C2" s="84" t="s">
        <v>23</v>
      </c>
      <c r="D2" s="120"/>
      <c r="E2" s="120"/>
      <c r="F2" s="120"/>
      <c r="G2" s="120"/>
      <c r="H2" s="120"/>
      <c r="I2" s="121"/>
    </row>
    <row r="3" spans="1:9" ht="15">
      <c r="A3" s="70" t="s">
        <v>72</v>
      </c>
      <c r="B3" s="70"/>
      <c r="C3" s="55" t="s">
        <v>73</v>
      </c>
      <c r="D3" s="122">
        <v>380</v>
      </c>
      <c r="E3" s="122"/>
      <c r="F3" s="122"/>
      <c r="G3" s="122"/>
      <c r="H3" s="122"/>
      <c r="I3" s="122"/>
    </row>
    <row r="4" spans="1:9" ht="60">
      <c r="A4" s="52" t="s">
        <v>55</v>
      </c>
      <c r="B4" s="70" t="s">
        <v>56</v>
      </c>
      <c r="C4" s="70"/>
      <c r="D4" s="52" t="s">
        <v>24</v>
      </c>
      <c r="E4" s="52" t="s">
        <v>57</v>
      </c>
      <c r="F4" s="52" t="s">
        <v>58</v>
      </c>
      <c r="G4" s="52" t="s">
        <v>59</v>
      </c>
      <c r="H4" s="52" t="s">
        <v>60</v>
      </c>
      <c r="I4" s="52" t="s">
        <v>61</v>
      </c>
    </row>
    <row r="5" spans="1:9" ht="63" customHeight="1">
      <c r="A5" s="52">
        <v>1</v>
      </c>
      <c r="B5" s="122" t="s">
        <v>74</v>
      </c>
      <c r="C5" s="122"/>
      <c r="D5" s="123" t="s">
        <v>63</v>
      </c>
      <c r="E5" s="123"/>
      <c r="F5" s="123"/>
      <c r="G5" s="123">
        <v>2</v>
      </c>
      <c r="H5" s="124">
        <f>(G5*10)/SUM($G$5:$G$11)</f>
        <v>0.52631578947368418</v>
      </c>
      <c r="I5" s="125">
        <f>IF(E5="X",((G5*10)/SUM($G$5:$G$11)),0)</f>
        <v>0</v>
      </c>
    </row>
    <row r="6" spans="1:9" ht="69" customHeight="1">
      <c r="A6" s="52">
        <v>2</v>
      </c>
      <c r="B6" s="122" t="s">
        <v>75</v>
      </c>
      <c r="C6" s="122"/>
      <c r="D6" s="123" t="s">
        <v>63</v>
      </c>
      <c r="E6" s="123"/>
      <c r="F6" s="123"/>
      <c r="G6" s="123">
        <v>6</v>
      </c>
      <c r="H6" s="124">
        <f t="shared" ref="H6:H11" si="0">(G6*10)/SUM($G$5:$G$11)</f>
        <v>1.5789473684210527</v>
      </c>
      <c r="I6" s="125">
        <f t="shared" ref="I6:I11" si="1">IF(E6="X",((G6*10)/SUM($G$5:$G$11)),0)</f>
        <v>0</v>
      </c>
    </row>
    <row r="7" spans="1:9" ht="31.5" customHeight="1">
      <c r="A7" s="52">
        <v>3</v>
      </c>
      <c r="B7" s="122" t="s">
        <v>76</v>
      </c>
      <c r="C7" s="122"/>
      <c r="D7" s="123"/>
      <c r="E7" s="123" t="s">
        <v>63</v>
      </c>
      <c r="F7" s="123"/>
      <c r="G7" s="123">
        <v>10</v>
      </c>
      <c r="H7" s="124">
        <f t="shared" si="0"/>
        <v>2.6315789473684212</v>
      </c>
      <c r="I7" s="125">
        <f t="shared" si="1"/>
        <v>2.6315789473684212</v>
      </c>
    </row>
    <row r="8" spans="1:9" ht="47.25" customHeight="1">
      <c r="A8" s="52">
        <v>4</v>
      </c>
      <c r="B8" s="122" t="s">
        <v>77</v>
      </c>
      <c r="C8" s="122"/>
      <c r="D8" s="123"/>
      <c r="E8" s="123" t="s">
        <v>63</v>
      </c>
      <c r="F8" s="123"/>
      <c r="G8" s="123">
        <v>10</v>
      </c>
      <c r="H8" s="124">
        <f t="shared" si="0"/>
        <v>2.6315789473684212</v>
      </c>
      <c r="I8" s="125">
        <f t="shared" si="1"/>
        <v>2.6315789473684212</v>
      </c>
    </row>
    <row r="9" spans="1:9" ht="47.25" customHeight="1">
      <c r="A9" s="52">
        <v>5</v>
      </c>
      <c r="B9" s="122" t="s">
        <v>78</v>
      </c>
      <c r="C9" s="122"/>
      <c r="D9" s="123"/>
      <c r="E9" s="123" t="s">
        <v>63</v>
      </c>
      <c r="F9" s="123"/>
      <c r="G9" s="123">
        <v>6</v>
      </c>
      <c r="H9" s="124">
        <f t="shared" si="0"/>
        <v>1.5789473684210527</v>
      </c>
      <c r="I9" s="125">
        <f t="shared" si="1"/>
        <v>1.5789473684210527</v>
      </c>
    </row>
    <row r="10" spans="1:9" ht="35.25" customHeight="1">
      <c r="A10" s="52">
        <v>6</v>
      </c>
      <c r="B10" s="122" t="s">
        <v>79</v>
      </c>
      <c r="C10" s="122"/>
      <c r="D10" s="123" t="s">
        <v>63</v>
      </c>
      <c r="E10" s="123"/>
      <c r="F10" s="123"/>
      <c r="G10" s="123">
        <v>2</v>
      </c>
      <c r="H10" s="124">
        <f t="shared" si="0"/>
        <v>0.52631578947368418</v>
      </c>
      <c r="I10" s="125">
        <f t="shared" si="1"/>
        <v>0</v>
      </c>
    </row>
    <row r="11" spans="1:9" ht="44.25" customHeight="1">
      <c r="A11" s="52">
        <v>7</v>
      </c>
      <c r="B11" s="122" t="s">
        <v>80</v>
      </c>
      <c r="C11" s="122"/>
      <c r="D11" s="123" t="s">
        <v>63</v>
      </c>
      <c r="E11" s="123"/>
      <c r="F11" s="123"/>
      <c r="G11" s="123">
        <v>2</v>
      </c>
      <c r="H11" s="124">
        <f t="shared" si="0"/>
        <v>0.52631578947368418</v>
      </c>
      <c r="I11" s="125">
        <f t="shared" si="1"/>
        <v>0</v>
      </c>
    </row>
    <row r="12" spans="1:9" ht="15.75" customHeight="1">
      <c r="A12" s="71" t="s">
        <v>71</v>
      </c>
      <c r="B12" s="72"/>
      <c r="C12" s="72"/>
      <c r="D12" s="72"/>
      <c r="E12" s="72"/>
      <c r="F12" s="72"/>
      <c r="G12" s="72"/>
      <c r="H12" s="29">
        <f>SUM(H5:H11)</f>
        <v>10.000000000000002</v>
      </c>
      <c r="I12" s="20">
        <f>SUM(I5:I11)</f>
        <v>6.8421052631578956</v>
      </c>
    </row>
  </sheetData>
  <mergeCells count="15">
    <mergeCell ref="A1:B1"/>
    <mergeCell ref="A2:B2"/>
    <mergeCell ref="C1:I1"/>
    <mergeCell ref="C2:I2"/>
    <mergeCell ref="A12:G12"/>
    <mergeCell ref="B11:C11"/>
    <mergeCell ref="A3:B3"/>
    <mergeCell ref="B4:C4"/>
    <mergeCell ref="B5:C5"/>
    <mergeCell ref="B6:C6"/>
    <mergeCell ref="B7:C7"/>
    <mergeCell ref="B8:C8"/>
    <mergeCell ref="B9:C9"/>
    <mergeCell ref="B10:C10"/>
    <mergeCell ref="D3:I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9CE0E-A885-40D1-AD87-8402AB32567C}">
  <sheetPr>
    <tabColor rgb="FF92D050"/>
  </sheetPr>
  <dimension ref="A1:J14"/>
  <sheetViews>
    <sheetView workbookViewId="0">
      <selection activeCell="B8" sqref="A1:J14"/>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23</v>
      </c>
      <c r="D2" s="74"/>
      <c r="E2" s="74"/>
      <c r="F2" s="74"/>
      <c r="G2" s="74"/>
      <c r="H2" s="74"/>
      <c r="I2" s="74"/>
      <c r="J2" s="75"/>
    </row>
    <row r="3" spans="1:10" ht="45">
      <c r="A3" s="70" t="s">
        <v>81</v>
      </c>
      <c r="B3" s="70"/>
      <c r="C3" s="18" t="s">
        <v>82</v>
      </c>
      <c r="D3" s="55" t="s">
        <v>83</v>
      </c>
      <c r="E3" s="122">
        <v>570</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34.5" customHeight="1">
      <c r="A5" s="52">
        <v>1</v>
      </c>
      <c r="B5" s="122" t="s">
        <v>84</v>
      </c>
      <c r="C5" s="122"/>
      <c r="D5" s="122"/>
      <c r="E5" s="123"/>
      <c r="F5" s="123" t="s">
        <v>63</v>
      </c>
      <c r="G5" s="123"/>
      <c r="H5" s="123">
        <v>10</v>
      </c>
      <c r="I5" s="124">
        <f>(H5*10)/SUM($H$5:$H$13)</f>
        <v>1.3513513513513513</v>
      </c>
      <c r="J5" s="125">
        <f>IF(F5="X",((H5*10)/SUM($H$5:$H$13)),0)</f>
        <v>1.3513513513513513</v>
      </c>
    </row>
    <row r="6" spans="1:10" ht="21" customHeight="1">
      <c r="A6" s="52">
        <v>2</v>
      </c>
      <c r="B6" s="122" t="s">
        <v>85</v>
      </c>
      <c r="C6" s="122"/>
      <c r="D6" s="122"/>
      <c r="E6" s="123"/>
      <c r="F6" s="123" t="s">
        <v>63</v>
      </c>
      <c r="G6" s="123"/>
      <c r="H6" s="123">
        <v>10</v>
      </c>
      <c r="I6" s="124">
        <f t="shared" ref="I6:I13" si="0">(H6*10)/SUM($H$5:$H$13)</f>
        <v>1.3513513513513513</v>
      </c>
      <c r="J6" s="125">
        <f t="shared" ref="J6:J13" si="1">IF(F6="X",((H6*10)/SUM($H$5:$H$13)),0)</f>
        <v>1.3513513513513513</v>
      </c>
    </row>
    <row r="7" spans="1:10" ht="33" customHeight="1">
      <c r="A7" s="52">
        <v>3</v>
      </c>
      <c r="B7" s="122" t="s">
        <v>86</v>
      </c>
      <c r="C7" s="122"/>
      <c r="D7" s="122"/>
      <c r="E7" s="123" t="s">
        <v>63</v>
      </c>
      <c r="F7" s="123"/>
      <c r="G7" s="123"/>
      <c r="H7" s="123">
        <v>6</v>
      </c>
      <c r="I7" s="124">
        <f t="shared" si="0"/>
        <v>0.81081081081081086</v>
      </c>
      <c r="J7" s="125">
        <f t="shared" si="1"/>
        <v>0</v>
      </c>
    </row>
    <row r="8" spans="1:10" ht="60" customHeight="1">
      <c r="A8" s="52">
        <v>4</v>
      </c>
      <c r="B8" s="122" t="s">
        <v>87</v>
      </c>
      <c r="C8" s="122"/>
      <c r="D8" s="122"/>
      <c r="E8" s="123"/>
      <c r="F8" s="123" t="s">
        <v>63</v>
      </c>
      <c r="G8" s="123"/>
      <c r="H8" s="123">
        <v>10</v>
      </c>
      <c r="I8" s="124">
        <f t="shared" si="0"/>
        <v>1.3513513513513513</v>
      </c>
      <c r="J8" s="125">
        <f t="shared" si="1"/>
        <v>1.3513513513513513</v>
      </c>
    </row>
    <row r="9" spans="1:10" ht="33" customHeight="1">
      <c r="A9" s="52">
        <v>5</v>
      </c>
      <c r="B9" s="122" t="s">
        <v>88</v>
      </c>
      <c r="C9" s="122"/>
      <c r="D9" s="122"/>
      <c r="E9" s="123"/>
      <c r="F9" s="123" t="s">
        <v>63</v>
      </c>
      <c r="G9" s="123"/>
      <c r="H9" s="123">
        <v>6</v>
      </c>
      <c r="I9" s="124">
        <f t="shared" si="0"/>
        <v>0.81081081081081086</v>
      </c>
      <c r="J9" s="125">
        <f t="shared" si="1"/>
        <v>0.81081081081081086</v>
      </c>
    </row>
    <row r="10" spans="1:10" ht="34.5" customHeight="1">
      <c r="A10" s="52">
        <v>6</v>
      </c>
      <c r="B10" s="122" t="s">
        <v>89</v>
      </c>
      <c r="C10" s="122"/>
      <c r="D10" s="122"/>
      <c r="E10" s="123"/>
      <c r="F10" s="123" t="s">
        <v>63</v>
      </c>
      <c r="G10" s="123"/>
      <c r="H10" s="123">
        <v>6</v>
      </c>
      <c r="I10" s="124">
        <f t="shared" si="0"/>
        <v>0.81081081081081086</v>
      </c>
      <c r="J10" s="125">
        <f t="shared" si="1"/>
        <v>0.81081081081081086</v>
      </c>
    </row>
    <row r="11" spans="1:10" ht="74.25" customHeight="1">
      <c r="A11" s="52">
        <v>7</v>
      </c>
      <c r="B11" s="122" t="s">
        <v>90</v>
      </c>
      <c r="C11" s="122"/>
      <c r="D11" s="122"/>
      <c r="E11" s="123" t="s">
        <v>63</v>
      </c>
      <c r="F11" s="123"/>
      <c r="G11" s="123"/>
      <c r="H11" s="123">
        <v>10</v>
      </c>
      <c r="I11" s="124">
        <f t="shared" si="0"/>
        <v>1.3513513513513513</v>
      </c>
      <c r="J11" s="125">
        <f>IF(F11="X",((H11*10)/SUM($H$5:$H$13)),0)</f>
        <v>0</v>
      </c>
    </row>
    <row r="12" spans="1:10" ht="32.25" customHeight="1">
      <c r="A12" s="52">
        <v>8</v>
      </c>
      <c r="B12" s="122" t="s">
        <v>91</v>
      </c>
      <c r="C12" s="122"/>
      <c r="D12" s="122"/>
      <c r="E12" s="123"/>
      <c r="F12" s="123" t="s">
        <v>63</v>
      </c>
      <c r="G12" s="123"/>
      <c r="H12" s="123">
        <v>10</v>
      </c>
      <c r="I12" s="124">
        <f t="shared" si="0"/>
        <v>1.3513513513513513</v>
      </c>
      <c r="J12" s="125">
        <f t="shared" si="1"/>
        <v>1.3513513513513513</v>
      </c>
    </row>
    <row r="13" spans="1:10" ht="51" customHeight="1">
      <c r="A13" s="52">
        <v>9</v>
      </c>
      <c r="B13" s="122" t="s">
        <v>92</v>
      </c>
      <c r="C13" s="122"/>
      <c r="D13" s="122"/>
      <c r="E13" s="123" t="s">
        <v>63</v>
      </c>
      <c r="F13" s="123"/>
      <c r="G13" s="123"/>
      <c r="H13" s="123">
        <v>6</v>
      </c>
      <c r="I13" s="124">
        <f t="shared" si="0"/>
        <v>0.81081081081081086</v>
      </c>
      <c r="J13" s="125">
        <f t="shared" si="1"/>
        <v>0</v>
      </c>
    </row>
    <row r="14" spans="1:10" ht="15" customHeight="1">
      <c r="A14" s="71" t="s">
        <v>71</v>
      </c>
      <c r="B14" s="72"/>
      <c r="C14" s="72"/>
      <c r="D14" s="72"/>
      <c r="E14" s="72"/>
      <c r="F14" s="72"/>
      <c r="G14" s="72"/>
      <c r="H14" s="72"/>
      <c r="I14" s="29">
        <f>SUM(I5:I13)</f>
        <v>9.9999999999999982</v>
      </c>
      <c r="J14" s="19">
        <f>SUM(J5:J13)</f>
        <v>7.0270270270270263</v>
      </c>
    </row>
  </sheetData>
  <mergeCells count="17">
    <mergeCell ref="A14:H14"/>
    <mergeCell ref="A3:B3"/>
    <mergeCell ref="B4:D4"/>
    <mergeCell ref="B11:D11"/>
    <mergeCell ref="B12:D12"/>
    <mergeCell ref="E3:J3"/>
    <mergeCell ref="B13:D13"/>
    <mergeCell ref="B5:D5"/>
    <mergeCell ref="B6:D6"/>
    <mergeCell ref="B7:D7"/>
    <mergeCell ref="B8:D8"/>
    <mergeCell ref="B9:D9"/>
    <mergeCell ref="B10:D10"/>
    <mergeCell ref="A1:B1"/>
    <mergeCell ref="A2:B2"/>
    <mergeCell ref="C1:J1"/>
    <mergeCell ref="C2:J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71FAD-051E-43D0-B53F-5D48CE592145}">
  <sheetPr>
    <tabColor rgb="FF92D050"/>
  </sheetPr>
  <dimension ref="A1:J15"/>
  <sheetViews>
    <sheetView workbookViewId="0">
      <selection sqref="A1:B1"/>
    </sheetView>
  </sheetViews>
  <sheetFormatPr defaultColWidth="11.42578125" defaultRowHeight="15"/>
  <cols>
    <col min="1" max="1" width="5.7109375" style="1" customWidth="1"/>
    <col min="2" max="4" width="16" customWidth="1"/>
    <col min="5" max="6" width="5.7109375" customWidth="1"/>
  </cols>
  <sheetData>
    <row r="1" spans="1:10" ht="63.75" customHeight="1">
      <c r="A1" s="78" t="s">
        <v>81</v>
      </c>
      <c r="B1" s="78"/>
      <c r="C1" s="4" t="s">
        <v>93</v>
      </c>
      <c r="D1" s="3" t="s">
        <v>94</v>
      </c>
      <c r="E1" s="79" t="s">
        <v>95</v>
      </c>
      <c r="F1" s="80"/>
      <c r="G1" s="80"/>
      <c r="H1" s="80"/>
      <c r="I1" s="81"/>
    </row>
    <row r="2" spans="1:10" ht="57">
      <c r="A2" s="54" t="s">
        <v>55</v>
      </c>
      <c r="B2" s="78" t="s">
        <v>56</v>
      </c>
      <c r="C2" s="78"/>
      <c r="D2" s="78"/>
      <c r="E2" s="54" t="s">
        <v>24</v>
      </c>
      <c r="F2" s="54" t="s">
        <v>57</v>
      </c>
      <c r="G2" s="54" t="s">
        <v>58</v>
      </c>
      <c r="H2" s="2" t="s">
        <v>59</v>
      </c>
      <c r="I2" s="2" t="s">
        <v>60</v>
      </c>
      <c r="J2" s="12" t="s">
        <v>96</v>
      </c>
    </row>
    <row r="3" spans="1:10" ht="47.25" customHeight="1">
      <c r="A3" s="54">
        <v>1</v>
      </c>
      <c r="B3" s="76" t="s">
        <v>97</v>
      </c>
      <c r="C3" s="76"/>
      <c r="D3" s="76"/>
      <c r="E3" s="53"/>
      <c r="F3" s="53" t="s">
        <v>63</v>
      </c>
      <c r="G3" s="53"/>
      <c r="H3" s="53">
        <v>10</v>
      </c>
      <c r="I3" s="6">
        <f>+H3*$I$14/$H$14</f>
        <v>1.6666666666666667</v>
      </c>
      <c r="J3" s="13">
        <f>+I3</f>
        <v>1.6666666666666667</v>
      </c>
    </row>
    <row r="4" spans="1:10" ht="47.25" customHeight="1">
      <c r="A4" s="54">
        <v>2</v>
      </c>
      <c r="B4" s="76" t="s">
        <v>98</v>
      </c>
      <c r="C4" s="76"/>
      <c r="D4" s="76"/>
      <c r="E4" s="14" t="s">
        <v>63</v>
      </c>
      <c r="F4" s="14"/>
      <c r="G4" s="53"/>
      <c r="H4" s="53">
        <v>2</v>
      </c>
      <c r="I4" s="6">
        <f>+H4*$I$14/$H$14</f>
        <v>0.33333333333333331</v>
      </c>
      <c r="J4">
        <v>0</v>
      </c>
    </row>
    <row r="5" spans="1:10" ht="33" customHeight="1">
      <c r="A5" s="54">
        <v>3</v>
      </c>
      <c r="B5" s="76" t="s">
        <v>99</v>
      </c>
      <c r="C5" s="76"/>
      <c r="D5" s="76"/>
      <c r="E5" s="14"/>
      <c r="F5" s="14" t="s">
        <v>63</v>
      </c>
      <c r="G5" s="53"/>
      <c r="H5" s="53">
        <v>6</v>
      </c>
      <c r="I5" s="6">
        <f t="shared" ref="I5:I12" si="0">+H5*$I$14/$H$14</f>
        <v>1</v>
      </c>
      <c r="J5">
        <v>1</v>
      </c>
    </row>
    <row r="6" spans="1:10" ht="18" customHeight="1">
      <c r="A6" s="54">
        <v>4</v>
      </c>
      <c r="B6" s="76" t="s">
        <v>100</v>
      </c>
      <c r="C6" s="76"/>
      <c r="D6" s="76"/>
      <c r="E6" s="14" t="s">
        <v>63</v>
      </c>
      <c r="F6" s="14"/>
      <c r="G6" s="53"/>
      <c r="H6" s="53">
        <v>6</v>
      </c>
      <c r="I6" s="6">
        <f t="shared" si="0"/>
        <v>1</v>
      </c>
      <c r="J6">
        <v>0</v>
      </c>
    </row>
    <row r="7" spans="1:10" ht="30" customHeight="1">
      <c r="A7" s="54">
        <v>5</v>
      </c>
      <c r="B7" s="76" t="s">
        <v>101</v>
      </c>
      <c r="C7" s="76"/>
      <c r="D7" s="76"/>
      <c r="E7" s="14"/>
      <c r="F7" s="14" t="s">
        <v>63</v>
      </c>
      <c r="G7" s="53"/>
      <c r="H7" s="53">
        <v>10</v>
      </c>
      <c r="I7" s="6">
        <f t="shared" si="0"/>
        <v>1.6666666666666667</v>
      </c>
      <c r="J7">
        <v>1.67</v>
      </c>
    </row>
    <row r="8" spans="1:10" ht="47.25" customHeight="1">
      <c r="A8" s="54">
        <v>6</v>
      </c>
      <c r="B8" s="76" t="s">
        <v>102</v>
      </c>
      <c r="C8" s="76"/>
      <c r="D8" s="76"/>
      <c r="E8" s="14" t="s">
        <v>63</v>
      </c>
      <c r="F8" s="14"/>
      <c r="G8" s="53"/>
      <c r="H8" s="53">
        <v>10</v>
      </c>
      <c r="I8" s="6">
        <f t="shared" si="0"/>
        <v>1.6666666666666667</v>
      </c>
      <c r="J8">
        <v>0</v>
      </c>
    </row>
    <row r="9" spans="1:10" ht="47.25" customHeight="1">
      <c r="A9" s="54">
        <v>7</v>
      </c>
      <c r="B9" s="76" t="s">
        <v>103</v>
      </c>
      <c r="C9" s="76"/>
      <c r="D9" s="76"/>
      <c r="E9" s="14" t="s">
        <v>63</v>
      </c>
      <c r="F9" s="14"/>
      <c r="G9" s="53"/>
      <c r="H9" s="53">
        <v>2</v>
      </c>
      <c r="I9" s="6">
        <f t="shared" si="0"/>
        <v>0.33333333333333331</v>
      </c>
      <c r="J9">
        <v>0</v>
      </c>
    </row>
    <row r="10" spans="1:10" ht="47.25" customHeight="1">
      <c r="A10" s="54">
        <v>8</v>
      </c>
      <c r="B10" s="76" t="s">
        <v>104</v>
      </c>
      <c r="C10" s="76"/>
      <c r="D10" s="76"/>
      <c r="E10" s="14"/>
      <c r="F10" s="14"/>
      <c r="G10" s="53" t="s">
        <v>63</v>
      </c>
      <c r="H10" s="53">
        <v>2</v>
      </c>
      <c r="I10" s="6">
        <f t="shared" si="0"/>
        <v>0.33333333333333331</v>
      </c>
      <c r="J10">
        <v>0.33</v>
      </c>
    </row>
    <row r="11" spans="1:10" ht="35.25" customHeight="1">
      <c r="A11" s="54">
        <v>9</v>
      </c>
      <c r="B11" s="76" t="s">
        <v>105</v>
      </c>
      <c r="C11" s="76"/>
      <c r="D11" s="76"/>
      <c r="E11" s="14"/>
      <c r="F11" s="14" t="s">
        <v>63</v>
      </c>
      <c r="G11" s="53"/>
      <c r="H11" s="53">
        <v>6</v>
      </c>
      <c r="I11" s="6">
        <f t="shared" si="0"/>
        <v>1</v>
      </c>
      <c r="J11">
        <v>1</v>
      </c>
    </row>
    <row r="12" spans="1:10" ht="33.75" customHeight="1">
      <c r="A12" s="54">
        <v>10</v>
      </c>
      <c r="B12" s="76" t="s">
        <v>106</v>
      </c>
      <c r="C12" s="76"/>
      <c r="D12" s="76"/>
      <c r="E12" s="14"/>
      <c r="F12" s="14" t="s">
        <v>63</v>
      </c>
      <c r="G12" s="53"/>
      <c r="H12" s="53">
        <v>6</v>
      </c>
      <c r="I12" s="6">
        <f t="shared" si="0"/>
        <v>1</v>
      </c>
      <c r="J12">
        <v>1</v>
      </c>
    </row>
    <row r="13" spans="1:10" ht="15" customHeight="1">
      <c r="A13" s="77" t="s">
        <v>71</v>
      </c>
      <c r="B13" s="77"/>
      <c r="C13" s="77"/>
      <c r="D13" s="77"/>
      <c r="E13" s="77"/>
      <c r="F13" s="77"/>
      <c r="G13" s="77"/>
      <c r="H13" s="77"/>
      <c r="I13" s="5">
        <f>SUM(I3:I12)</f>
        <v>10</v>
      </c>
    </row>
    <row r="14" spans="1:10">
      <c r="H14">
        <f>SUM(H3:H12)</f>
        <v>60</v>
      </c>
      <c r="I14">
        <v>10</v>
      </c>
      <c r="J14" s="13">
        <f>SUM(J3:J12)</f>
        <v>6.666666666666667</v>
      </c>
    </row>
    <row r="15" spans="1:10" ht="15.75">
      <c r="H15" s="7">
        <v>2</v>
      </c>
    </row>
  </sheetData>
  <mergeCells count="14">
    <mergeCell ref="B5:D5"/>
    <mergeCell ref="A1:B1"/>
    <mergeCell ref="E1:I1"/>
    <mergeCell ref="B2:D2"/>
    <mergeCell ref="B3:D3"/>
    <mergeCell ref="B4:D4"/>
    <mergeCell ref="B12:D12"/>
    <mergeCell ref="A13:H13"/>
    <mergeCell ref="B6:D6"/>
    <mergeCell ref="B7:D7"/>
    <mergeCell ref="B8:D8"/>
    <mergeCell ref="B9:D9"/>
    <mergeCell ref="B10:D10"/>
    <mergeCell ref="B11:D1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A2E9-412A-464F-A246-90135B546CB8}">
  <sheetPr>
    <tabColor rgb="FF92D050"/>
  </sheetPr>
  <dimension ref="A1:J17"/>
  <sheetViews>
    <sheetView workbookViewId="0">
      <selection activeCell="B8" sqref="A1:J15"/>
    </sheetView>
  </sheetViews>
  <sheetFormatPr defaultColWidth="11.42578125" defaultRowHeight="14.25"/>
  <cols>
    <col min="1" max="1" width="5.7109375" style="23" customWidth="1"/>
    <col min="2" max="4" width="16" style="21" customWidth="1"/>
    <col min="5" max="6" width="5.7109375" style="21" customWidth="1"/>
    <col min="7" max="7" width="11.42578125" style="21"/>
    <col min="8" max="8" width="12" style="21" bestFit="1" customWidth="1"/>
    <col min="9" max="9" width="12" style="21" customWidth="1"/>
    <col min="10" max="10" width="12.42578125" style="2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23</v>
      </c>
      <c r="D2" s="74"/>
      <c r="E2" s="74"/>
      <c r="F2" s="74"/>
      <c r="G2" s="74"/>
      <c r="H2" s="74"/>
      <c r="I2" s="74"/>
      <c r="J2" s="75"/>
    </row>
    <row r="3" spans="1:10" ht="45">
      <c r="A3" s="70" t="s">
        <v>81</v>
      </c>
      <c r="B3" s="70"/>
      <c r="C3" s="18" t="s">
        <v>93</v>
      </c>
      <c r="D3" s="55" t="s">
        <v>94</v>
      </c>
      <c r="E3" s="122" t="s">
        <v>95</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7.25" customHeight="1">
      <c r="A5" s="52">
        <v>1</v>
      </c>
      <c r="B5" s="122" t="s">
        <v>97</v>
      </c>
      <c r="C5" s="122"/>
      <c r="D5" s="122"/>
      <c r="E5" s="123"/>
      <c r="F5" s="123" t="s">
        <v>63</v>
      </c>
      <c r="G5" s="123"/>
      <c r="H5" s="123">
        <v>10</v>
      </c>
      <c r="I5" s="124">
        <f>(H5*10)/SUM($H$5:$H$14)</f>
        <v>1.9230769230769231</v>
      </c>
      <c r="J5" s="125">
        <f>IF(F5="X",((H5*10)/SUM($H$5:$H$14)),0)</f>
        <v>1.9230769230769231</v>
      </c>
    </row>
    <row r="6" spans="1:10" ht="47.25" customHeight="1">
      <c r="A6" s="52">
        <v>2</v>
      </c>
      <c r="B6" s="122" t="s">
        <v>98</v>
      </c>
      <c r="C6" s="122"/>
      <c r="D6" s="122"/>
      <c r="E6" s="123" t="s">
        <v>63</v>
      </c>
      <c r="F6" s="123"/>
      <c r="G6" s="123"/>
      <c r="H6" s="123">
        <v>2</v>
      </c>
      <c r="I6" s="124">
        <f t="shared" ref="I6:I14" si="0">(H6*10)/SUM($H$5:$H$14)</f>
        <v>0.38461538461538464</v>
      </c>
      <c r="J6" s="125">
        <f t="shared" ref="J6:J14" si="1">IF(F6="X",((H6*10)/SUM($H$5:$H$14)),0)</f>
        <v>0</v>
      </c>
    </row>
    <row r="7" spans="1:10" ht="33" customHeight="1">
      <c r="A7" s="52">
        <v>3</v>
      </c>
      <c r="B7" s="122" t="s">
        <v>99</v>
      </c>
      <c r="C7" s="122"/>
      <c r="D7" s="122"/>
      <c r="E7" s="123"/>
      <c r="F7" s="123" t="s">
        <v>63</v>
      </c>
      <c r="G7" s="123"/>
      <c r="H7" s="123">
        <v>6</v>
      </c>
      <c r="I7" s="124">
        <f t="shared" si="0"/>
        <v>1.1538461538461537</v>
      </c>
      <c r="J7" s="125">
        <f t="shared" si="1"/>
        <v>1.1538461538461537</v>
      </c>
    </row>
    <row r="8" spans="1:10" ht="31.5" customHeight="1">
      <c r="A8" s="52">
        <v>4</v>
      </c>
      <c r="B8" s="122" t="s">
        <v>100</v>
      </c>
      <c r="C8" s="122"/>
      <c r="D8" s="122"/>
      <c r="E8" s="123" t="s">
        <v>63</v>
      </c>
      <c r="F8" s="123"/>
      <c r="G8" s="123"/>
      <c r="H8" s="123">
        <v>6</v>
      </c>
      <c r="I8" s="124">
        <f t="shared" si="0"/>
        <v>1.1538461538461537</v>
      </c>
      <c r="J8" s="125">
        <f t="shared" si="1"/>
        <v>0</v>
      </c>
    </row>
    <row r="9" spans="1:10" ht="30" customHeight="1">
      <c r="A9" s="52">
        <v>5</v>
      </c>
      <c r="B9" s="122" t="s">
        <v>101</v>
      </c>
      <c r="C9" s="122"/>
      <c r="D9" s="122"/>
      <c r="E9" s="123"/>
      <c r="F9" s="123" t="s">
        <v>63</v>
      </c>
      <c r="G9" s="123"/>
      <c r="H9" s="123">
        <v>10</v>
      </c>
      <c r="I9" s="124">
        <f t="shared" si="0"/>
        <v>1.9230769230769231</v>
      </c>
      <c r="J9" s="125">
        <f t="shared" si="1"/>
        <v>1.9230769230769231</v>
      </c>
    </row>
    <row r="10" spans="1:10" ht="47.25" customHeight="1">
      <c r="A10" s="52">
        <v>6</v>
      </c>
      <c r="B10" s="122" t="s">
        <v>102</v>
      </c>
      <c r="C10" s="122"/>
      <c r="D10" s="122"/>
      <c r="E10" s="123" t="s">
        <v>63</v>
      </c>
      <c r="F10" s="123"/>
      <c r="G10" s="123"/>
      <c r="H10" s="123">
        <v>6</v>
      </c>
      <c r="I10" s="124">
        <f t="shared" si="0"/>
        <v>1.1538461538461537</v>
      </c>
      <c r="J10" s="125">
        <f t="shared" si="1"/>
        <v>0</v>
      </c>
    </row>
    <row r="11" spans="1:10" ht="47.25" customHeight="1">
      <c r="A11" s="52">
        <v>7</v>
      </c>
      <c r="B11" s="122" t="s">
        <v>103</v>
      </c>
      <c r="C11" s="122"/>
      <c r="D11" s="122"/>
      <c r="E11" s="123" t="s">
        <v>63</v>
      </c>
      <c r="F11" s="123"/>
      <c r="G11" s="123"/>
      <c r="H11" s="123">
        <v>2</v>
      </c>
      <c r="I11" s="124">
        <f t="shared" si="0"/>
        <v>0.38461538461538464</v>
      </c>
      <c r="J11" s="125">
        <f t="shared" si="1"/>
        <v>0</v>
      </c>
    </row>
    <row r="12" spans="1:10" ht="47.25" customHeight="1">
      <c r="A12" s="52">
        <v>8</v>
      </c>
      <c r="B12" s="122" t="s">
        <v>104</v>
      </c>
      <c r="C12" s="122"/>
      <c r="D12" s="122"/>
      <c r="E12" s="123"/>
      <c r="F12" s="123"/>
      <c r="G12" s="123" t="s">
        <v>63</v>
      </c>
      <c r="H12" s="123">
        <v>6</v>
      </c>
      <c r="I12" s="124">
        <f t="shared" si="0"/>
        <v>1.1538461538461537</v>
      </c>
      <c r="J12" s="125">
        <f t="shared" si="1"/>
        <v>0</v>
      </c>
    </row>
    <row r="13" spans="1:10" ht="45" customHeight="1">
      <c r="A13" s="52">
        <v>9</v>
      </c>
      <c r="B13" s="122" t="s">
        <v>105</v>
      </c>
      <c r="C13" s="122"/>
      <c r="D13" s="122"/>
      <c r="E13" s="123"/>
      <c r="F13" s="123" t="s">
        <v>63</v>
      </c>
      <c r="G13" s="123"/>
      <c r="H13" s="123">
        <v>2</v>
      </c>
      <c r="I13" s="124">
        <f t="shared" si="0"/>
        <v>0.38461538461538464</v>
      </c>
      <c r="J13" s="125">
        <f t="shared" si="1"/>
        <v>0.38461538461538464</v>
      </c>
    </row>
    <row r="14" spans="1:10" ht="33.75" customHeight="1">
      <c r="A14" s="52">
        <v>10</v>
      </c>
      <c r="B14" s="122" t="s">
        <v>106</v>
      </c>
      <c r="C14" s="122"/>
      <c r="D14" s="122"/>
      <c r="E14" s="123"/>
      <c r="F14" s="123" t="s">
        <v>63</v>
      </c>
      <c r="G14" s="123"/>
      <c r="H14" s="123">
        <v>2</v>
      </c>
      <c r="I14" s="126">
        <f t="shared" si="0"/>
        <v>0.38461538461538464</v>
      </c>
      <c r="J14" s="125">
        <f t="shared" si="1"/>
        <v>0.38461538461538464</v>
      </c>
    </row>
    <row r="15" spans="1:10" ht="15" customHeight="1">
      <c r="A15" s="71" t="s">
        <v>71</v>
      </c>
      <c r="B15" s="72"/>
      <c r="C15" s="72"/>
      <c r="D15" s="72"/>
      <c r="E15" s="72"/>
      <c r="F15" s="72"/>
      <c r="G15" s="72"/>
      <c r="H15" s="82"/>
      <c r="I15" s="28">
        <f>SUM(I5:I14)</f>
        <v>10</v>
      </c>
      <c r="J15" s="30">
        <f>SUM(J5:J14)</f>
        <v>5.7692307692307701</v>
      </c>
    </row>
    <row r="17" spans="8:9">
      <c r="H17" s="118"/>
      <c r="I17" s="118"/>
    </row>
  </sheetData>
  <mergeCells count="18">
    <mergeCell ref="A15:H15"/>
    <mergeCell ref="E3:J3"/>
    <mergeCell ref="B11:D11"/>
    <mergeCell ref="B12:D12"/>
    <mergeCell ref="B13:D13"/>
    <mergeCell ref="B14:D14"/>
    <mergeCell ref="B10:D10"/>
    <mergeCell ref="A3:B3"/>
    <mergeCell ref="B4:D4"/>
    <mergeCell ref="B5:D5"/>
    <mergeCell ref="B6:D6"/>
    <mergeCell ref="B7:D7"/>
    <mergeCell ref="B8:D8"/>
    <mergeCell ref="B9:D9"/>
    <mergeCell ref="A1:B1"/>
    <mergeCell ref="A2:B2"/>
    <mergeCell ref="C1:J1"/>
    <mergeCell ref="C2:J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F16E6-D100-42F7-9042-D2B8C035042B}">
  <sheetPr>
    <tabColor rgb="FF92D050"/>
  </sheetPr>
  <dimension ref="A1:J17"/>
  <sheetViews>
    <sheetView workbookViewId="0">
      <selection activeCell="B4" sqref="A1:J17"/>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23</v>
      </c>
      <c r="D2" s="74"/>
      <c r="E2" s="74"/>
      <c r="F2" s="74"/>
      <c r="G2" s="74"/>
      <c r="H2" s="74"/>
      <c r="I2" s="74"/>
      <c r="J2" s="75"/>
    </row>
    <row r="3" spans="1:10" ht="36.75" customHeight="1">
      <c r="A3" s="70" t="s">
        <v>81</v>
      </c>
      <c r="B3" s="70"/>
      <c r="C3" s="18" t="s">
        <v>93</v>
      </c>
      <c r="D3" s="55" t="s">
        <v>107</v>
      </c>
      <c r="E3" s="122" t="s">
        <v>108</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8" customHeight="1">
      <c r="A5" s="52">
        <v>1</v>
      </c>
      <c r="B5" s="122" t="s">
        <v>109</v>
      </c>
      <c r="C5" s="122"/>
      <c r="D5" s="122"/>
      <c r="E5" s="123" t="s">
        <v>63</v>
      </c>
      <c r="F5" s="123"/>
      <c r="G5" s="123"/>
      <c r="H5" s="123">
        <v>2</v>
      </c>
      <c r="I5" s="124">
        <f t="shared" ref="I5:I10" si="0">(H5*10)/SUM($H$5:$H$16)</f>
        <v>0.33333333333333331</v>
      </c>
      <c r="J5" s="125">
        <f>IF(F5="X",((H5*10)/SUM($H$5:$H$16)),0)</f>
        <v>0</v>
      </c>
    </row>
    <row r="6" spans="1:10" ht="46.5" customHeight="1">
      <c r="A6" s="52">
        <v>2</v>
      </c>
      <c r="B6" s="122" t="s">
        <v>110</v>
      </c>
      <c r="C6" s="122"/>
      <c r="D6" s="122"/>
      <c r="E6" s="123"/>
      <c r="F6" s="123"/>
      <c r="G6" s="123" t="s">
        <v>63</v>
      </c>
      <c r="H6" s="123">
        <v>6</v>
      </c>
      <c r="I6" s="124">
        <f t="shared" si="0"/>
        <v>1</v>
      </c>
      <c r="J6" s="125">
        <f t="shared" ref="J6:J15" si="1">IF(F6="X",((H6*10)/SUM($H$5:$H$16)),0)</f>
        <v>0</v>
      </c>
    </row>
    <row r="7" spans="1:10" ht="62.25" customHeight="1">
      <c r="A7" s="52">
        <v>3</v>
      </c>
      <c r="B7" s="122" t="s">
        <v>111</v>
      </c>
      <c r="C7" s="122"/>
      <c r="D7" s="122"/>
      <c r="E7" s="123"/>
      <c r="F7" s="123"/>
      <c r="G7" s="123" t="s">
        <v>63</v>
      </c>
      <c r="H7" s="123">
        <v>10</v>
      </c>
      <c r="I7" s="124">
        <f t="shared" si="0"/>
        <v>1.6666666666666667</v>
      </c>
      <c r="J7" s="125">
        <f t="shared" si="1"/>
        <v>0</v>
      </c>
    </row>
    <row r="8" spans="1:10" ht="48" customHeight="1">
      <c r="A8" s="52">
        <v>4</v>
      </c>
      <c r="B8" s="122" t="s">
        <v>112</v>
      </c>
      <c r="C8" s="122"/>
      <c r="D8" s="122"/>
      <c r="E8" s="123"/>
      <c r="F8" s="123"/>
      <c r="G8" s="123" t="s">
        <v>63</v>
      </c>
      <c r="H8" s="123">
        <v>10</v>
      </c>
      <c r="I8" s="124">
        <f t="shared" si="0"/>
        <v>1.6666666666666667</v>
      </c>
      <c r="J8" s="125">
        <f t="shared" si="1"/>
        <v>0</v>
      </c>
    </row>
    <row r="9" spans="1:10" ht="36" customHeight="1">
      <c r="A9" s="52">
        <v>5</v>
      </c>
      <c r="B9" s="122" t="s">
        <v>113</v>
      </c>
      <c r="C9" s="122"/>
      <c r="D9" s="122"/>
      <c r="E9" s="123"/>
      <c r="F9" s="123"/>
      <c r="G9" s="123" t="s">
        <v>63</v>
      </c>
      <c r="H9" s="123">
        <v>10</v>
      </c>
      <c r="I9" s="124">
        <f t="shared" si="0"/>
        <v>1.6666666666666667</v>
      </c>
      <c r="J9" s="125">
        <f t="shared" si="1"/>
        <v>0</v>
      </c>
    </row>
    <row r="10" spans="1:10" ht="35.25" customHeight="1">
      <c r="A10" s="52">
        <v>6</v>
      </c>
      <c r="B10" s="122" t="s">
        <v>114</v>
      </c>
      <c r="C10" s="122"/>
      <c r="D10" s="122"/>
      <c r="E10" s="123"/>
      <c r="F10" s="123"/>
      <c r="G10" s="123" t="s">
        <v>63</v>
      </c>
      <c r="H10" s="123">
        <v>2</v>
      </c>
      <c r="I10" s="124">
        <f t="shared" si="0"/>
        <v>0.33333333333333331</v>
      </c>
      <c r="J10" s="125">
        <f t="shared" si="1"/>
        <v>0</v>
      </c>
    </row>
    <row r="11" spans="1:10" ht="59.25" customHeight="1">
      <c r="A11" s="52">
        <v>7</v>
      </c>
      <c r="B11" s="122" t="s">
        <v>115</v>
      </c>
      <c r="C11" s="122"/>
      <c r="D11" s="122"/>
      <c r="E11" s="123"/>
      <c r="F11" s="123"/>
      <c r="G11" s="123" t="s">
        <v>63</v>
      </c>
      <c r="H11" s="123">
        <v>2</v>
      </c>
      <c r="I11" s="124">
        <f t="shared" ref="I11:I16" si="2">(H11*10)/SUM($H$5:$H$16)</f>
        <v>0.33333333333333331</v>
      </c>
      <c r="J11" s="125">
        <f t="shared" si="1"/>
        <v>0</v>
      </c>
    </row>
    <row r="12" spans="1:10" ht="47.25" customHeight="1">
      <c r="A12" s="52">
        <v>8</v>
      </c>
      <c r="B12" s="122" t="s">
        <v>116</v>
      </c>
      <c r="C12" s="122"/>
      <c r="D12" s="122"/>
      <c r="E12" s="123"/>
      <c r="F12" s="123" t="s">
        <v>63</v>
      </c>
      <c r="G12" s="123"/>
      <c r="H12" s="123">
        <v>6</v>
      </c>
      <c r="I12" s="124">
        <f t="shared" si="2"/>
        <v>1</v>
      </c>
      <c r="J12" s="125">
        <f t="shared" si="1"/>
        <v>1</v>
      </c>
    </row>
    <row r="13" spans="1:10" ht="33.75" customHeight="1">
      <c r="A13" s="52">
        <v>9</v>
      </c>
      <c r="B13" s="122" t="s">
        <v>117</v>
      </c>
      <c r="C13" s="122"/>
      <c r="D13" s="122"/>
      <c r="E13" s="123"/>
      <c r="F13" s="123" t="s">
        <v>63</v>
      </c>
      <c r="G13" s="123"/>
      <c r="H13" s="123">
        <v>6</v>
      </c>
      <c r="I13" s="124">
        <f t="shared" si="2"/>
        <v>1</v>
      </c>
      <c r="J13" s="125">
        <f t="shared" si="1"/>
        <v>1</v>
      </c>
    </row>
    <row r="14" spans="1:10" ht="33" customHeight="1">
      <c r="A14" s="52">
        <v>10</v>
      </c>
      <c r="B14" s="122" t="s">
        <v>118</v>
      </c>
      <c r="C14" s="122"/>
      <c r="D14" s="122"/>
      <c r="E14" s="123"/>
      <c r="F14" s="123" t="s">
        <v>63</v>
      </c>
      <c r="G14" s="123"/>
      <c r="H14" s="123">
        <v>2</v>
      </c>
      <c r="I14" s="124">
        <f t="shared" si="2"/>
        <v>0.33333333333333331</v>
      </c>
      <c r="J14" s="125">
        <f t="shared" si="1"/>
        <v>0.33333333333333331</v>
      </c>
    </row>
    <row r="15" spans="1:10" ht="31.5" customHeight="1">
      <c r="A15" s="52">
        <v>11</v>
      </c>
      <c r="B15" s="122" t="s">
        <v>119</v>
      </c>
      <c r="C15" s="122"/>
      <c r="D15" s="122"/>
      <c r="E15" s="123" t="s">
        <v>63</v>
      </c>
      <c r="F15" s="123"/>
      <c r="G15" s="123"/>
      <c r="H15" s="123">
        <v>2</v>
      </c>
      <c r="I15" s="124">
        <f t="shared" si="2"/>
        <v>0.33333333333333331</v>
      </c>
      <c r="J15" s="125">
        <f t="shared" si="1"/>
        <v>0</v>
      </c>
    </row>
    <row r="16" spans="1:10" ht="46.5" customHeight="1">
      <c r="A16" s="52">
        <v>12</v>
      </c>
      <c r="B16" s="122" t="s">
        <v>120</v>
      </c>
      <c r="C16" s="122"/>
      <c r="D16" s="122"/>
      <c r="E16" s="123" t="s">
        <v>63</v>
      </c>
      <c r="F16" s="123"/>
      <c r="G16" s="123"/>
      <c r="H16" s="123">
        <v>2</v>
      </c>
      <c r="I16" s="124">
        <f t="shared" si="2"/>
        <v>0.33333333333333331</v>
      </c>
      <c r="J16" s="125">
        <f>IF(F16="X",((H16*10)/SUM($H$5:$H$16)),0)</f>
        <v>0</v>
      </c>
    </row>
    <row r="17" spans="1:10" ht="15" customHeight="1">
      <c r="A17" s="83" t="s">
        <v>71</v>
      </c>
      <c r="B17" s="83"/>
      <c r="C17" s="83"/>
      <c r="D17" s="83"/>
      <c r="E17" s="83"/>
      <c r="F17" s="83"/>
      <c r="G17" s="83"/>
      <c r="H17" s="83"/>
      <c r="I17" s="28">
        <f>SUM(I5:I16)</f>
        <v>10.000000000000002</v>
      </c>
      <c r="J17" s="19">
        <f>SUM(J5:J16)</f>
        <v>2.3333333333333335</v>
      </c>
    </row>
  </sheetData>
  <mergeCells count="20">
    <mergeCell ref="A17:H17"/>
    <mergeCell ref="B10:D10"/>
    <mergeCell ref="A3:B3"/>
    <mergeCell ref="B4:D4"/>
    <mergeCell ref="B5:D5"/>
    <mergeCell ref="B6:D6"/>
    <mergeCell ref="B7:D7"/>
    <mergeCell ref="B8:D8"/>
    <mergeCell ref="B9:D9"/>
    <mergeCell ref="E3:J3"/>
    <mergeCell ref="B11:D11"/>
    <mergeCell ref="B12:D12"/>
    <mergeCell ref="B13:D13"/>
    <mergeCell ref="B14:D14"/>
    <mergeCell ref="B15:D15"/>
    <mergeCell ref="A1:B1"/>
    <mergeCell ref="A2:B2"/>
    <mergeCell ref="C1:J1"/>
    <mergeCell ref="C2:J2"/>
    <mergeCell ref="B16:D1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77B77-95A8-42C0-A765-46C6712ADD34}">
  <sheetPr>
    <tabColor rgb="FF92D050"/>
  </sheetPr>
  <dimension ref="A1:K16"/>
  <sheetViews>
    <sheetView workbookViewId="0">
      <selection sqref="A1:B1"/>
    </sheetView>
  </sheetViews>
  <sheetFormatPr defaultColWidth="11.42578125" defaultRowHeight="14.25"/>
  <cols>
    <col min="1" max="1" width="5.7109375" style="21" customWidth="1"/>
    <col min="2" max="4" width="16" style="21" customWidth="1"/>
    <col min="5" max="6" width="5.7109375" style="21" customWidth="1"/>
    <col min="7" max="8" width="11.42578125" style="21"/>
    <col min="9" max="9" width="13" style="21" bestFit="1" customWidth="1"/>
    <col min="10" max="16384" width="11.42578125" style="21"/>
  </cols>
  <sheetData>
    <row r="1" spans="1:11" ht="54" customHeight="1">
      <c r="A1" s="70" t="s">
        <v>81</v>
      </c>
      <c r="B1" s="70"/>
      <c r="C1" s="18" t="s">
        <v>93</v>
      </c>
      <c r="D1" s="55" t="s">
        <v>121</v>
      </c>
      <c r="E1" s="122" t="s">
        <v>122</v>
      </c>
      <c r="F1" s="122"/>
      <c r="G1" s="122"/>
      <c r="H1" s="122"/>
      <c r="I1" s="122"/>
      <c r="J1" s="127"/>
      <c r="K1" s="127"/>
    </row>
    <row r="2" spans="1:11" ht="90">
      <c r="A2" s="52" t="s">
        <v>55</v>
      </c>
      <c r="B2" s="70" t="s">
        <v>56</v>
      </c>
      <c r="C2" s="70"/>
      <c r="D2" s="70"/>
      <c r="E2" s="52" t="s">
        <v>24</v>
      </c>
      <c r="F2" s="52" t="s">
        <v>57</v>
      </c>
      <c r="G2" s="52" t="s">
        <v>58</v>
      </c>
      <c r="H2" s="52" t="s">
        <v>59</v>
      </c>
      <c r="I2" s="52" t="s">
        <v>61</v>
      </c>
      <c r="J2" s="22" t="s">
        <v>60</v>
      </c>
      <c r="K2" s="16" t="s">
        <v>123</v>
      </c>
    </row>
    <row r="3" spans="1:11" ht="38.25" customHeight="1">
      <c r="A3" s="52">
        <v>1</v>
      </c>
      <c r="B3" s="122" t="s">
        <v>124</v>
      </c>
      <c r="C3" s="122"/>
      <c r="D3" s="122"/>
      <c r="E3" s="123"/>
      <c r="F3" s="123" t="s">
        <v>63</v>
      </c>
      <c r="G3" s="123"/>
      <c r="H3" s="128">
        <v>6</v>
      </c>
      <c r="I3" s="128">
        <f t="shared" ref="I3:I14" si="0">IF(H3="","",IF(H3=0,0,+H3/($A$14)))</f>
        <v>0.5</v>
      </c>
      <c r="J3" s="127">
        <f>+H3*10/$H$16</f>
        <v>0.88235294117647056</v>
      </c>
      <c r="K3" s="127"/>
    </row>
    <row r="4" spans="1:11" ht="31.5" customHeight="1">
      <c r="A4" s="52">
        <v>2</v>
      </c>
      <c r="B4" s="122" t="s">
        <v>125</v>
      </c>
      <c r="C4" s="122"/>
      <c r="D4" s="122"/>
      <c r="E4" s="123"/>
      <c r="F4" s="123" t="s">
        <v>63</v>
      </c>
      <c r="G4" s="123"/>
      <c r="H4" s="128">
        <v>6</v>
      </c>
      <c r="I4" s="128">
        <f t="shared" si="0"/>
        <v>0.5</v>
      </c>
      <c r="J4" s="127">
        <f t="shared" ref="J4:J14" si="1">+H4*10/$H$16</f>
        <v>0.88235294117647056</v>
      </c>
      <c r="K4" s="127"/>
    </row>
    <row r="5" spans="1:11" ht="39" customHeight="1">
      <c r="A5" s="52">
        <v>3</v>
      </c>
      <c r="B5" s="122" t="s">
        <v>126</v>
      </c>
      <c r="C5" s="122"/>
      <c r="D5" s="122"/>
      <c r="E5" s="123" t="s">
        <v>63</v>
      </c>
      <c r="F5" s="123"/>
      <c r="G5" s="123"/>
      <c r="H5" s="128">
        <v>2</v>
      </c>
      <c r="I5" s="128">
        <f t="shared" si="0"/>
        <v>0.16666666666666666</v>
      </c>
      <c r="J5" s="127">
        <f t="shared" si="1"/>
        <v>0.29411764705882354</v>
      </c>
      <c r="K5" s="127">
        <v>0</v>
      </c>
    </row>
    <row r="6" spans="1:11" ht="81.75" customHeight="1">
      <c r="A6" s="52">
        <v>4</v>
      </c>
      <c r="B6" s="122" t="s">
        <v>127</v>
      </c>
      <c r="C6" s="122"/>
      <c r="D6" s="122"/>
      <c r="E6" s="123"/>
      <c r="F6" s="123" t="s">
        <v>63</v>
      </c>
      <c r="G6" s="123"/>
      <c r="H6" s="128">
        <v>6</v>
      </c>
      <c r="I6" s="128">
        <f t="shared" si="0"/>
        <v>0.5</v>
      </c>
      <c r="J6" s="127">
        <f t="shared" si="1"/>
        <v>0.88235294117647056</v>
      </c>
      <c r="K6" s="127"/>
    </row>
    <row r="7" spans="1:11" ht="54.75" customHeight="1">
      <c r="A7" s="52">
        <v>5</v>
      </c>
      <c r="B7" s="122" t="s">
        <v>128</v>
      </c>
      <c r="C7" s="122"/>
      <c r="D7" s="122"/>
      <c r="E7" s="123"/>
      <c r="F7" s="123" t="s">
        <v>63</v>
      </c>
      <c r="G7" s="123"/>
      <c r="H7" s="128">
        <v>6</v>
      </c>
      <c r="I7" s="128">
        <f t="shared" si="0"/>
        <v>0.5</v>
      </c>
      <c r="J7" s="127">
        <f t="shared" si="1"/>
        <v>0.88235294117647056</v>
      </c>
      <c r="K7" s="127"/>
    </row>
    <row r="8" spans="1:11" ht="100.5" customHeight="1">
      <c r="A8" s="52">
        <v>6</v>
      </c>
      <c r="B8" s="122" t="s">
        <v>129</v>
      </c>
      <c r="C8" s="122"/>
      <c r="D8" s="122"/>
      <c r="E8" s="123" t="s">
        <v>63</v>
      </c>
      <c r="F8" s="123"/>
      <c r="G8" s="123"/>
      <c r="H8" s="128">
        <v>6</v>
      </c>
      <c r="I8" s="128">
        <f t="shared" si="0"/>
        <v>0.5</v>
      </c>
      <c r="J8" s="127">
        <f t="shared" si="1"/>
        <v>0.88235294117647056</v>
      </c>
      <c r="K8" s="127"/>
    </row>
    <row r="9" spans="1:11" ht="47.25" customHeight="1">
      <c r="A9" s="52">
        <v>7</v>
      </c>
      <c r="B9" s="122" t="s">
        <v>130</v>
      </c>
      <c r="C9" s="122"/>
      <c r="D9" s="122"/>
      <c r="E9" s="123"/>
      <c r="F9" s="123" t="s">
        <v>63</v>
      </c>
      <c r="G9" s="123"/>
      <c r="H9" s="128">
        <v>6</v>
      </c>
      <c r="I9" s="128">
        <f t="shared" si="0"/>
        <v>0.5</v>
      </c>
      <c r="J9" s="127">
        <f t="shared" si="1"/>
        <v>0.88235294117647056</v>
      </c>
      <c r="K9" s="127"/>
    </row>
    <row r="10" spans="1:11" ht="31.5" customHeight="1">
      <c r="A10" s="52">
        <v>8</v>
      </c>
      <c r="B10" s="122" t="s">
        <v>131</v>
      </c>
      <c r="C10" s="122"/>
      <c r="D10" s="122"/>
      <c r="E10" s="123" t="s">
        <v>63</v>
      </c>
      <c r="F10" s="123"/>
      <c r="G10" s="123"/>
      <c r="H10" s="128">
        <v>10</v>
      </c>
      <c r="I10" s="128">
        <f t="shared" si="0"/>
        <v>0.83333333333333337</v>
      </c>
      <c r="J10" s="127">
        <f t="shared" si="1"/>
        <v>1.4705882352941178</v>
      </c>
      <c r="K10" s="127"/>
    </row>
    <row r="11" spans="1:11" ht="37.5" customHeight="1">
      <c r="A11" s="52">
        <v>9</v>
      </c>
      <c r="B11" s="122" t="s">
        <v>132</v>
      </c>
      <c r="C11" s="122"/>
      <c r="D11" s="122"/>
      <c r="E11" s="123" t="s">
        <v>63</v>
      </c>
      <c r="F11" s="123"/>
      <c r="G11" s="123"/>
      <c r="H11" s="128">
        <v>2</v>
      </c>
      <c r="I11" s="128">
        <f t="shared" si="0"/>
        <v>0.16666666666666666</v>
      </c>
      <c r="J11" s="127">
        <f t="shared" si="1"/>
        <v>0.29411764705882354</v>
      </c>
      <c r="K11" s="127"/>
    </row>
    <row r="12" spans="1:11" ht="35.25" customHeight="1">
      <c r="A12" s="52">
        <v>10</v>
      </c>
      <c r="B12" s="122" t="s">
        <v>133</v>
      </c>
      <c r="C12" s="122"/>
      <c r="D12" s="122"/>
      <c r="E12" s="123" t="s">
        <v>63</v>
      </c>
      <c r="F12" s="123"/>
      <c r="G12" s="123"/>
      <c r="H12" s="128">
        <v>6</v>
      </c>
      <c r="I12" s="128">
        <f t="shared" si="0"/>
        <v>0.5</v>
      </c>
      <c r="J12" s="127">
        <f t="shared" si="1"/>
        <v>0.88235294117647056</v>
      </c>
      <c r="K12" s="127"/>
    </row>
    <row r="13" spans="1:11" ht="37.5" customHeight="1">
      <c r="A13" s="52">
        <v>11</v>
      </c>
      <c r="B13" s="122" t="s">
        <v>134</v>
      </c>
      <c r="C13" s="122"/>
      <c r="D13" s="122"/>
      <c r="E13" s="123" t="s">
        <v>63</v>
      </c>
      <c r="F13" s="123"/>
      <c r="G13" s="123"/>
      <c r="H13" s="128">
        <v>10</v>
      </c>
      <c r="I13" s="128">
        <f t="shared" si="0"/>
        <v>0.83333333333333337</v>
      </c>
      <c r="J13" s="127">
        <f t="shared" si="1"/>
        <v>1.4705882352941178</v>
      </c>
      <c r="K13" s="127"/>
    </row>
    <row r="14" spans="1:11" ht="64.5" customHeight="1">
      <c r="A14" s="52">
        <v>12</v>
      </c>
      <c r="B14" s="122" t="s">
        <v>135</v>
      </c>
      <c r="C14" s="122"/>
      <c r="D14" s="122"/>
      <c r="E14" s="123" t="s">
        <v>63</v>
      </c>
      <c r="F14" s="123"/>
      <c r="G14" s="123"/>
      <c r="H14" s="128">
        <v>2</v>
      </c>
      <c r="I14" s="128">
        <f t="shared" si="0"/>
        <v>0.16666666666666666</v>
      </c>
      <c r="J14" s="127">
        <f t="shared" si="1"/>
        <v>0.29411764705882354</v>
      </c>
      <c r="K14" s="127"/>
    </row>
    <row r="15" spans="1:11" ht="15" customHeight="1">
      <c r="A15" s="83" t="s">
        <v>71</v>
      </c>
      <c r="B15" s="83"/>
      <c r="C15" s="83"/>
      <c r="D15" s="83"/>
      <c r="E15" s="83"/>
      <c r="F15" s="83"/>
      <c r="G15" s="83"/>
      <c r="H15" s="83"/>
      <c r="I15" s="55">
        <f>SUM(I3:I14)</f>
        <v>5.666666666666667</v>
      </c>
      <c r="J15" s="127"/>
      <c r="K15" s="127"/>
    </row>
    <row r="16" spans="1:11">
      <c r="A16" s="127"/>
      <c r="B16" s="127"/>
      <c r="C16" s="127"/>
      <c r="D16" s="127"/>
      <c r="E16" s="127"/>
      <c r="F16" s="127"/>
      <c r="G16" s="127"/>
      <c r="H16" s="127">
        <f>SUM(H3:H14)</f>
        <v>68</v>
      </c>
      <c r="I16" s="127">
        <v>10</v>
      </c>
      <c r="J16" s="127">
        <v>10</v>
      </c>
      <c r="K16" s="127"/>
    </row>
  </sheetData>
  <mergeCells count="16">
    <mergeCell ref="B5:D5"/>
    <mergeCell ref="A1:B1"/>
    <mergeCell ref="E1:I1"/>
    <mergeCell ref="B2:D2"/>
    <mergeCell ref="B3:D3"/>
    <mergeCell ref="B4:D4"/>
    <mergeCell ref="B12:D12"/>
    <mergeCell ref="B13:D13"/>
    <mergeCell ref="B14:D14"/>
    <mergeCell ref="A15:H15"/>
    <mergeCell ref="B6:D6"/>
    <mergeCell ref="B7:D7"/>
    <mergeCell ref="B8:D8"/>
    <mergeCell ref="B9:D9"/>
    <mergeCell ref="B10:D10"/>
    <mergeCell ref="B11:D1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8B889-992A-4A17-A07B-5C7CDB9136BD}">
  <sheetPr>
    <tabColor rgb="FF92D050"/>
  </sheetPr>
  <dimension ref="A1:J17"/>
  <sheetViews>
    <sheetView workbookViewId="0">
      <selection activeCell="B7" sqref="A1:J17"/>
    </sheetView>
  </sheetViews>
  <sheetFormatPr defaultColWidth="11.42578125" defaultRowHeight="14.25"/>
  <cols>
    <col min="1" max="1" width="5.7109375" style="21" customWidth="1"/>
    <col min="2" max="4" width="16" style="21" customWidth="1"/>
    <col min="5" max="6" width="5.7109375" style="21" customWidth="1"/>
    <col min="7" max="7" width="11.42578125" style="21"/>
    <col min="8" max="8" width="12" style="21" bestFit="1" customWidth="1"/>
    <col min="9" max="9" width="12" style="21" customWidth="1"/>
    <col min="10" max="10" width="13"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23</v>
      </c>
      <c r="D2" s="74"/>
      <c r="E2" s="74"/>
      <c r="F2" s="74"/>
      <c r="G2" s="74"/>
      <c r="H2" s="74"/>
      <c r="I2" s="74"/>
      <c r="J2" s="75"/>
    </row>
    <row r="3" spans="1:10" ht="45">
      <c r="A3" s="70" t="s">
        <v>81</v>
      </c>
      <c r="B3" s="70"/>
      <c r="C3" s="18" t="s">
        <v>93</v>
      </c>
      <c r="D3" s="55" t="s">
        <v>121</v>
      </c>
      <c r="E3" s="122" t="s">
        <v>122</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36" customHeight="1">
      <c r="A5" s="52">
        <v>1</v>
      </c>
      <c r="B5" s="122" t="s">
        <v>124</v>
      </c>
      <c r="C5" s="122"/>
      <c r="D5" s="122"/>
      <c r="E5" s="123"/>
      <c r="F5" s="123" t="s">
        <v>63</v>
      </c>
      <c r="G5" s="123"/>
      <c r="H5" s="128">
        <v>6</v>
      </c>
      <c r="I5" s="125">
        <f>(H5*10)/SUM($H$5:$H$16)</f>
        <v>1.0714285714285714</v>
      </c>
      <c r="J5" s="125">
        <f>IF(F5="X",((H5*10)/SUM($H$5:$H$16)),0)</f>
        <v>1.0714285714285714</v>
      </c>
    </row>
    <row r="6" spans="1:10" ht="31.5" customHeight="1">
      <c r="A6" s="52">
        <v>2</v>
      </c>
      <c r="B6" s="122" t="s">
        <v>125</v>
      </c>
      <c r="C6" s="122"/>
      <c r="D6" s="122"/>
      <c r="E6" s="123"/>
      <c r="F6" s="123" t="s">
        <v>63</v>
      </c>
      <c r="G6" s="123"/>
      <c r="H6" s="128">
        <v>2</v>
      </c>
      <c r="I6" s="125">
        <f t="shared" ref="I6:I16" si="0">(H6*10)/SUM($H$5:$H$16)</f>
        <v>0.35714285714285715</v>
      </c>
      <c r="J6" s="125">
        <f t="shared" ref="J6:J16" si="1">IF(F6="X",((H6*10)/SUM($H$5:$H$16)),0)</f>
        <v>0.35714285714285715</v>
      </c>
    </row>
    <row r="7" spans="1:10" ht="35.25" customHeight="1">
      <c r="A7" s="52">
        <v>3</v>
      </c>
      <c r="B7" s="122" t="s">
        <v>126</v>
      </c>
      <c r="C7" s="122"/>
      <c r="D7" s="122"/>
      <c r="E7" s="123" t="s">
        <v>63</v>
      </c>
      <c r="F7" s="123"/>
      <c r="G7" s="123"/>
      <c r="H7" s="128">
        <v>2</v>
      </c>
      <c r="I7" s="125">
        <f t="shared" si="0"/>
        <v>0.35714285714285715</v>
      </c>
      <c r="J7" s="125">
        <f t="shared" si="1"/>
        <v>0</v>
      </c>
    </row>
    <row r="8" spans="1:10" ht="75.75" customHeight="1">
      <c r="A8" s="52">
        <v>4</v>
      </c>
      <c r="B8" s="122" t="s">
        <v>127</v>
      </c>
      <c r="C8" s="122"/>
      <c r="D8" s="122"/>
      <c r="E8" s="123"/>
      <c r="F8" s="123" t="s">
        <v>63</v>
      </c>
      <c r="G8" s="123"/>
      <c r="H8" s="128">
        <v>6</v>
      </c>
      <c r="I8" s="125">
        <f t="shared" si="0"/>
        <v>1.0714285714285714</v>
      </c>
      <c r="J8" s="125">
        <f t="shared" si="1"/>
        <v>1.0714285714285714</v>
      </c>
    </row>
    <row r="9" spans="1:10" ht="59.25" customHeight="1">
      <c r="A9" s="52">
        <v>5</v>
      </c>
      <c r="B9" s="122" t="s">
        <v>128</v>
      </c>
      <c r="C9" s="122"/>
      <c r="D9" s="122"/>
      <c r="E9" s="123"/>
      <c r="F9" s="123" t="s">
        <v>63</v>
      </c>
      <c r="G9" s="123"/>
      <c r="H9" s="128">
        <v>10</v>
      </c>
      <c r="I9" s="125">
        <f t="shared" si="0"/>
        <v>1.7857142857142858</v>
      </c>
      <c r="J9" s="125">
        <f>IF(F9="X",((H9*10)/SUM($H$5:$H$16)),0)</f>
        <v>1.7857142857142858</v>
      </c>
    </row>
    <row r="10" spans="1:10" ht="90.75" customHeight="1">
      <c r="A10" s="52">
        <v>6</v>
      </c>
      <c r="B10" s="122" t="s">
        <v>129</v>
      </c>
      <c r="C10" s="122"/>
      <c r="D10" s="122"/>
      <c r="E10" s="123" t="s">
        <v>63</v>
      </c>
      <c r="F10" s="123"/>
      <c r="G10" s="123"/>
      <c r="H10" s="128">
        <v>6</v>
      </c>
      <c r="I10" s="125">
        <f t="shared" si="0"/>
        <v>1.0714285714285714</v>
      </c>
      <c r="J10" s="125">
        <f t="shared" si="1"/>
        <v>0</v>
      </c>
    </row>
    <row r="11" spans="1:10" ht="45.75" customHeight="1">
      <c r="A11" s="52">
        <v>7</v>
      </c>
      <c r="B11" s="122" t="s">
        <v>130</v>
      </c>
      <c r="C11" s="122"/>
      <c r="D11" s="122"/>
      <c r="E11" s="123"/>
      <c r="F11" s="123" t="s">
        <v>63</v>
      </c>
      <c r="G11" s="123"/>
      <c r="H11" s="128">
        <v>6</v>
      </c>
      <c r="I11" s="125">
        <f t="shared" si="0"/>
        <v>1.0714285714285714</v>
      </c>
      <c r="J11" s="125">
        <f t="shared" si="1"/>
        <v>1.0714285714285714</v>
      </c>
    </row>
    <row r="12" spans="1:10" ht="31.5" customHeight="1">
      <c r="A12" s="52">
        <v>8</v>
      </c>
      <c r="B12" s="122" t="s">
        <v>131</v>
      </c>
      <c r="C12" s="122"/>
      <c r="D12" s="122"/>
      <c r="E12" s="123" t="s">
        <v>63</v>
      </c>
      <c r="F12" s="123"/>
      <c r="G12" s="123"/>
      <c r="H12" s="128">
        <v>2</v>
      </c>
      <c r="I12" s="125">
        <f t="shared" si="0"/>
        <v>0.35714285714285715</v>
      </c>
      <c r="J12" s="125">
        <f t="shared" si="1"/>
        <v>0</v>
      </c>
    </row>
    <row r="13" spans="1:10" ht="33.75" customHeight="1">
      <c r="A13" s="52">
        <v>9</v>
      </c>
      <c r="B13" s="122" t="s">
        <v>132</v>
      </c>
      <c r="C13" s="122"/>
      <c r="D13" s="122"/>
      <c r="E13" s="123" t="s">
        <v>63</v>
      </c>
      <c r="F13" s="123"/>
      <c r="G13" s="123"/>
      <c r="H13" s="128">
        <v>2</v>
      </c>
      <c r="I13" s="125">
        <f t="shared" si="0"/>
        <v>0.35714285714285715</v>
      </c>
      <c r="J13" s="125">
        <f t="shared" si="1"/>
        <v>0</v>
      </c>
    </row>
    <row r="14" spans="1:10" ht="35.25" customHeight="1">
      <c r="A14" s="52">
        <v>10</v>
      </c>
      <c r="B14" s="122" t="s">
        <v>133</v>
      </c>
      <c r="C14" s="122"/>
      <c r="D14" s="122"/>
      <c r="E14" s="123" t="s">
        <v>63</v>
      </c>
      <c r="F14" s="123"/>
      <c r="G14" s="123"/>
      <c r="H14" s="128">
        <v>2</v>
      </c>
      <c r="I14" s="125">
        <f t="shared" si="0"/>
        <v>0.35714285714285715</v>
      </c>
      <c r="J14" s="125">
        <f t="shared" si="1"/>
        <v>0</v>
      </c>
    </row>
    <row r="15" spans="1:10" ht="46.5" customHeight="1">
      <c r="A15" s="52">
        <v>11</v>
      </c>
      <c r="B15" s="122" t="s">
        <v>134</v>
      </c>
      <c r="C15" s="122"/>
      <c r="D15" s="122"/>
      <c r="E15" s="123" t="s">
        <v>63</v>
      </c>
      <c r="F15" s="123"/>
      <c r="G15" s="123"/>
      <c r="H15" s="128">
        <v>6</v>
      </c>
      <c r="I15" s="125">
        <f t="shared" si="0"/>
        <v>1.0714285714285714</v>
      </c>
      <c r="J15" s="125">
        <f t="shared" si="1"/>
        <v>0</v>
      </c>
    </row>
    <row r="16" spans="1:10" ht="61.5" customHeight="1">
      <c r="A16" s="52">
        <v>12</v>
      </c>
      <c r="B16" s="122" t="s">
        <v>135</v>
      </c>
      <c r="C16" s="122"/>
      <c r="D16" s="122"/>
      <c r="E16" s="123" t="s">
        <v>63</v>
      </c>
      <c r="F16" s="123"/>
      <c r="G16" s="123"/>
      <c r="H16" s="128">
        <v>6</v>
      </c>
      <c r="I16" s="125">
        <f t="shared" si="0"/>
        <v>1.0714285714285714</v>
      </c>
      <c r="J16" s="125">
        <f t="shared" si="1"/>
        <v>0</v>
      </c>
    </row>
    <row r="17" spans="1:10" ht="15" customHeight="1">
      <c r="A17" s="83" t="s">
        <v>71</v>
      </c>
      <c r="B17" s="83"/>
      <c r="C17" s="83"/>
      <c r="D17" s="83"/>
      <c r="E17" s="83"/>
      <c r="F17" s="83"/>
      <c r="G17" s="83"/>
      <c r="H17" s="83"/>
      <c r="I17" s="28">
        <f>SUM(I5:I16)</f>
        <v>9.9999999999999982</v>
      </c>
      <c r="J17" s="19">
        <f>SUM(J5:J16)</f>
        <v>5.3571428571428568</v>
      </c>
    </row>
  </sheetData>
  <mergeCells count="20">
    <mergeCell ref="A17:H17"/>
    <mergeCell ref="B10:D10"/>
    <mergeCell ref="A3:B3"/>
    <mergeCell ref="B4:D4"/>
    <mergeCell ref="B5:D5"/>
    <mergeCell ref="B6:D6"/>
    <mergeCell ref="B7:D7"/>
    <mergeCell ref="B8:D8"/>
    <mergeCell ref="B9:D9"/>
    <mergeCell ref="E3:J3"/>
    <mergeCell ref="B11:D11"/>
    <mergeCell ref="B12:D12"/>
    <mergeCell ref="B13:D13"/>
    <mergeCell ref="B14:D14"/>
    <mergeCell ref="B15:D15"/>
    <mergeCell ref="A1:B1"/>
    <mergeCell ref="A2:B2"/>
    <mergeCell ref="C1:J1"/>
    <mergeCell ref="C2:J2"/>
    <mergeCell ref="B16:D1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EDBEC-ABE5-4798-A130-058AF629BD96}">
  <sheetPr>
    <tabColor rgb="FF92D050"/>
  </sheetPr>
  <dimension ref="A1:J13"/>
  <sheetViews>
    <sheetView workbookViewId="0">
      <selection activeCell="B6" sqref="A1:J13"/>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23</v>
      </c>
      <c r="D2" s="74"/>
      <c r="E2" s="74"/>
      <c r="F2" s="74"/>
      <c r="G2" s="74"/>
      <c r="H2" s="74"/>
      <c r="I2" s="74"/>
      <c r="J2" s="75"/>
    </row>
    <row r="3" spans="1:10" ht="45">
      <c r="A3" s="70" t="s">
        <v>81</v>
      </c>
      <c r="B3" s="70"/>
      <c r="C3" s="18" t="s">
        <v>93</v>
      </c>
      <c r="D3" s="55" t="s">
        <v>136</v>
      </c>
      <c r="E3" s="122" t="s">
        <v>137</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7.25" customHeight="1">
      <c r="A5" s="52">
        <v>1</v>
      </c>
      <c r="B5" s="122" t="s">
        <v>138</v>
      </c>
      <c r="C5" s="122"/>
      <c r="D5" s="122"/>
      <c r="E5" s="123"/>
      <c r="F5" s="123" t="s">
        <v>63</v>
      </c>
      <c r="G5" s="123"/>
      <c r="H5" s="123">
        <v>6</v>
      </c>
      <c r="I5" s="124">
        <f>(H5*10)/SUM($H$5:$H$12)</f>
        <v>1.25</v>
      </c>
      <c r="J5" s="125">
        <f>IF(F5="X",((H5*10)/SUM($H$5:$H$12)),0)</f>
        <v>1.25</v>
      </c>
    </row>
    <row r="6" spans="1:10" ht="47.25" customHeight="1">
      <c r="A6" s="52">
        <v>2</v>
      </c>
      <c r="B6" s="122" t="s">
        <v>139</v>
      </c>
      <c r="C6" s="122"/>
      <c r="D6" s="122"/>
      <c r="E6" s="123"/>
      <c r="F6" s="123" t="s">
        <v>63</v>
      </c>
      <c r="G6" s="123"/>
      <c r="H6" s="123">
        <v>6</v>
      </c>
      <c r="I6" s="124">
        <f t="shared" ref="I6:I12" si="0">(H6*10)/SUM($H$5:$H$12)</f>
        <v>1.25</v>
      </c>
      <c r="J6" s="125">
        <f t="shared" ref="J6:J12" si="1">IF(F6="X",((H6*10)/SUM($H$5:$H$12)),0)</f>
        <v>1.25</v>
      </c>
    </row>
    <row r="7" spans="1:10" ht="59.25" customHeight="1">
      <c r="A7" s="52">
        <v>3</v>
      </c>
      <c r="B7" s="122" t="s">
        <v>140</v>
      </c>
      <c r="C7" s="122"/>
      <c r="D7" s="122"/>
      <c r="E7" s="123"/>
      <c r="F7" s="123" t="s">
        <v>63</v>
      </c>
      <c r="G7" s="123"/>
      <c r="H7" s="123">
        <v>6</v>
      </c>
      <c r="I7" s="124">
        <f t="shared" si="0"/>
        <v>1.25</v>
      </c>
      <c r="J7" s="125">
        <f t="shared" si="1"/>
        <v>1.25</v>
      </c>
    </row>
    <row r="8" spans="1:10" ht="31.5" customHeight="1">
      <c r="A8" s="52">
        <v>4</v>
      </c>
      <c r="B8" s="122" t="s">
        <v>141</v>
      </c>
      <c r="C8" s="122"/>
      <c r="D8" s="122"/>
      <c r="E8" s="123"/>
      <c r="F8" s="123" t="s">
        <v>63</v>
      </c>
      <c r="G8" s="123"/>
      <c r="H8" s="123">
        <v>2</v>
      </c>
      <c r="I8" s="124">
        <f t="shared" si="0"/>
        <v>0.41666666666666669</v>
      </c>
      <c r="J8" s="125">
        <f t="shared" si="1"/>
        <v>0.41666666666666669</v>
      </c>
    </row>
    <row r="9" spans="1:10" ht="31.5" customHeight="1">
      <c r="A9" s="52">
        <v>5</v>
      </c>
      <c r="B9" s="122" t="s">
        <v>142</v>
      </c>
      <c r="C9" s="122"/>
      <c r="D9" s="122"/>
      <c r="E9" s="123"/>
      <c r="F9" s="123" t="s">
        <v>63</v>
      </c>
      <c r="G9" s="123"/>
      <c r="H9" s="123">
        <v>10</v>
      </c>
      <c r="I9" s="124">
        <f t="shared" si="0"/>
        <v>2.0833333333333335</v>
      </c>
      <c r="J9" s="125">
        <f t="shared" si="1"/>
        <v>2.0833333333333335</v>
      </c>
    </row>
    <row r="10" spans="1:10" ht="48.75" customHeight="1">
      <c r="A10" s="52">
        <v>6</v>
      </c>
      <c r="B10" s="122" t="s">
        <v>143</v>
      </c>
      <c r="C10" s="122"/>
      <c r="D10" s="122"/>
      <c r="E10" s="123"/>
      <c r="F10" s="123" t="s">
        <v>63</v>
      </c>
      <c r="G10" s="123"/>
      <c r="H10" s="123">
        <v>10</v>
      </c>
      <c r="I10" s="124">
        <f t="shared" si="0"/>
        <v>2.0833333333333335</v>
      </c>
      <c r="J10" s="125">
        <f t="shared" si="1"/>
        <v>2.0833333333333335</v>
      </c>
    </row>
    <row r="11" spans="1:10" ht="47.25" customHeight="1">
      <c r="A11" s="52">
        <v>7</v>
      </c>
      <c r="B11" s="122" t="s">
        <v>144</v>
      </c>
      <c r="C11" s="122"/>
      <c r="D11" s="122"/>
      <c r="E11" s="123" t="s">
        <v>63</v>
      </c>
      <c r="F11" s="123"/>
      <c r="G11" s="123"/>
      <c r="H11" s="123">
        <v>6</v>
      </c>
      <c r="I11" s="124">
        <f t="shared" si="0"/>
        <v>1.25</v>
      </c>
      <c r="J11" s="125">
        <f t="shared" si="1"/>
        <v>0</v>
      </c>
    </row>
    <row r="12" spans="1:10" ht="47.25" customHeight="1">
      <c r="A12" s="52">
        <v>8</v>
      </c>
      <c r="B12" s="122" t="s">
        <v>145</v>
      </c>
      <c r="C12" s="122"/>
      <c r="D12" s="122"/>
      <c r="E12" s="123"/>
      <c r="F12" s="123" t="s">
        <v>63</v>
      </c>
      <c r="G12" s="123"/>
      <c r="H12" s="123">
        <v>2</v>
      </c>
      <c r="I12" s="124">
        <f t="shared" si="0"/>
        <v>0.41666666666666669</v>
      </c>
      <c r="J12" s="125">
        <f t="shared" si="1"/>
        <v>0.41666666666666669</v>
      </c>
    </row>
    <row r="13" spans="1:10" ht="15" customHeight="1">
      <c r="A13" s="83" t="s">
        <v>71</v>
      </c>
      <c r="B13" s="83"/>
      <c r="C13" s="83"/>
      <c r="D13" s="83"/>
      <c r="E13" s="83"/>
      <c r="F13" s="83"/>
      <c r="G13" s="83"/>
      <c r="H13" s="83"/>
      <c r="I13" s="28">
        <f>SUM(I5:I12)</f>
        <v>10</v>
      </c>
      <c r="J13" s="19">
        <f>SUM(J5:J12)</f>
        <v>8.75</v>
      </c>
    </row>
  </sheetData>
  <mergeCells count="16">
    <mergeCell ref="A13:H13"/>
    <mergeCell ref="A3:B3"/>
    <mergeCell ref="B4:D4"/>
    <mergeCell ref="B11:D11"/>
    <mergeCell ref="B12:D12"/>
    <mergeCell ref="E3:J3"/>
    <mergeCell ref="B5:D5"/>
    <mergeCell ref="B6:D6"/>
    <mergeCell ref="B7:D7"/>
    <mergeCell ref="B8:D8"/>
    <mergeCell ref="B9:D9"/>
    <mergeCell ref="A1:B1"/>
    <mergeCell ref="A2:B2"/>
    <mergeCell ref="C1:J1"/>
    <mergeCell ref="C2:J2"/>
    <mergeCell ref="B10:D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0E2A4-0940-486A-BDD0-5C40C50496AD}">
  <sheetPr>
    <tabColor rgb="FF92D050"/>
  </sheetPr>
  <dimension ref="A1:J17"/>
  <sheetViews>
    <sheetView workbookViewId="0">
      <selection activeCell="B5" sqref="A1:J17"/>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23</v>
      </c>
      <c r="D2" s="74"/>
      <c r="E2" s="74"/>
      <c r="F2" s="74"/>
      <c r="G2" s="74"/>
      <c r="H2" s="74"/>
      <c r="I2" s="74"/>
      <c r="J2" s="75"/>
    </row>
    <row r="3" spans="1:10" ht="45">
      <c r="A3" s="70" t="s">
        <v>81</v>
      </c>
      <c r="B3" s="70"/>
      <c r="C3" s="18" t="s">
        <v>93</v>
      </c>
      <c r="D3" s="55" t="s">
        <v>146</v>
      </c>
      <c r="E3" s="122" t="s">
        <v>147</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7.25" customHeight="1">
      <c r="A5" s="52">
        <v>1</v>
      </c>
      <c r="B5" s="122" t="s">
        <v>148</v>
      </c>
      <c r="C5" s="122"/>
      <c r="D5" s="122"/>
      <c r="E5" s="123"/>
      <c r="F5" s="123" t="s">
        <v>63</v>
      </c>
      <c r="G5" s="123"/>
      <c r="H5" s="123">
        <v>10</v>
      </c>
      <c r="I5" s="124">
        <f>(H5*10)/SUM($H$5:$H$16)</f>
        <v>1.6666666666666667</v>
      </c>
      <c r="J5" s="125">
        <f>IF(F5="X",((H5*10)/SUM($H$5:$H$16)),0)</f>
        <v>1.6666666666666667</v>
      </c>
    </row>
    <row r="6" spans="1:10" ht="63" customHeight="1">
      <c r="A6" s="52">
        <v>2</v>
      </c>
      <c r="B6" s="122" t="s">
        <v>149</v>
      </c>
      <c r="C6" s="122"/>
      <c r="D6" s="122"/>
      <c r="E6" s="123"/>
      <c r="F6" s="123" t="s">
        <v>63</v>
      </c>
      <c r="G6" s="123"/>
      <c r="H6" s="123">
        <v>10</v>
      </c>
      <c r="I6" s="124">
        <f t="shared" ref="I6:I16" si="0">(H6*10)/SUM($H$5:$H$16)</f>
        <v>1.6666666666666667</v>
      </c>
      <c r="J6" s="125">
        <f t="shared" ref="J6:J16" si="1">IF(F6="X",((H6*10)/SUM($H$5:$H$16)),0)</f>
        <v>1.6666666666666667</v>
      </c>
    </row>
    <row r="7" spans="1:10" ht="31.5" customHeight="1">
      <c r="A7" s="52">
        <v>3</v>
      </c>
      <c r="B7" s="122" t="s">
        <v>150</v>
      </c>
      <c r="C7" s="122"/>
      <c r="D7" s="122"/>
      <c r="E7" s="123"/>
      <c r="F7" s="123"/>
      <c r="G7" s="123" t="s">
        <v>63</v>
      </c>
      <c r="H7" s="123">
        <v>6</v>
      </c>
      <c r="I7" s="124">
        <f t="shared" si="0"/>
        <v>1</v>
      </c>
      <c r="J7" s="125">
        <f t="shared" si="1"/>
        <v>0</v>
      </c>
    </row>
    <row r="8" spans="1:10" ht="59.25" customHeight="1">
      <c r="A8" s="52">
        <v>4</v>
      </c>
      <c r="B8" s="122" t="s">
        <v>151</v>
      </c>
      <c r="C8" s="122"/>
      <c r="D8" s="122"/>
      <c r="E8" s="123"/>
      <c r="F8" s="123" t="s">
        <v>63</v>
      </c>
      <c r="G8" s="123"/>
      <c r="H8" s="123">
        <v>6</v>
      </c>
      <c r="I8" s="124">
        <f t="shared" si="0"/>
        <v>1</v>
      </c>
      <c r="J8" s="125">
        <f t="shared" si="1"/>
        <v>1</v>
      </c>
    </row>
    <row r="9" spans="1:10" ht="91.5" customHeight="1">
      <c r="A9" s="52">
        <v>5</v>
      </c>
      <c r="B9" s="122" t="s">
        <v>152</v>
      </c>
      <c r="C9" s="122"/>
      <c r="D9" s="122"/>
      <c r="E9" s="123"/>
      <c r="F9" s="123" t="s">
        <v>63</v>
      </c>
      <c r="G9" s="123"/>
      <c r="H9" s="123">
        <v>6</v>
      </c>
      <c r="I9" s="124">
        <f t="shared" si="0"/>
        <v>1</v>
      </c>
      <c r="J9" s="125">
        <f t="shared" si="1"/>
        <v>1</v>
      </c>
    </row>
    <row r="10" spans="1:10" ht="47.25" customHeight="1">
      <c r="A10" s="52">
        <v>6</v>
      </c>
      <c r="B10" s="122" t="s">
        <v>153</v>
      </c>
      <c r="C10" s="122"/>
      <c r="D10" s="122"/>
      <c r="E10" s="123"/>
      <c r="F10" s="123" t="s">
        <v>63</v>
      </c>
      <c r="G10" s="123"/>
      <c r="H10" s="123">
        <v>6</v>
      </c>
      <c r="I10" s="124">
        <f t="shared" si="0"/>
        <v>1</v>
      </c>
      <c r="J10" s="125">
        <f t="shared" si="1"/>
        <v>1</v>
      </c>
    </row>
    <row r="11" spans="1:10" ht="47.25" customHeight="1">
      <c r="A11" s="52">
        <v>7</v>
      </c>
      <c r="B11" s="122" t="s">
        <v>154</v>
      </c>
      <c r="C11" s="122"/>
      <c r="D11" s="122"/>
      <c r="E11" s="123"/>
      <c r="F11" s="123" t="s">
        <v>63</v>
      </c>
      <c r="G11" s="123"/>
      <c r="H11" s="123">
        <v>2</v>
      </c>
      <c r="I11" s="124">
        <f t="shared" si="0"/>
        <v>0.33333333333333331</v>
      </c>
      <c r="J11" s="125">
        <f t="shared" si="1"/>
        <v>0.33333333333333331</v>
      </c>
    </row>
    <row r="12" spans="1:10" ht="59.25" customHeight="1">
      <c r="A12" s="52">
        <v>8</v>
      </c>
      <c r="B12" s="122" t="s">
        <v>155</v>
      </c>
      <c r="C12" s="122"/>
      <c r="D12" s="122"/>
      <c r="E12" s="123"/>
      <c r="F12" s="123"/>
      <c r="G12" s="123" t="s">
        <v>63</v>
      </c>
      <c r="H12" s="123">
        <v>2</v>
      </c>
      <c r="I12" s="124">
        <f t="shared" si="0"/>
        <v>0.33333333333333331</v>
      </c>
      <c r="J12" s="125">
        <f t="shared" si="1"/>
        <v>0</v>
      </c>
    </row>
    <row r="13" spans="1:10" ht="63" customHeight="1">
      <c r="A13" s="52">
        <v>9</v>
      </c>
      <c r="B13" s="122" t="s">
        <v>156</v>
      </c>
      <c r="C13" s="122"/>
      <c r="D13" s="122"/>
      <c r="E13" s="123"/>
      <c r="F13" s="123"/>
      <c r="G13" s="123" t="s">
        <v>63</v>
      </c>
      <c r="H13" s="123">
        <v>6</v>
      </c>
      <c r="I13" s="124">
        <f t="shared" si="0"/>
        <v>1</v>
      </c>
      <c r="J13" s="125">
        <f t="shared" si="1"/>
        <v>0</v>
      </c>
    </row>
    <row r="14" spans="1:10" ht="47.25" customHeight="1">
      <c r="A14" s="52">
        <v>10</v>
      </c>
      <c r="B14" s="122" t="s">
        <v>157</v>
      </c>
      <c r="C14" s="122"/>
      <c r="D14" s="122"/>
      <c r="E14" s="123"/>
      <c r="F14" s="123"/>
      <c r="G14" s="123" t="s">
        <v>63</v>
      </c>
      <c r="H14" s="123">
        <v>2</v>
      </c>
      <c r="I14" s="124">
        <f t="shared" si="0"/>
        <v>0.33333333333333331</v>
      </c>
      <c r="J14" s="125">
        <f t="shared" si="1"/>
        <v>0</v>
      </c>
    </row>
    <row r="15" spans="1:10" ht="47.25" customHeight="1">
      <c r="A15" s="52">
        <v>11</v>
      </c>
      <c r="B15" s="122" t="s">
        <v>158</v>
      </c>
      <c r="C15" s="122"/>
      <c r="D15" s="122"/>
      <c r="E15" s="123"/>
      <c r="F15" s="123"/>
      <c r="G15" s="123" t="s">
        <v>63</v>
      </c>
      <c r="H15" s="123">
        <v>2</v>
      </c>
      <c r="I15" s="124">
        <f t="shared" si="0"/>
        <v>0.33333333333333331</v>
      </c>
      <c r="J15" s="125">
        <f t="shared" si="1"/>
        <v>0</v>
      </c>
    </row>
    <row r="16" spans="1:10" ht="31.5" customHeight="1">
      <c r="A16" s="52">
        <v>12</v>
      </c>
      <c r="B16" s="122" t="s">
        <v>159</v>
      </c>
      <c r="C16" s="122"/>
      <c r="D16" s="122"/>
      <c r="E16" s="123" t="s">
        <v>63</v>
      </c>
      <c r="F16" s="123"/>
      <c r="G16" s="123"/>
      <c r="H16" s="123">
        <v>2</v>
      </c>
      <c r="I16" s="124">
        <f t="shared" si="0"/>
        <v>0.33333333333333331</v>
      </c>
      <c r="J16" s="125">
        <f t="shared" si="1"/>
        <v>0</v>
      </c>
    </row>
    <row r="17" spans="1:10" ht="15" customHeight="1">
      <c r="A17" s="83" t="s">
        <v>71</v>
      </c>
      <c r="B17" s="83"/>
      <c r="C17" s="83"/>
      <c r="D17" s="83"/>
      <c r="E17" s="83"/>
      <c r="F17" s="83"/>
      <c r="G17" s="83"/>
      <c r="H17" s="83"/>
      <c r="I17" s="28">
        <f>SUM(I5:I16)</f>
        <v>10.000000000000002</v>
      </c>
      <c r="J17" s="19">
        <f>SUM(J5:J16)</f>
        <v>6.666666666666667</v>
      </c>
    </row>
  </sheetData>
  <mergeCells count="20">
    <mergeCell ref="A17:H17"/>
    <mergeCell ref="B10:D10"/>
    <mergeCell ref="A3:B3"/>
    <mergeCell ref="B4:D4"/>
    <mergeCell ref="B5:D5"/>
    <mergeCell ref="B6:D6"/>
    <mergeCell ref="B7:D7"/>
    <mergeCell ref="B8:D8"/>
    <mergeCell ref="B9:D9"/>
    <mergeCell ref="E3:J3"/>
    <mergeCell ref="B11:D11"/>
    <mergeCell ref="B12:D12"/>
    <mergeCell ref="B13:D13"/>
    <mergeCell ref="B14:D14"/>
    <mergeCell ref="B15:D15"/>
    <mergeCell ref="A1:B1"/>
    <mergeCell ref="A2:B2"/>
    <mergeCell ref="C1:J1"/>
    <mergeCell ref="C2:J2"/>
    <mergeCell ref="B16:D1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207FA-8819-49E4-9E4D-7264DD8DB1B3}">
  <sheetPr>
    <tabColor rgb="FF92D050"/>
  </sheetPr>
  <dimension ref="A1:J19"/>
  <sheetViews>
    <sheetView workbookViewId="0">
      <selection activeCell="B7" sqref="A1:J19"/>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23</v>
      </c>
      <c r="D2" s="74"/>
      <c r="E2" s="74"/>
      <c r="F2" s="74"/>
      <c r="G2" s="74"/>
      <c r="H2" s="74"/>
      <c r="I2" s="74"/>
      <c r="J2" s="75"/>
    </row>
    <row r="3" spans="1:10" ht="45">
      <c r="A3" s="70" t="s">
        <v>81</v>
      </c>
      <c r="B3" s="70"/>
      <c r="C3" s="18" t="s">
        <v>93</v>
      </c>
      <c r="D3" s="55" t="s">
        <v>160</v>
      </c>
      <c r="E3" s="122" t="s">
        <v>161</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31.5" customHeight="1">
      <c r="A5" s="52">
        <v>1</v>
      </c>
      <c r="B5" s="122" t="s">
        <v>162</v>
      </c>
      <c r="C5" s="122"/>
      <c r="D5" s="122"/>
      <c r="E5" s="123"/>
      <c r="F5" s="123" t="s">
        <v>63</v>
      </c>
      <c r="G5" s="123"/>
      <c r="H5" s="123">
        <v>6</v>
      </c>
      <c r="I5" s="124">
        <f>(H5*10)/SUM($H$5:$H$18)</f>
        <v>0.83333333333333337</v>
      </c>
      <c r="J5" s="125">
        <f>IF(F5="X",((H5*10)/SUM($H$5:$H$18)),0)</f>
        <v>0.83333333333333337</v>
      </c>
    </row>
    <row r="6" spans="1:10" ht="47.25" customHeight="1">
      <c r="A6" s="52">
        <v>2</v>
      </c>
      <c r="B6" s="122" t="s">
        <v>163</v>
      </c>
      <c r="C6" s="122"/>
      <c r="D6" s="122"/>
      <c r="E6" s="123"/>
      <c r="F6" s="123"/>
      <c r="G6" s="123" t="s">
        <v>63</v>
      </c>
      <c r="H6" s="123">
        <v>6</v>
      </c>
      <c r="I6" s="124">
        <f t="shared" ref="I6:I18" si="0">(H6*10)/SUM($H$5:$H$18)</f>
        <v>0.83333333333333337</v>
      </c>
      <c r="J6" s="125">
        <f t="shared" ref="J6:J18" si="1">IF(F6="X",((H6*10)/SUM($H$5:$H$18)),0)</f>
        <v>0</v>
      </c>
    </row>
    <row r="7" spans="1:10" ht="63" customHeight="1">
      <c r="A7" s="52">
        <v>3</v>
      </c>
      <c r="B7" s="122" t="s">
        <v>164</v>
      </c>
      <c r="C7" s="122"/>
      <c r="D7" s="122"/>
      <c r="E7" s="123"/>
      <c r="F7" s="123"/>
      <c r="G7" s="123" t="s">
        <v>63</v>
      </c>
      <c r="H7" s="123">
        <v>2</v>
      </c>
      <c r="I7" s="124">
        <f t="shared" si="0"/>
        <v>0.27777777777777779</v>
      </c>
      <c r="J7" s="125">
        <f t="shared" si="1"/>
        <v>0</v>
      </c>
    </row>
    <row r="8" spans="1:10" ht="47.25" customHeight="1">
      <c r="A8" s="52">
        <v>4</v>
      </c>
      <c r="B8" s="122" t="s">
        <v>165</v>
      </c>
      <c r="C8" s="122"/>
      <c r="D8" s="122"/>
      <c r="E8" s="123"/>
      <c r="F8" s="123"/>
      <c r="G8" s="123" t="s">
        <v>63</v>
      </c>
      <c r="H8" s="123">
        <v>10</v>
      </c>
      <c r="I8" s="124">
        <f t="shared" si="0"/>
        <v>1.3888888888888888</v>
      </c>
      <c r="J8" s="125">
        <f t="shared" si="1"/>
        <v>0</v>
      </c>
    </row>
    <row r="9" spans="1:10" ht="63" customHeight="1">
      <c r="A9" s="52">
        <v>5</v>
      </c>
      <c r="B9" s="122" t="s">
        <v>166</v>
      </c>
      <c r="C9" s="122"/>
      <c r="D9" s="122"/>
      <c r="E9" s="123"/>
      <c r="F9" s="123" t="s">
        <v>63</v>
      </c>
      <c r="G9" s="123"/>
      <c r="H9" s="123">
        <v>6</v>
      </c>
      <c r="I9" s="124">
        <f t="shared" si="0"/>
        <v>0.83333333333333337</v>
      </c>
      <c r="J9" s="125">
        <f t="shared" si="1"/>
        <v>0.83333333333333337</v>
      </c>
    </row>
    <row r="10" spans="1:10" ht="63" customHeight="1">
      <c r="A10" s="52">
        <v>6</v>
      </c>
      <c r="B10" s="122" t="s">
        <v>167</v>
      </c>
      <c r="C10" s="122"/>
      <c r="D10" s="122"/>
      <c r="E10" s="123"/>
      <c r="F10" s="123" t="s">
        <v>63</v>
      </c>
      <c r="G10" s="123"/>
      <c r="H10" s="123">
        <v>6</v>
      </c>
      <c r="I10" s="124">
        <f t="shared" si="0"/>
        <v>0.83333333333333337</v>
      </c>
      <c r="J10" s="125">
        <f t="shared" si="1"/>
        <v>0.83333333333333337</v>
      </c>
    </row>
    <row r="11" spans="1:10" ht="31.5" customHeight="1">
      <c r="A11" s="52">
        <v>7</v>
      </c>
      <c r="B11" s="122" t="s">
        <v>168</v>
      </c>
      <c r="C11" s="122"/>
      <c r="D11" s="122"/>
      <c r="E11" s="123"/>
      <c r="F11" s="123" t="s">
        <v>63</v>
      </c>
      <c r="G11" s="123"/>
      <c r="H11" s="123">
        <v>6</v>
      </c>
      <c r="I11" s="124">
        <f t="shared" si="0"/>
        <v>0.83333333333333337</v>
      </c>
      <c r="J11" s="125">
        <f t="shared" si="1"/>
        <v>0.83333333333333337</v>
      </c>
    </row>
    <row r="12" spans="1:10" ht="47.25" customHeight="1">
      <c r="A12" s="52">
        <v>8</v>
      </c>
      <c r="B12" s="122" t="s">
        <v>169</v>
      </c>
      <c r="C12" s="122"/>
      <c r="D12" s="122"/>
      <c r="E12" s="123"/>
      <c r="F12" s="123" t="s">
        <v>63</v>
      </c>
      <c r="G12" s="123"/>
      <c r="H12" s="123">
        <v>6</v>
      </c>
      <c r="I12" s="124">
        <f t="shared" si="0"/>
        <v>0.83333333333333337</v>
      </c>
      <c r="J12" s="125">
        <f t="shared" si="1"/>
        <v>0.83333333333333337</v>
      </c>
    </row>
    <row r="13" spans="1:10" ht="31.5" customHeight="1">
      <c r="A13" s="52">
        <v>9</v>
      </c>
      <c r="B13" s="122" t="s">
        <v>170</v>
      </c>
      <c r="C13" s="122"/>
      <c r="D13" s="122"/>
      <c r="E13" s="123" t="s">
        <v>63</v>
      </c>
      <c r="F13" s="123"/>
      <c r="G13" s="123"/>
      <c r="H13" s="123">
        <v>6</v>
      </c>
      <c r="I13" s="124">
        <f t="shared" si="0"/>
        <v>0.83333333333333337</v>
      </c>
      <c r="J13" s="125">
        <f t="shared" si="1"/>
        <v>0</v>
      </c>
    </row>
    <row r="14" spans="1:10" ht="63" customHeight="1">
      <c r="A14" s="52">
        <v>10</v>
      </c>
      <c r="B14" s="122" t="s">
        <v>171</v>
      </c>
      <c r="C14" s="122"/>
      <c r="D14" s="122"/>
      <c r="E14" s="123"/>
      <c r="F14" s="123" t="s">
        <v>63</v>
      </c>
      <c r="G14" s="123"/>
      <c r="H14" s="123">
        <v>6</v>
      </c>
      <c r="I14" s="124">
        <f t="shared" si="0"/>
        <v>0.83333333333333337</v>
      </c>
      <c r="J14" s="125">
        <f t="shared" si="1"/>
        <v>0.83333333333333337</v>
      </c>
    </row>
    <row r="15" spans="1:10" ht="15">
      <c r="A15" s="52">
        <v>11</v>
      </c>
      <c r="B15" s="122" t="s">
        <v>172</v>
      </c>
      <c r="C15" s="122"/>
      <c r="D15" s="122"/>
      <c r="E15" s="123"/>
      <c r="F15" s="123" t="s">
        <v>63</v>
      </c>
      <c r="G15" s="123"/>
      <c r="H15" s="123">
        <v>2</v>
      </c>
      <c r="I15" s="124">
        <f t="shared" si="0"/>
        <v>0.27777777777777779</v>
      </c>
      <c r="J15" s="125">
        <f t="shared" si="1"/>
        <v>0.27777777777777779</v>
      </c>
    </row>
    <row r="16" spans="1:10" ht="47.25" customHeight="1">
      <c r="A16" s="52">
        <v>12</v>
      </c>
      <c r="B16" s="122" t="s">
        <v>173</v>
      </c>
      <c r="C16" s="122"/>
      <c r="D16" s="122"/>
      <c r="E16" s="123"/>
      <c r="F16" s="123"/>
      <c r="G16" s="123" t="s">
        <v>63</v>
      </c>
      <c r="H16" s="123">
        <v>2</v>
      </c>
      <c r="I16" s="124">
        <f t="shared" si="0"/>
        <v>0.27777777777777779</v>
      </c>
      <c r="J16" s="125">
        <f t="shared" si="1"/>
        <v>0</v>
      </c>
    </row>
    <row r="17" spans="1:10" ht="59.25" customHeight="1">
      <c r="A17" s="52">
        <v>13</v>
      </c>
      <c r="B17" s="122" t="s">
        <v>174</v>
      </c>
      <c r="C17" s="122"/>
      <c r="D17" s="122"/>
      <c r="E17" s="123"/>
      <c r="F17" s="123"/>
      <c r="G17" s="123" t="s">
        <v>63</v>
      </c>
      <c r="H17" s="123">
        <v>6</v>
      </c>
      <c r="I17" s="124">
        <f t="shared" si="0"/>
        <v>0.83333333333333337</v>
      </c>
      <c r="J17" s="125">
        <f t="shared" si="1"/>
        <v>0</v>
      </c>
    </row>
    <row r="18" spans="1:10" ht="78.75" customHeight="1">
      <c r="A18" s="52">
        <v>14</v>
      </c>
      <c r="B18" s="122" t="s">
        <v>175</v>
      </c>
      <c r="C18" s="122"/>
      <c r="D18" s="122"/>
      <c r="E18" s="123"/>
      <c r="F18" s="123"/>
      <c r="G18" s="123" t="s">
        <v>63</v>
      </c>
      <c r="H18" s="123">
        <v>2</v>
      </c>
      <c r="I18" s="124">
        <f t="shared" si="0"/>
        <v>0.27777777777777779</v>
      </c>
      <c r="J18" s="125">
        <f t="shared" si="1"/>
        <v>0</v>
      </c>
    </row>
    <row r="19" spans="1:10" ht="15" customHeight="1">
      <c r="A19" s="83" t="s">
        <v>71</v>
      </c>
      <c r="B19" s="83"/>
      <c r="C19" s="83"/>
      <c r="D19" s="83"/>
      <c r="E19" s="83"/>
      <c r="F19" s="83"/>
      <c r="G19" s="83"/>
      <c r="H19" s="83"/>
      <c r="I19" s="28">
        <f>SUM(I5:I18)</f>
        <v>10.000000000000002</v>
      </c>
      <c r="J19" s="19">
        <f>SUM(J5:J18)</f>
        <v>5.2777777777777777</v>
      </c>
    </row>
  </sheetData>
  <mergeCells count="22">
    <mergeCell ref="B15:D15"/>
    <mergeCell ref="B16:D16"/>
    <mergeCell ref="A19:H19"/>
    <mergeCell ref="E3:J3"/>
    <mergeCell ref="B17:D17"/>
    <mergeCell ref="B18:D18"/>
    <mergeCell ref="B11:D11"/>
    <mergeCell ref="B12:D12"/>
    <mergeCell ref="B10:D10"/>
    <mergeCell ref="A3:B3"/>
    <mergeCell ref="B4:D4"/>
    <mergeCell ref="B5:D5"/>
    <mergeCell ref="B6:D6"/>
    <mergeCell ref="B7:D7"/>
    <mergeCell ref="B8:D8"/>
    <mergeCell ref="B9:D9"/>
    <mergeCell ref="B13:D13"/>
    <mergeCell ref="B14:D14"/>
    <mergeCell ref="A1:B1"/>
    <mergeCell ref="A2:B2"/>
    <mergeCell ref="C1:J1"/>
    <mergeCell ref="C2:J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95644-8A44-4D35-A555-06A1B1A96118}">
  <sheetPr>
    <tabColor rgb="FF92D050"/>
  </sheetPr>
  <dimension ref="A1:J15"/>
  <sheetViews>
    <sheetView workbookViewId="0">
      <selection activeCell="B6" sqref="A1:J15"/>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23</v>
      </c>
      <c r="D2" s="74"/>
      <c r="E2" s="74"/>
      <c r="F2" s="74"/>
      <c r="G2" s="74"/>
      <c r="H2" s="74"/>
      <c r="I2" s="74"/>
      <c r="J2" s="75"/>
    </row>
    <row r="3" spans="1:10" ht="90">
      <c r="A3" s="70" t="s">
        <v>81</v>
      </c>
      <c r="B3" s="70"/>
      <c r="C3" s="18" t="s">
        <v>93</v>
      </c>
      <c r="D3" s="55" t="s">
        <v>176</v>
      </c>
      <c r="E3" s="122" t="s">
        <v>177</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7.25" customHeight="1">
      <c r="A5" s="52">
        <v>1</v>
      </c>
      <c r="B5" s="122" t="s">
        <v>178</v>
      </c>
      <c r="C5" s="122"/>
      <c r="D5" s="122"/>
      <c r="E5" s="123"/>
      <c r="F5" s="123" t="s">
        <v>63</v>
      </c>
      <c r="G5" s="123"/>
      <c r="H5" s="123">
        <v>10</v>
      </c>
      <c r="I5" s="124">
        <f>(H5*10)/SUM($H$5:$H$14)</f>
        <v>1.9230769230769231</v>
      </c>
      <c r="J5" s="125">
        <f>IF(F5="X",((H5*10)/SUM($H$5:$H$14)),0)</f>
        <v>1.9230769230769231</v>
      </c>
    </row>
    <row r="6" spans="1:10" ht="35.25" customHeight="1">
      <c r="A6" s="52">
        <v>2</v>
      </c>
      <c r="B6" s="122" t="s">
        <v>179</v>
      </c>
      <c r="C6" s="122"/>
      <c r="D6" s="122"/>
      <c r="E6" s="123"/>
      <c r="F6" s="123" t="s">
        <v>63</v>
      </c>
      <c r="G6" s="123"/>
      <c r="H6" s="123">
        <v>6</v>
      </c>
      <c r="I6" s="124">
        <f t="shared" ref="I6:I14" si="0">(H6*10)/SUM($H$5:$H$14)</f>
        <v>1.1538461538461537</v>
      </c>
      <c r="J6" s="125">
        <f t="shared" ref="J6:J14" si="1">IF(F6="X",((H6*10)/SUM($H$5:$H$14)),0)</f>
        <v>1.1538461538461537</v>
      </c>
    </row>
    <row r="7" spans="1:10" ht="35.25" customHeight="1">
      <c r="A7" s="52">
        <v>3</v>
      </c>
      <c r="B7" s="122" t="s">
        <v>180</v>
      </c>
      <c r="C7" s="122"/>
      <c r="D7" s="122"/>
      <c r="E7" s="123"/>
      <c r="F7" s="123" t="s">
        <v>63</v>
      </c>
      <c r="G7" s="123"/>
      <c r="H7" s="123">
        <v>6</v>
      </c>
      <c r="I7" s="124">
        <f t="shared" si="0"/>
        <v>1.1538461538461537</v>
      </c>
      <c r="J7" s="125">
        <f t="shared" si="1"/>
        <v>1.1538461538461537</v>
      </c>
    </row>
    <row r="8" spans="1:10" ht="31.5" customHeight="1">
      <c r="A8" s="52">
        <v>4</v>
      </c>
      <c r="B8" s="122" t="s">
        <v>181</v>
      </c>
      <c r="C8" s="122"/>
      <c r="D8" s="122"/>
      <c r="E8" s="123"/>
      <c r="F8" s="123" t="s">
        <v>63</v>
      </c>
      <c r="G8" s="123"/>
      <c r="H8" s="123">
        <v>10</v>
      </c>
      <c r="I8" s="124">
        <f t="shared" si="0"/>
        <v>1.9230769230769231</v>
      </c>
      <c r="J8" s="125">
        <f t="shared" si="1"/>
        <v>1.9230769230769231</v>
      </c>
    </row>
    <row r="9" spans="1:10" ht="31.5" customHeight="1">
      <c r="A9" s="52">
        <v>5</v>
      </c>
      <c r="B9" s="122" t="s">
        <v>182</v>
      </c>
      <c r="C9" s="122"/>
      <c r="D9" s="122"/>
      <c r="E9" s="123" t="s">
        <v>63</v>
      </c>
      <c r="F9" s="123"/>
      <c r="G9" s="123"/>
      <c r="H9" s="123">
        <v>2</v>
      </c>
      <c r="I9" s="124">
        <f t="shared" si="0"/>
        <v>0.38461538461538464</v>
      </c>
      <c r="J9" s="125">
        <f t="shared" si="1"/>
        <v>0</v>
      </c>
    </row>
    <row r="10" spans="1:10" ht="58.5" customHeight="1">
      <c r="A10" s="52">
        <v>6</v>
      </c>
      <c r="B10" s="122" t="s">
        <v>183</v>
      </c>
      <c r="C10" s="122"/>
      <c r="D10" s="122"/>
      <c r="E10" s="123"/>
      <c r="F10" s="123" t="s">
        <v>63</v>
      </c>
      <c r="G10" s="123"/>
      <c r="H10" s="123">
        <v>6</v>
      </c>
      <c r="I10" s="124">
        <f t="shared" si="0"/>
        <v>1.1538461538461537</v>
      </c>
      <c r="J10" s="125">
        <f t="shared" si="1"/>
        <v>1.1538461538461537</v>
      </c>
    </row>
    <row r="11" spans="1:10" ht="31.5" customHeight="1">
      <c r="A11" s="52">
        <v>7</v>
      </c>
      <c r="B11" s="122" t="s">
        <v>184</v>
      </c>
      <c r="C11" s="122"/>
      <c r="D11" s="122"/>
      <c r="E11" s="123"/>
      <c r="F11" s="123" t="s">
        <v>63</v>
      </c>
      <c r="G11" s="123"/>
      <c r="H11" s="123">
        <v>2</v>
      </c>
      <c r="I11" s="124">
        <f t="shared" si="0"/>
        <v>0.38461538461538464</v>
      </c>
      <c r="J11" s="125">
        <f t="shared" si="1"/>
        <v>0.38461538461538464</v>
      </c>
    </row>
    <row r="12" spans="1:10" ht="43.5" customHeight="1">
      <c r="A12" s="52">
        <v>8</v>
      </c>
      <c r="B12" s="122" t="s">
        <v>185</v>
      </c>
      <c r="C12" s="122"/>
      <c r="D12" s="122"/>
      <c r="E12" s="123"/>
      <c r="F12" s="123" t="s">
        <v>63</v>
      </c>
      <c r="G12" s="123"/>
      <c r="H12" s="123">
        <v>2</v>
      </c>
      <c r="I12" s="124">
        <f t="shared" si="0"/>
        <v>0.38461538461538464</v>
      </c>
      <c r="J12" s="125">
        <f t="shared" si="1"/>
        <v>0.38461538461538464</v>
      </c>
    </row>
    <row r="13" spans="1:10" ht="31.5" customHeight="1">
      <c r="A13" s="52">
        <v>9</v>
      </c>
      <c r="B13" s="122" t="s">
        <v>186</v>
      </c>
      <c r="C13" s="122"/>
      <c r="D13" s="122"/>
      <c r="E13" s="123"/>
      <c r="F13" s="123" t="s">
        <v>63</v>
      </c>
      <c r="G13" s="123"/>
      <c r="H13" s="123">
        <v>2</v>
      </c>
      <c r="I13" s="124">
        <f t="shared" si="0"/>
        <v>0.38461538461538464</v>
      </c>
      <c r="J13" s="125">
        <f t="shared" si="1"/>
        <v>0.38461538461538464</v>
      </c>
    </row>
    <row r="14" spans="1:10" ht="45.75" customHeight="1">
      <c r="A14" s="52">
        <v>10</v>
      </c>
      <c r="B14" s="122" t="s">
        <v>187</v>
      </c>
      <c r="C14" s="122"/>
      <c r="D14" s="122"/>
      <c r="E14" s="123"/>
      <c r="F14" s="123" t="s">
        <v>63</v>
      </c>
      <c r="G14" s="123"/>
      <c r="H14" s="123">
        <v>6</v>
      </c>
      <c r="I14" s="124">
        <f t="shared" si="0"/>
        <v>1.1538461538461537</v>
      </c>
      <c r="J14" s="125">
        <f t="shared" si="1"/>
        <v>1.1538461538461537</v>
      </c>
    </row>
    <row r="15" spans="1:10" ht="15" customHeight="1">
      <c r="A15" s="83" t="s">
        <v>71</v>
      </c>
      <c r="B15" s="83"/>
      <c r="C15" s="83"/>
      <c r="D15" s="83"/>
      <c r="E15" s="83"/>
      <c r="F15" s="83"/>
      <c r="G15" s="83"/>
      <c r="H15" s="83"/>
      <c r="I15" s="28">
        <f>SUM(I5:I14)</f>
        <v>10</v>
      </c>
      <c r="J15" s="19">
        <f>SUM(J5:J14)</f>
        <v>9.615384615384615</v>
      </c>
    </row>
  </sheetData>
  <mergeCells count="18">
    <mergeCell ref="B11:D11"/>
    <mergeCell ref="B12:D12"/>
    <mergeCell ref="B13:D13"/>
    <mergeCell ref="B14:D14"/>
    <mergeCell ref="A15:H15"/>
    <mergeCell ref="B10:D10"/>
    <mergeCell ref="A3:B3"/>
    <mergeCell ref="B4:D4"/>
    <mergeCell ref="B5:D5"/>
    <mergeCell ref="B6:D6"/>
    <mergeCell ref="B7:D7"/>
    <mergeCell ref="B8:D8"/>
    <mergeCell ref="B9:D9"/>
    <mergeCell ref="A1:B1"/>
    <mergeCell ref="A2:B2"/>
    <mergeCell ref="C1:J1"/>
    <mergeCell ref="C2:J2"/>
    <mergeCell ref="E3:J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D89B4-E121-4E86-BD87-BC83F07CD311}">
  <sheetPr>
    <tabColor rgb="FF92D050"/>
  </sheetPr>
  <dimension ref="A1:J15"/>
  <sheetViews>
    <sheetView workbookViewId="0">
      <selection activeCell="B5" sqref="A1:J15"/>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23</v>
      </c>
      <c r="D2" s="74"/>
      <c r="E2" s="74"/>
      <c r="F2" s="74"/>
      <c r="G2" s="74"/>
      <c r="H2" s="74"/>
      <c r="I2" s="74"/>
      <c r="J2" s="75"/>
    </row>
    <row r="3" spans="1:10" ht="90">
      <c r="A3" s="70" t="s">
        <v>81</v>
      </c>
      <c r="B3" s="70"/>
      <c r="C3" s="18" t="s">
        <v>93</v>
      </c>
      <c r="D3" s="55" t="s">
        <v>188</v>
      </c>
      <c r="E3" s="122" t="s">
        <v>189</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7.25" customHeight="1">
      <c r="A5" s="52">
        <v>1</v>
      </c>
      <c r="B5" s="122" t="s">
        <v>190</v>
      </c>
      <c r="C5" s="122"/>
      <c r="D5" s="122"/>
      <c r="E5" s="123"/>
      <c r="F5" s="123" t="s">
        <v>63</v>
      </c>
      <c r="G5" s="123"/>
      <c r="H5" s="123">
        <v>6</v>
      </c>
      <c r="I5" s="124">
        <f>(H5*10)/SUM($H$5:$H$14)</f>
        <v>1.5</v>
      </c>
      <c r="J5" s="125">
        <f>IF(F5="X",((H5*10)/SUM($H$5:$H$14)),0)</f>
        <v>1.5</v>
      </c>
    </row>
    <row r="6" spans="1:10" ht="44.25" customHeight="1">
      <c r="A6" s="52">
        <v>2</v>
      </c>
      <c r="B6" s="122" t="s">
        <v>191</v>
      </c>
      <c r="C6" s="122"/>
      <c r="D6" s="122"/>
      <c r="E6" s="123" t="s">
        <v>63</v>
      </c>
      <c r="F6" s="123"/>
      <c r="G6" s="123"/>
      <c r="H6" s="123">
        <v>6</v>
      </c>
      <c r="I6" s="124">
        <f t="shared" ref="I6:I14" si="0">(H6*10)/SUM($H$5:$H$14)</f>
        <v>1.5</v>
      </c>
      <c r="J6" s="125">
        <f t="shared" ref="J6:J14" si="1">IF(F6="X",((H6*10)/SUM($H$5:$H$14)),0)</f>
        <v>0</v>
      </c>
    </row>
    <row r="7" spans="1:10" ht="43.5" customHeight="1">
      <c r="A7" s="52">
        <v>3</v>
      </c>
      <c r="B7" s="122" t="s">
        <v>192</v>
      </c>
      <c r="C7" s="122"/>
      <c r="D7" s="122"/>
      <c r="E7" s="123"/>
      <c r="F7" s="123" t="s">
        <v>63</v>
      </c>
      <c r="G7" s="123"/>
      <c r="H7" s="123">
        <v>2</v>
      </c>
      <c r="I7" s="124">
        <f t="shared" si="0"/>
        <v>0.5</v>
      </c>
      <c r="J7" s="125">
        <f t="shared" si="1"/>
        <v>0.5</v>
      </c>
    </row>
    <row r="8" spans="1:10" ht="15">
      <c r="A8" s="52">
        <v>4</v>
      </c>
      <c r="B8" s="122" t="s">
        <v>193</v>
      </c>
      <c r="C8" s="122"/>
      <c r="D8" s="122"/>
      <c r="E8" s="123" t="s">
        <v>63</v>
      </c>
      <c r="F8" s="123"/>
      <c r="G8" s="123"/>
      <c r="H8" s="123">
        <v>2</v>
      </c>
      <c r="I8" s="124">
        <f t="shared" si="0"/>
        <v>0.5</v>
      </c>
      <c r="J8" s="125">
        <f t="shared" si="1"/>
        <v>0</v>
      </c>
    </row>
    <row r="9" spans="1:10" ht="31.5" customHeight="1">
      <c r="A9" s="52">
        <v>5</v>
      </c>
      <c r="B9" s="122" t="s">
        <v>194</v>
      </c>
      <c r="C9" s="122"/>
      <c r="D9" s="122"/>
      <c r="E9" s="123"/>
      <c r="F9" s="123" t="s">
        <v>63</v>
      </c>
      <c r="G9" s="123"/>
      <c r="H9" s="123">
        <v>2</v>
      </c>
      <c r="I9" s="124">
        <f t="shared" si="0"/>
        <v>0.5</v>
      </c>
      <c r="J9" s="125">
        <f t="shared" si="1"/>
        <v>0.5</v>
      </c>
    </row>
    <row r="10" spans="1:10" ht="42.75" customHeight="1">
      <c r="A10" s="52">
        <v>6</v>
      </c>
      <c r="B10" s="122" t="s">
        <v>195</v>
      </c>
      <c r="C10" s="122"/>
      <c r="D10" s="122"/>
      <c r="E10" s="123"/>
      <c r="F10" s="123" t="s">
        <v>63</v>
      </c>
      <c r="G10" s="123"/>
      <c r="H10" s="123">
        <v>2</v>
      </c>
      <c r="I10" s="124">
        <f t="shared" si="0"/>
        <v>0.5</v>
      </c>
      <c r="J10" s="125">
        <f t="shared" si="1"/>
        <v>0.5</v>
      </c>
    </row>
    <row r="11" spans="1:10" ht="29.25" customHeight="1">
      <c r="A11" s="52">
        <v>7</v>
      </c>
      <c r="B11" s="122" t="s">
        <v>196</v>
      </c>
      <c r="C11" s="122"/>
      <c r="D11" s="122"/>
      <c r="E11" s="123"/>
      <c r="F11" s="123" t="s">
        <v>63</v>
      </c>
      <c r="G11" s="123"/>
      <c r="H11" s="123">
        <v>6</v>
      </c>
      <c r="I11" s="124">
        <f t="shared" si="0"/>
        <v>1.5</v>
      </c>
      <c r="J11" s="125">
        <f t="shared" si="1"/>
        <v>1.5</v>
      </c>
    </row>
    <row r="12" spans="1:10" ht="44.25" customHeight="1">
      <c r="A12" s="52">
        <v>8</v>
      </c>
      <c r="B12" s="122" t="s">
        <v>197</v>
      </c>
      <c r="C12" s="122"/>
      <c r="D12" s="122"/>
      <c r="E12" s="123" t="s">
        <v>63</v>
      </c>
      <c r="F12" s="123"/>
      <c r="G12" s="123"/>
      <c r="H12" s="123">
        <v>6</v>
      </c>
      <c r="I12" s="124">
        <f t="shared" si="0"/>
        <v>1.5</v>
      </c>
      <c r="J12" s="125">
        <f t="shared" si="1"/>
        <v>0</v>
      </c>
    </row>
    <row r="13" spans="1:10" ht="31.5" customHeight="1">
      <c r="A13" s="52">
        <v>9</v>
      </c>
      <c r="B13" s="122" t="s">
        <v>198</v>
      </c>
      <c r="C13" s="122"/>
      <c r="D13" s="122"/>
      <c r="E13" s="123"/>
      <c r="F13" s="123" t="s">
        <v>63</v>
      </c>
      <c r="G13" s="123"/>
      <c r="H13" s="123">
        <v>2</v>
      </c>
      <c r="I13" s="124">
        <f t="shared" si="0"/>
        <v>0.5</v>
      </c>
      <c r="J13" s="125">
        <f t="shared" si="1"/>
        <v>0.5</v>
      </c>
    </row>
    <row r="14" spans="1:10" ht="60" customHeight="1">
      <c r="A14" s="52">
        <v>10</v>
      </c>
      <c r="B14" s="122" t="s">
        <v>199</v>
      </c>
      <c r="C14" s="122"/>
      <c r="D14" s="122"/>
      <c r="E14" s="123"/>
      <c r="F14" s="123" t="s">
        <v>63</v>
      </c>
      <c r="G14" s="123"/>
      <c r="H14" s="123">
        <v>6</v>
      </c>
      <c r="I14" s="124">
        <f t="shared" si="0"/>
        <v>1.5</v>
      </c>
      <c r="J14" s="125">
        <f t="shared" si="1"/>
        <v>1.5</v>
      </c>
    </row>
    <row r="15" spans="1:10" ht="15" customHeight="1">
      <c r="A15" s="83" t="s">
        <v>71</v>
      </c>
      <c r="B15" s="83"/>
      <c r="C15" s="83"/>
      <c r="D15" s="83"/>
      <c r="E15" s="83"/>
      <c r="F15" s="83"/>
      <c r="G15" s="83"/>
      <c r="H15" s="83"/>
      <c r="I15" s="28">
        <f>SUM(I5:I14)</f>
        <v>10</v>
      </c>
      <c r="J15" s="19">
        <f>SUM(J5:J14)</f>
        <v>6.5</v>
      </c>
    </row>
  </sheetData>
  <mergeCells count="18">
    <mergeCell ref="B11:D11"/>
    <mergeCell ref="B12:D12"/>
    <mergeCell ref="B13:D13"/>
    <mergeCell ref="B14:D14"/>
    <mergeCell ref="A15:H15"/>
    <mergeCell ref="B10:D10"/>
    <mergeCell ref="A3:B3"/>
    <mergeCell ref="B4:D4"/>
    <mergeCell ref="B5:D5"/>
    <mergeCell ref="B6:D6"/>
    <mergeCell ref="B7:D7"/>
    <mergeCell ref="B8:D8"/>
    <mergeCell ref="B9:D9"/>
    <mergeCell ref="A1:B1"/>
    <mergeCell ref="A2:B2"/>
    <mergeCell ref="C1:J1"/>
    <mergeCell ref="C2:J2"/>
    <mergeCell ref="E3:J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ECB4D-AD1C-43F6-BD19-33FBD6B63C1A}">
  <sheetPr>
    <tabColor rgb="FF92D050"/>
  </sheetPr>
  <dimension ref="A1:J20"/>
  <sheetViews>
    <sheetView workbookViewId="0">
      <selection activeCell="B7" sqref="A1:J20"/>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23</v>
      </c>
      <c r="D2" s="74"/>
      <c r="E2" s="74"/>
      <c r="F2" s="74"/>
      <c r="G2" s="74"/>
      <c r="H2" s="74"/>
      <c r="I2" s="74"/>
      <c r="J2" s="75"/>
    </row>
    <row r="3" spans="1:10" ht="30">
      <c r="A3" s="70" t="s">
        <v>81</v>
      </c>
      <c r="B3" s="70"/>
      <c r="C3" s="18" t="s">
        <v>200</v>
      </c>
      <c r="D3" s="55" t="s">
        <v>201</v>
      </c>
      <c r="E3" s="122" t="s">
        <v>202</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7.25" customHeight="1">
      <c r="A5" s="52">
        <v>1</v>
      </c>
      <c r="B5" s="122" t="s">
        <v>203</v>
      </c>
      <c r="C5" s="122"/>
      <c r="D5" s="122"/>
      <c r="E5" s="123"/>
      <c r="F5" s="123" t="s">
        <v>63</v>
      </c>
      <c r="G5" s="123"/>
      <c r="H5" s="123">
        <v>10</v>
      </c>
      <c r="I5" s="124">
        <f>(H5*10)/SUM($H$5:$H$19)</f>
        <v>1.3513513513513513</v>
      </c>
      <c r="J5" s="125">
        <f>IF(F5="X",((H5*10)/SUM($H$5:$H$19)),0)</f>
        <v>1.3513513513513513</v>
      </c>
    </row>
    <row r="6" spans="1:10" ht="47.25" customHeight="1">
      <c r="A6" s="52">
        <v>2</v>
      </c>
      <c r="B6" s="122" t="s">
        <v>204</v>
      </c>
      <c r="C6" s="122"/>
      <c r="D6" s="122"/>
      <c r="E6" s="123"/>
      <c r="F6" s="123" t="s">
        <v>63</v>
      </c>
      <c r="G6" s="123"/>
      <c r="H6" s="123">
        <v>6</v>
      </c>
      <c r="I6" s="124">
        <f t="shared" ref="I6:I19" si="0">(H6*10)/SUM($H$5:$H$19)</f>
        <v>0.81081081081081086</v>
      </c>
      <c r="J6" s="125">
        <f t="shared" ref="J6:J19" si="1">IF(F6="X",((H6*10)/SUM($H$5:$H$19)),0)</f>
        <v>0.81081081081081086</v>
      </c>
    </row>
    <row r="7" spans="1:10" ht="31.5" customHeight="1">
      <c r="A7" s="52">
        <v>3</v>
      </c>
      <c r="B7" s="122" t="s">
        <v>205</v>
      </c>
      <c r="C7" s="122"/>
      <c r="D7" s="122"/>
      <c r="E7" s="123"/>
      <c r="F7" s="123" t="s">
        <v>63</v>
      </c>
      <c r="G7" s="123"/>
      <c r="H7" s="123">
        <v>10</v>
      </c>
      <c r="I7" s="124">
        <f t="shared" si="0"/>
        <v>1.3513513513513513</v>
      </c>
      <c r="J7" s="125">
        <f t="shared" si="1"/>
        <v>1.3513513513513513</v>
      </c>
    </row>
    <row r="8" spans="1:10" ht="47.25" customHeight="1">
      <c r="A8" s="52">
        <v>4</v>
      </c>
      <c r="B8" s="122" t="s">
        <v>206</v>
      </c>
      <c r="C8" s="122"/>
      <c r="D8" s="122"/>
      <c r="E8" s="123"/>
      <c r="F8" s="123" t="s">
        <v>63</v>
      </c>
      <c r="G8" s="123"/>
      <c r="H8" s="123">
        <v>10</v>
      </c>
      <c r="I8" s="124">
        <f t="shared" si="0"/>
        <v>1.3513513513513513</v>
      </c>
      <c r="J8" s="125">
        <f t="shared" si="1"/>
        <v>1.3513513513513513</v>
      </c>
    </row>
    <row r="9" spans="1:10" ht="47.25" customHeight="1">
      <c r="A9" s="52">
        <v>5</v>
      </c>
      <c r="B9" s="122" t="s">
        <v>207</v>
      </c>
      <c r="C9" s="122"/>
      <c r="D9" s="122"/>
      <c r="E9" s="123"/>
      <c r="F9" s="123" t="s">
        <v>63</v>
      </c>
      <c r="G9" s="123"/>
      <c r="H9" s="123">
        <v>6</v>
      </c>
      <c r="I9" s="124">
        <f t="shared" si="0"/>
        <v>0.81081081081081086</v>
      </c>
      <c r="J9" s="125">
        <f t="shared" si="1"/>
        <v>0.81081081081081086</v>
      </c>
    </row>
    <row r="10" spans="1:10" ht="31.5" customHeight="1">
      <c r="A10" s="52">
        <v>6</v>
      </c>
      <c r="B10" s="122" t="s">
        <v>208</v>
      </c>
      <c r="C10" s="122"/>
      <c r="D10" s="122"/>
      <c r="E10" s="123"/>
      <c r="F10" s="123" t="s">
        <v>63</v>
      </c>
      <c r="G10" s="123"/>
      <c r="H10" s="123">
        <v>2</v>
      </c>
      <c r="I10" s="124">
        <f t="shared" si="0"/>
        <v>0.27027027027027029</v>
      </c>
      <c r="J10" s="125">
        <f t="shared" si="1"/>
        <v>0.27027027027027029</v>
      </c>
    </row>
    <row r="11" spans="1:10" ht="47.25" customHeight="1">
      <c r="A11" s="52">
        <v>7</v>
      </c>
      <c r="B11" s="122" t="s">
        <v>209</v>
      </c>
      <c r="C11" s="122"/>
      <c r="D11" s="122"/>
      <c r="E11" s="123" t="s">
        <v>63</v>
      </c>
      <c r="F11" s="123"/>
      <c r="G11" s="123"/>
      <c r="H11" s="123">
        <v>6</v>
      </c>
      <c r="I11" s="124">
        <f t="shared" si="0"/>
        <v>0.81081081081081086</v>
      </c>
      <c r="J11" s="125">
        <f t="shared" si="1"/>
        <v>0</v>
      </c>
    </row>
    <row r="12" spans="1:10" ht="47.25" customHeight="1">
      <c r="A12" s="52">
        <v>8</v>
      </c>
      <c r="B12" s="122" t="s">
        <v>210</v>
      </c>
      <c r="C12" s="122"/>
      <c r="D12" s="122"/>
      <c r="E12" s="123" t="s">
        <v>63</v>
      </c>
      <c r="F12" s="123"/>
      <c r="G12" s="123"/>
      <c r="H12" s="123">
        <v>2</v>
      </c>
      <c r="I12" s="124">
        <f t="shared" si="0"/>
        <v>0.27027027027027029</v>
      </c>
      <c r="J12" s="125">
        <f t="shared" si="1"/>
        <v>0</v>
      </c>
    </row>
    <row r="13" spans="1:10" ht="45" customHeight="1">
      <c r="A13" s="52">
        <v>9</v>
      </c>
      <c r="B13" s="122" t="s">
        <v>211</v>
      </c>
      <c r="C13" s="122"/>
      <c r="D13" s="122"/>
      <c r="E13" s="123"/>
      <c r="F13" s="123" t="s">
        <v>63</v>
      </c>
      <c r="G13" s="123"/>
      <c r="H13" s="123">
        <v>2</v>
      </c>
      <c r="I13" s="124">
        <f t="shared" si="0"/>
        <v>0.27027027027027029</v>
      </c>
      <c r="J13" s="125">
        <f t="shared" si="1"/>
        <v>0.27027027027027029</v>
      </c>
    </row>
    <row r="14" spans="1:10" ht="31.5" customHeight="1">
      <c r="A14" s="52">
        <v>10</v>
      </c>
      <c r="B14" s="122" t="s">
        <v>212</v>
      </c>
      <c r="C14" s="122"/>
      <c r="D14" s="122"/>
      <c r="E14" s="123"/>
      <c r="F14" s="123" t="s">
        <v>63</v>
      </c>
      <c r="G14" s="123"/>
      <c r="H14" s="123">
        <v>2</v>
      </c>
      <c r="I14" s="124">
        <f t="shared" si="0"/>
        <v>0.27027027027027029</v>
      </c>
      <c r="J14" s="125">
        <f t="shared" si="1"/>
        <v>0.27027027027027029</v>
      </c>
    </row>
    <row r="15" spans="1:10" ht="43.5" customHeight="1">
      <c r="A15" s="52">
        <v>11</v>
      </c>
      <c r="B15" s="122" t="s">
        <v>213</v>
      </c>
      <c r="C15" s="122"/>
      <c r="D15" s="122"/>
      <c r="E15" s="123"/>
      <c r="F15" s="123" t="s">
        <v>63</v>
      </c>
      <c r="G15" s="123"/>
      <c r="H15" s="123">
        <v>2</v>
      </c>
      <c r="I15" s="124">
        <f t="shared" si="0"/>
        <v>0.27027027027027029</v>
      </c>
      <c r="J15" s="125">
        <f t="shared" si="1"/>
        <v>0.27027027027027029</v>
      </c>
    </row>
    <row r="16" spans="1:10" ht="31.5" customHeight="1">
      <c r="A16" s="52">
        <v>12</v>
      </c>
      <c r="B16" s="122" t="s">
        <v>214</v>
      </c>
      <c r="C16" s="122"/>
      <c r="D16" s="122"/>
      <c r="E16" s="123"/>
      <c r="F16" s="123" t="s">
        <v>63</v>
      </c>
      <c r="G16" s="123"/>
      <c r="H16" s="123">
        <v>6</v>
      </c>
      <c r="I16" s="124">
        <f t="shared" si="0"/>
        <v>0.81081081081081086</v>
      </c>
      <c r="J16" s="125">
        <f t="shared" si="1"/>
        <v>0.81081081081081086</v>
      </c>
    </row>
    <row r="17" spans="1:10" ht="47.25" customHeight="1">
      <c r="A17" s="52">
        <v>13</v>
      </c>
      <c r="B17" s="122" t="s">
        <v>215</v>
      </c>
      <c r="C17" s="122"/>
      <c r="D17" s="122"/>
      <c r="E17" s="123"/>
      <c r="F17" s="123" t="s">
        <v>63</v>
      </c>
      <c r="G17" s="123"/>
      <c r="H17" s="123">
        <v>6</v>
      </c>
      <c r="I17" s="124">
        <f t="shared" si="0"/>
        <v>0.81081081081081086</v>
      </c>
      <c r="J17" s="125">
        <f t="shared" si="1"/>
        <v>0.81081081081081086</v>
      </c>
    </row>
    <row r="18" spans="1:10" ht="31.5" customHeight="1">
      <c r="A18" s="52">
        <v>14</v>
      </c>
      <c r="B18" s="122" t="s">
        <v>216</v>
      </c>
      <c r="C18" s="122"/>
      <c r="D18" s="122"/>
      <c r="E18" s="123" t="s">
        <v>63</v>
      </c>
      <c r="F18" s="123"/>
      <c r="G18" s="123"/>
      <c r="H18" s="123">
        <v>2</v>
      </c>
      <c r="I18" s="124">
        <f t="shared" si="0"/>
        <v>0.27027027027027029</v>
      </c>
      <c r="J18" s="125">
        <f t="shared" si="1"/>
        <v>0</v>
      </c>
    </row>
    <row r="19" spans="1:10" ht="47.25" customHeight="1">
      <c r="A19" s="52">
        <v>15</v>
      </c>
      <c r="B19" s="122" t="s">
        <v>217</v>
      </c>
      <c r="C19" s="122"/>
      <c r="D19" s="122"/>
      <c r="E19" s="123" t="s">
        <v>63</v>
      </c>
      <c r="F19" s="123"/>
      <c r="G19" s="123"/>
      <c r="H19" s="123">
        <v>2</v>
      </c>
      <c r="I19" s="124">
        <f t="shared" si="0"/>
        <v>0.27027027027027029</v>
      </c>
      <c r="J19" s="125">
        <f t="shared" si="1"/>
        <v>0</v>
      </c>
    </row>
    <row r="20" spans="1:10" ht="15" customHeight="1">
      <c r="A20" s="83" t="s">
        <v>71</v>
      </c>
      <c r="B20" s="83"/>
      <c r="C20" s="83"/>
      <c r="D20" s="83"/>
      <c r="E20" s="83"/>
      <c r="F20" s="83"/>
      <c r="G20" s="83"/>
      <c r="H20" s="83"/>
      <c r="I20" s="28">
        <f>SUM(I5:I19)</f>
        <v>9.9999999999999982</v>
      </c>
      <c r="J20" s="19">
        <f>SUM(J5:J19)</f>
        <v>8.3783783783783772</v>
      </c>
    </row>
  </sheetData>
  <mergeCells count="23">
    <mergeCell ref="A20:H20"/>
    <mergeCell ref="B10:D10"/>
    <mergeCell ref="B19:D19"/>
    <mergeCell ref="B8:D8"/>
    <mergeCell ref="B9:D9"/>
    <mergeCell ref="B17:D17"/>
    <mergeCell ref="B18:D18"/>
    <mergeCell ref="B15:D15"/>
    <mergeCell ref="B16:D16"/>
    <mergeCell ref="B4:D4"/>
    <mergeCell ref="B5:D5"/>
    <mergeCell ref="B6:D6"/>
    <mergeCell ref="B7:D7"/>
    <mergeCell ref="B14:D14"/>
    <mergeCell ref="B11:D11"/>
    <mergeCell ref="B12:D12"/>
    <mergeCell ref="B13:D13"/>
    <mergeCell ref="A1:B1"/>
    <mergeCell ref="A2:B2"/>
    <mergeCell ref="C1:J1"/>
    <mergeCell ref="C2:J2"/>
    <mergeCell ref="E3:J3"/>
    <mergeCell ref="A3:B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1EF19-F438-4B3C-9718-32796A8DE0AB}">
  <sheetPr>
    <tabColor rgb="FF92D050"/>
  </sheetPr>
  <dimension ref="A1:I15"/>
  <sheetViews>
    <sheetView workbookViewId="0">
      <selection activeCell="B5" sqref="A1:I15"/>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52</v>
      </c>
      <c r="D1" s="120"/>
      <c r="E1" s="120"/>
      <c r="F1" s="120"/>
      <c r="G1" s="120"/>
      <c r="H1" s="120"/>
      <c r="I1" s="121"/>
    </row>
    <row r="2" spans="1:9" ht="15">
      <c r="A2" s="70" t="s">
        <v>0</v>
      </c>
      <c r="B2" s="70"/>
      <c r="C2" s="84" t="s">
        <v>23</v>
      </c>
      <c r="D2" s="120"/>
      <c r="E2" s="120"/>
      <c r="F2" s="120"/>
      <c r="G2" s="120"/>
      <c r="H2" s="120"/>
      <c r="I2" s="121"/>
    </row>
    <row r="3" spans="1:9" ht="15">
      <c r="A3" s="70" t="s">
        <v>218</v>
      </c>
      <c r="B3" s="70"/>
      <c r="C3" s="55" t="s">
        <v>219</v>
      </c>
      <c r="D3" s="122">
        <v>130</v>
      </c>
      <c r="E3" s="122"/>
      <c r="F3" s="122"/>
      <c r="G3" s="122"/>
      <c r="H3" s="122"/>
      <c r="I3" s="122"/>
    </row>
    <row r="4" spans="1:9" ht="60">
      <c r="A4" s="52" t="s">
        <v>55</v>
      </c>
      <c r="B4" s="70" t="s">
        <v>56</v>
      </c>
      <c r="C4" s="70"/>
      <c r="D4" s="52" t="s">
        <v>24</v>
      </c>
      <c r="E4" s="52" t="s">
        <v>57</v>
      </c>
      <c r="F4" s="52" t="s">
        <v>58</v>
      </c>
      <c r="G4" s="52" t="s">
        <v>59</v>
      </c>
      <c r="H4" s="52" t="s">
        <v>60</v>
      </c>
      <c r="I4" s="52" t="s">
        <v>61</v>
      </c>
    </row>
    <row r="5" spans="1:9" ht="47.25" customHeight="1">
      <c r="A5" s="52">
        <v>1</v>
      </c>
      <c r="B5" s="122" t="s">
        <v>220</v>
      </c>
      <c r="C5" s="122"/>
      <c r="D5" s="123"/>
      <c r="E5" s="123" t="s">
        <v>63</v>
      </c>
      <c r="F5" s="123"/>
      <c r="G5" s="123">
        <v>10</v>
      </c>
      <c r="H5" s="124">
        <f>(G5*10)/SUM($G$5:$G$14)</f>
        <v>1.7857142857142858</v>
      </c>
      <c r="I5" s="125">
        <f>IF(E5="X",((G5*10)/SUM($G$5:$G$14)),0)</f>
        <v>1.7857142857142858</v>
      </c>
    </row>
    <row r="6" spans="1:9" ht="47.25" customHeight="1">
      <c r="A6" s="52">
        <v>2</v>
      </c>
      <c r="B6" s="122" t="s">
        <v>221</v>
      </c>
      <c r="C6" s="122"/>
      <c r="D6" s="123"/>
      <c r="E6" s="123" t="s">
        <v>63</v>
      </c>
      <c r="F6" s="123"/>
      <c r="G6" s="123">
        <v>2</v>
      </c>
      <c r="H6" s="124">
        <f t="shared" ref="H6:H14" si="0">(G6*10)/SUM($G$5:$G$14)</f>
        <v>0.35714285714285715</v>
      </c>
      <c r="I6" s="125">
        <f t="shared" ref="I6:I14" si="1">IF(E6="X",((G6*10)/SUM($G$5:$G$14)),0)</f>
        <v>0.35714285714285715</v>
      </c>
    </row>
    <row r="7" spans="1:9" ht="31.5" customHeight="1">
      <c r="A7" s="52">
        <v>3</v>
      </c>
      <c r="B7" s="122" t="s">
        <v>222</v>
      </c>
      <c r="C7" s="122"/>
      <c r="D7" s="123"/>
      <c r="E7" s="123" t="s">
        <v>63</v>
      </c>
      <c r="F7" s="123"/>
      <c r="G7" s="123">
        <v>6</v>
      </c>
      <c r="H7" s="124">
        <f t="shared" si="0"/>
        <v>1.0714285714285714</v>
      </c>
      <c r="I7" s="125">
        <f t="shared" si="1"/>
        <v>1.0714285714285714</v>
      </c>
    </row>
    <row r="8" spans="1:9" ht="59.25" customHeight="1">
      <c r="A8" s="52">
        <v>4</v>
      </c>
      <c r="B8" s="122" t="s">
        <v>223</v>
      </c>
      <c r="C8" s="122"/>
      <c r="D8" s="123"/>
      <c r="E8" s="123" t="s">
        <v>63</v>
      </c>
      <c r="F8" s="123"/>
      <c r="G8" s="123">
        <v>10</v>
      </c>
      <c r="H8" s="124">
        <f t="shared" si="0"/>
        <v>1.7857142857142858</v>
      </c>
      <c r="I8" s="125">
        <f t="shared" si="1"/>
        <v>1.7857142857142858</v>
      </c>
    </row>
    <row r="9" spans="1:9" ht="43.5" customHeight="1">
      <c r="A9" s="52">
        <v>5</v>
      </c>
      <c r="B9" s="122" t="s">
        <v>224</v>
      </c>
      <c r="C9" s="122"/>
      <c r="D9" s="123"/>
      <c r="E9" s="123" t="s">
        <v>63</v>
      </c>
      <c r="F9" s="123"/>
      <c r="G9" s="123">
        <v>6</v>
      </c>
      <c r="H9" s="124">
        <f t="shared" si="0"/>
        <v>1.0714285714285714</v>
      </c>
      <c r="I9" s="125">
        <f t="shared" si="1"/>
        <v>1.0714285714285714</v>
      </c>
    </row>
    <row r="10" spans="1:9" ht="58.5" customHeight="1">
      <c r="A10" s="52">
        <v>6</v>
      </c>
      <c r="B10" s="122" t="s">
        <v>225</v>
      </c>
      <c r="C10" s="122"/>
      <c r="D10" s="123"/>
      <c r="E10" s="123" t="s">
        <v>63</v>
      </c>
      <c r="F10" s="123"/>
      <c r="G10" s="123">
        <v>6</v>
      </c>
      <c r="H10" s="124">
        <f t="shared" si="0"/>
        <v>1.0714285714285714</v>
      </c>
      <c r="I10" s="125">
        <f t="shared" si="1"/>
        <v>1.0714285714285714</v>
      </c>
    </row>
    <row r="11" spans="1:9" ht="47.25" customHeight="1">
      <c r="A11" s="52">
        <v>7</v>
      </c>
      <c r="B11" s="122" t="s">
        <v>226</v>
      </c>
      <c r="C11" s="122"/>
      <c r="D11" s="123"/>
      <c r="E11" s="123" t="s">
        <v>63</v>
      </c>
      <c r="F11" s="123"/>
      <c r="G11" s="123">
        <v>6</v>
      </c>
      <c r="H11" s="124">
        <f t="shared" si="0"/>
        <v>1.0714285714285714</v>
      </c>
      <c r="I11" s="125">
        <f t="shared" si="1"/>
        <v>1.0714285714285714</v>
      </c>
    </row>
    <row r="12" spans="1:9" ht="47.25" customHeight="1">
      <c r="A12" s="52">
        <v>8</v>
      </c>
      <c r="B12" s="122" t="s">
        <v>227</v>
      </c>
      <c r="C12" s="122"/>
      <c r="D12" s="123"/>
      <c r="E12" s="123" t="s">
        <v>63</v>
      </c>
      <c r="F12" s="123"/>
      <c r="G12" s="123">
        <v>6</v>
      </c>
      <c r="H12" s="124">
        <f t="shared" si="0"/>
        <v>1.0714285714285714</v>
      </c>
      <c r="I12" s="125">
        <f t="shared" si="1"/>
        <v>1.0714285714285714</v>
      </c>
    </row>
    <row r="13" spans="1:9" ht="47.25" customHeight="1">
      <c r="A13" s="52">
        <v>9</v>
      </c>
      <c r="B13" s="122" t="s">
        <v>228</v>
      </c>
      <c r="C13" s="122"/>
      <c r="D13" s="123"/>
      <c r="E13" s="123" t="s">
        <v>63</v>
      </c>
      <c r="F13" s="123"/>
      <c r="G13" s="123">
        <v>2</v>
      </c>
      <c r="H13" s="124">
        <f t="shared" si="0"/>
        <v>0.35714285714285715</v>
      </c>
      <c r="I13" s="125">
        <f t="shared" si="1"/>
        <v>0.35714285714285715</v>
      </c>
    </row>
    <row r="14" spans="1:9" ht="63" customHeight="1">
      <c r="A14" s="52">
        <v>10</v>
      </c>
      <c r="B14" s="122" t="s">
        <v>229</v>
      </c>
      <c r="C14" s="122"/>
      <c r="D14" s="123"/>
      <c r="E14" s="123" t="s">
        <v>63</v>
      </c>
      <c r="F14" s="123"/>
      <c r="G14" s="123">
        <v>2</v>
      </c>
      <c r="H14" s="124">
        <f t="shared" si="0"/>
        <v>0.35714285714285715</v>
      </c>
      <c r="I14" s="125">
        <f t="shared" si="1"/>
        <v>0.35714285714285715</v>
      </c>
    </row>
    <row r="15" spans="1:9" ht="15.75" customHeight="1">
      <c r="A15" s="83" t="s">
        <v>71</v>
      </c>
      <c r="B15" s="83"/>
      <c r="C15" s="83"/>
      <c r="D15" s="83"/>
      <c r="E15" s="83"/>
      <c r="F15" s="83"/>
      <c r="G15" s="83"/>
      <c r="H15" s="28">
        <f>SUM(H5:H14)</f>
        <v>10</v>
      </c>
      <c r="I15" s="20">
        <f>SUM(I5:I14)</f>
        <v>10</v>
      </c>
    </row>
  </sheetData>
  <mergeCells count="18">
    <mergeCell ref="B11:C11"/>
    <mergeCell ref="B12:C12"/>
    <mergeCell ref="B13:C13"/>
    <mergeCell ref="B14:C14"/>
    <mergeCell ref="A15:G15"/>
    <mergeCell ref="B10:C10"/>
    <mergeCell ref="A3:B3"/>
    <mergeCell ref="B4:C4"/>
    <mergeCell ref="B5:C5"/>
    <mergeCell ref="B6:C6"/>
    <mergeCell ref="B7:C7"/>
    <mergeCell ref="B8:C8"/>
    <mergeCell ref="B9:C9"/>
    <mergeCell ref="A1:B1"/>
    <mergeCell ref="A2:B2"/>
    <mergeCell ref="C1:I1"/>
    <mergeCell ref="C2:I2"/>
    <mergeCell ref="D3:I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74AC-4F95-44F7-98D5-20FC2BF7E9DB}">
  <sheetPr>
    <tabColor rgb="FFFFFF00"/>
  </sheetPr>
  <dimension ref="A1:I13"/>
  <sheetViews>
    <sheetView workbookViewId="0">
      <selection activeCell="C2" sqref="C2:I2"/>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52</v>
      </c>
      <c r="D1" s="120"/>
      <c r="E1" s="120"/>
      <c r="F1" s="120"/>
      <c r="G1" s="120"/>
      <c r="H1" s="120"/>
      <c r="I1" s="121"/>
    </row>
    <row r="2" spans="1:9" ht="15">
      <c r="A2" s="70" t="s">
        <v>0</v>
      </c>
      <c r="B2" s="70"/>
      <c r="C2" s="84" t="s">
        <v>38</v>
      </c>
      <c r="D2" s="120"/>
      <c r="E2" s="120"/>
      <c r="F2" s="120"/>
      <c r="G2" s="120"/>
      <c r="H2" s="120"/>
      <c r="I2" s="121"/>
    </row>
    <row r="3" spans="1:9" ht="15">
      <c r="A3" s="70" t="s">
        <v>53</v>
      </c>
      <c r="B3" s="70"/>
      <c r="C3" s="55" t="s">
        <v>54</v>
      </c>
      <c r="D3" s="122">
        <v>330</v>
      </c>
      <c r="E3" s="122"/>
      <c r="F3" s="122"/>
      <c r="G3" s="122"/>
      <c r="H3" s="122"/>
      <c r="I3" s="122"/>
    </row>
    <row r="4" spans="1:9" ht="60">
      <c r="A4" s="52" t="s">
        <v>55</v>
      </c>
      <c r="B4" s="70" t="s">
        <v>56</v>
      </c>
      <c r="C4" s="70"/>
      <c r="D4" s="52" t="s">
        <v>24</v>
      </c>
      <c r="E4" s="52" t="s">
        <v>57</v>
      </c>
      <c r="F4" s="52" t="s">
        <v>58</v>
      </c>
      <c r="G4" s="52" t="s">
        <v>59</v>
      </c>
      <c r="H4" s="52" t="s">
        <v>60</v>
      </c>
      <c r="I4" s="52" t="s">
        <v>61</v>
      </c>
    </row>
    <row r="5" spans="1:9" ht="47.25" customHeight="1">
      <c r="A5" s="52">
        <v>1</v>
      </c>
      <c r="B5" s="122" t="s">
        <v>62</v>
      </c>
      <c r="C5" s="122"/>
      <c r="D5" s="123"/>
      <c r="E5" s="123" t="s">
        <v>63</v>
      </c>
      <c r="F5" s="123"/>
      <c r="G5" s="123">
        <v>10</v>
      </c>
      <c r="H5" s="124">
        <f>(G5*10)/SUM($G$5:$G$12)</f>
        <v>1.5625</v>
      </c>
      <c r="I5" s="124">
        <f t="shared" ref="I5:I12" si="0">IF(E5="X",((G5*10)/SUM($G$5:$G$12)),0)</f>
        <v>1.5625</v>
      </c>
    </row>
    <row r="6" spans="1:9" ht="63" customHeight="1">
      <c r="A6" s="52">
        <v>2</v>
      </c>
      <c r="B6" s="122" t="s">
        <v>64</v>
      </c>
      <c r="C6" s="122"/>
      <c r="D6" s="123"/>
      <c r="E6" s="123" t="s">
        <v>63</v>
      </c>
      <c r="F6" s="123"/>
      <c r="G6" s="123">
        <v>6</v>
      </c>
      <c r="H6" s="124">
        <f t="shared" ref="H6:H12" si="1">(G6*10)/SUM($G$5:$G$12)</f>
        <v>0.9375</v>
      </c>
      <c r="I6" s="124">
        <f t="shared" si="0"/>
        <v>0.9375</v>
      </c>
    </row>
    <row r="7" spans="1:9" ht="47.25" customHeight="1">
      <c r="A7" s="52">
        <v>3</v>
      </c>
      <c r="B7" s="122" t="s">
        <v>65</v>
      </c>
      <c r="C7" s="122"/>
      <c r="D7" s="123"/>
      <c r="E7" s="123" t="s">
        <v>63</v>
      </c>
      <c r="F7" s="123"/>
      <c r="G7" s="123">
        <v>10</v>
      </c>
      <c r="H7" s="124">
        <f t="shared" si="1"/>
        <v>1.5625</v>
      </c>
      <c r="I7" s="124">
        <f t="shared" si="0"/>
        <v>1.5625</v>
      </c>
    </row>
    <row r="8" spans="1:9" ht="47.25" customHeight="1">
      <c r="A8" s="52">
        <v>4</v>
      </c>
      <c r="B8" s="122" t="s">
        <v>66</v>
      </c>
      <c r="C8" s="122"/>
      <c r="D8" s="123"/>
      <c r="E8" s="123" t="s">
        <v>63</v>
      </c>
      <c r="F8" s="123"/>
      <c r="G8" s="123">
        <v>2</v>
      </c>
      <c r="H8" s="124">
        <f t="shared" si="1"/>
        <v>0.3125</v>
      </c>
      <c r="I8" s="124">
        <f t="shared" si="0"/>
        <v>0.3125</v>
      </c>
    </row>
    <row r="9" spans="1:9" ht="78.75" customHeight="1">
      <c r="A9" s="52">
        <v>5</v>
      </c>
      <c r="B9" s="122" t="s">
        <v>67</v>
      </c>
      <c r="C9" s="122"/>
      <c r="D9" s="123"/>
      <c r="E9" s="123" t="s">
        <v>63</v>
      </c>
      <c r="F9" s="123"/>
      <c r="G9" s="123">
        <v>10</v>
      </c>
      <c r="H9" s="124">
        <f t="shared" si="1"/>
        <v>1.5625</v>
      </c>
      <c r="I9" s="124">
        <f t="shared" si="0"/>
        <v>1.5625</v>
      </c>
    </row>
    <row r="10" spans="1:9" ht="47.25" customHeight="1">
      <c r="A10" s="52">
        <v>6</v>
      </c>
      <c r="B10" s="122" t="s">
        <v>68</v>
      </c>
      <c r="C10" s="122"/>
      <c r="D10" s="123"/>
      <c r="E10" s="123" t="s">
        <v>63</v>
      </c>
      <c r="F10" s="123"/>
      <c r="G10" s="123">
        <v>6</v>
      </c>
      <c r="H10" s="124">
        <f t="shared" si="1"/>
        <v>0.9375</v>
      </c>
      <c r="I10" s="124">
        <f t="shared" si="0"/>
        <v>0.9375</v>
      </c>
    </row>
    <row r="11" spans="1:9" ht="50.25" customHeight="1">
      <c r="A11" s="52">
        <v>7</v>
      </c>
      <c r="B11" s="122" t="s">
        <v>69</v>
      </c>
      <c r="C11" s="122"/>
      <c r="D11" s="123"/>
      <c r="E11" s="123" t="s">
        <v>63</v>
      </c>
      <c r="F11" s="123"/>
      <c r="G11" s="123">
        <v>10</v>
      </c>
      <c r="H11" s="124">
        <f t="shared" si="1"/>
        <v>1.5625</v>
      </c>
      <c r="I11" s="124">
        <f t="shared" si="0"/>
        <v>1.5625</v>
      </c>
    </row>
    <row r="12" spans="1:9" ht="61.5" customHeight="1">
      <c r="A12" s="52">
        <v>8</v>
      </c>
      <c r="B12" s="122" t="s">
        <v>70</v>
      </c>
      <c r="C12" s="122"/>
      <c r="D12" s="123"/>
      <c r="E12" s="123" t="s">
        <v>63</v>
      </c>
      <c r="F12" s="123"/>
      <c r="G12" s="123">
        <v>10</v>
      </c>
      <c r="H12" s="124">
        <f t="shared" si="1"/>
        <v>1.5625</v>
      </c>
      <c r="I12" s="124">
        <f t="shared" si="0"/>
        <v>1.5625</v>
      </c>
    </row>
    <row r="13" spans="1:9" ht="15.75" customHeight="1">
      <c r="A13" s="71" t="s">
        <v>71</v>
      </c>
      <c r="B13" s="72"/>
      <c r="C13" s="72"/>
      <c r="D13" s="72"/>
      <c r="E13" s="72"/>
      <c r="F13" s="72"/>
      <c r="G13" s="72"/>
      <c r="H13" s="29">
        <f>SUM(H5:H12)</f>
        <v>10</v>
      </c>
      <c r="I13" s="20">
        <f>SUM(I5:I12)</f>
        <v>10</v>
      </c>
    </row>
  </sheetData>
  <mergeCells count="16">
    <mergeCell ref="A13:G13"/>
    <mergeCell ref="A3:B3"/>
    <mergeCell ref="B4:C4"/>
    <mergeCell ref="B11:C11"/>
    <mergeCell ref="B12:C12"/>
    <mergeCell ref="D3:I3"/>
    <mergeCell ref="B5:C5"/>
    <mergeCell ref="B6:C6"/>
    <mergeCell ref="B7:C7"/>
    <mergeCell ref="B8:C8"/>
    <mergeCell ref="B9:C9"/>
    <mergeCell ref="A1:B1"/>
    <mergeCell ref="A2:B2"/>
    <mergeCell ref="C1:I1"/>
    <mergeCell ref="C2:I2"/>
    <mergeCell ref="B10:C10"/>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9B77B-3C21-490B-B93E-74DB22BF3BA7}">
  <sheetPr>
    <tabColor rgb="FFFFFF00"/>
  </sheetPr>
  <dimension ref="A1:I13"/>
  <sheetViews>
    <sheetView workbookViewId="0">
      <selection activeCell="C2" sqref="C2:I2"/>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52</v>
      </c>
      <c r="D1" s="120"/>
      <c r="E1" s="120"/>
      <c r="F1" s="120"/>
      <c r="G1" s="120"/>
      <c r="H1" s="120"/>
      <c r="I1" s="121"/>
    </row>
    <row r="2" spans="1:9" ht="15">
      <c r="A2" s="70" t="s">
        <v>0</v>
      </c>
      <c r="B2" s="70"/>
      <c r="C2" s="84" t="s">
        <v>38</v>
      </c>
      <c r="D2" s="120"/>
      <c r="E2" s="120"/>
      <c r="F2" s="120"/>
      <c r="G2" s="120"/>
      <c r="H2" s="120"/>
      <c r="I2" s="121"/>
    </row>
    <row r="3" spans="1:9" ht="15">
      <c r="A3" s="70" t="s">
        <v>53</v>
      </c>
      <c r="B3" s="70"/>
      <c r="C3" s="55" t="s">
        <v>230</v>
      </c>
      <c r="D3" s="122">
        <v>340</v>
      </c>
      <c r="E3" s="122"/>
      <c r="F3" s="122"/>
      <c r="G3" s="122"/>
      <c r="H3" s="122"/>
      <c r="I3" s="122"/>
    </row>
    <row r="4" spans="1:9" ht="60">
      <c r="A4" s="52" t="s">
        <v>55</v>
      </c>
      <c r="B4" s="70" t="s">
        <v>56</v>
      </c>
      <c r="C4" s="70"/>
      <c r="D4" s="52" t="s">
        <v>24</v>
      </c>
      <c r="E4" s="52" t="s">
        <v>57</v>
      </c>
      <c r="F4" s="52" t="s">
        <v>58</v>
      </c>
      <c r="G4" s="52" t="s">
        <v>59</v>
      </c>
      <c r="H4" s="52" t="s">
        <v>60</v>
      </c>
      <c r="I4" s="52" t="s">
        <v>61</v>
      </c>
    </row>
    <row r="5" spans="1:9" ht="57.75" customHeight="1">
      <c r="A5" s="52">
        <v>1</v>
      </c>
      <c r="B5" s="122" t="s">
        <v>231</v>
      </c>
      <c r="C5" s="122"/>
      <c r="D5" s="123"/>
      <c r="E5" s="123" t="s">
        <v>63</v>
      </c>
      <c r="F5" s="123"/>
      <c r="G5" s="123">
        <v>6</v>
      </c>
      <c r="H5" s="124">
        <f>(G5*10)/SUM($G$5:$G$12)</f>
        <v>1</v>
      </c>
      <c r="I5" s="125">
        <f>IF(E5="X",((G5*10)/SUM($G$5:$G$12)),0)</f>
        <v>1</v>
      </c>
    </row>
    <row r="6" spans="1:9" ht="47.25" customHeight="1">
      <c r="A6" s="52">
        <v>2</v>
      </c>
      <c r="B6" s="122" t="s">
        <v>232</v>
      </c>
      <c r="C6" s="122"/>
      <c r="D6" s="123"/>
      <c r="E6" s="123" t="s">
        <v>63</v>
      </c>
      <c r="F6" s="123"/>
      <c r="G6" s="123">
        <v>6</v>
      </c>
      <c r="H6" s="124">
        <f t="shared" ref="H6:H12" si="0">(G6*10)/SUM($G$5:$G$12)</f>
        <v>1</v>
      </c>
      <c r="I6" s="125">
        <f t="shared" ref="I6:I12" si="1">IF(E6="X",((G6*10)/SUM($G$5:$G$12)),0)</f>
        <v>1</v>
      </c>
    </row>
    <row r="7" spans="1:9" ht="41.25" customHeight="1">
      <c r="A7" s="52">
        <v>3</v>
      </c>
      <c r="B7" s="122" t="s">
        <v>233</v>
      </c>
      <c r="C7" s="122"/>
      <c r="D7" s="123"/>
      <c r="E7" s="123" t="s">
        <v>63</v>
      </c>
      <c r="F7" s="123"/>
      <c r="G7" s="123">
        <v>2</v>
      </c>
      <c r="H7" s="124">
        <f t="shared" si="0"/>
        <v>0.33333333333333331</v>
      </c>
      <c r="I7" s="125">
        <f t="shared" si="1"/>
        <v>0.33333333333333331</v>
      </c>
    </row>
    <row r="8" spans="1:9" ht="74.25" customHeight="1">
      <c r="A8" s="52">
        <v>4</v>
      </c>
      <c r="B8" s="122" t="s">
        <v>234</v>
      </c>
      <c r="C8" s="122"/>
      <c r="D8" s="123"/>
      <c r="E8" s="123" t="s">
        <v>63</v>
      </c>
      <c r="F8" s="123"/>
      <c r="G8" s="123">
        <v>6</v>
      </c>
      <c r="H8" s="124">
        <f t="shared" si="0"/>
        <v>1</v>
      </c>
      <c r="I8" s="125">
        <f t="shared" si="1"/>
        <v>1</v>
      </c>
    </row>
    <row r="9" spans="1:9" ht="45" customHeight="1">
      <c r="A9" s="52">
        <v>5</v>
      </c>
      <c r="B9" s="122" t="s">
        <v>235</v>
      </c>
      <c r="C9" s="122"/>
      <c r="D9" s="123"/>
      <c r="E9" s="123" t="s">
        <v>63</v>
      </c>
      <c r="F9" s="123"/>
      <c r="G9" s="123">
        <v>10</v>
      </c>
      <c r="H9" s="124">
        <f t="shared" si="0"/>
        <v>1.6666666666666667</v>
      </c>
      <c r="I9" s="125">
        <f t="shared" si="1"/>
        <v>1.6666666666666667</v>
      </c>
    </row>
    <row r="10" spans="1:9" ht="47.25" customHeight="1">
      <c r="A10" s="52">
        <v>6</v>
      </c>
      <c r="B10" s="122" t="s">
        <v>236</v>
      </c>
      <c r="C10" s="122"/>
      <c r="D10" s="123"/>
      <c r="E10" s="123" t="s">
        <v>63</v>
      </c>
      <c r="F10" s="123"/>
      <c r="G10" s="123">
        <v>10</v>
      </c>
      <c r="H10" s="124">
        <f t="shared" si="0"/>
        <v>1.6666666666666667</v>
      </c>
      <c r="I10" s="125">
        <f t="shared" si="1"/>
        <v>1.6666666666666667</v>
      </c>
    </row>
    <row r="11" spans="1:9" ht="60" customHeight="1">
      <c r="A11" s="52">
        <v>7</v>
      </c>
      <c r="B11" s="122" t="s">
        <v>237</v>
      </c>
      <c r="C11" s="122"/>
      <c r="D11" s="123"/>
      <c r="E11" s="123" t="s">
        <v>63</v>
      </c>
      <c r="F11" s="123"/>
      <c r="G11" s="123">
        <v>10</v>
      </c>
      <c r="H11" s="124">
        <f t="shared" si="0"/>
        <v>1.6666666666666667</v>
      </c>
      <c r="I11" s="125">
        <f t="shared" si="1"/>
        <v>1.6666666666666667</v>
      </c>
    </row>
    <row r="12" spans="1:9" ht="63" customHeight="1">
      <c r="A12" s="52">
        <v>8</v>
      </c>
      <c r="B12" s="122" t="s">
        <v>238</v>
      </c>
      <c r="C12" s="122"/>
      <c r="D12" s="123"/>
      <c r="E12" s="123" t="s">
        <v>63</v>
      </c>
      <c r="F12" s="123"/>
      <c r="G12" s="123">
        <v>10</v>
      </c>
      <c r="H12" s="124">
        <f t="shared" si="0"/>
        <v>1.6666666666666667</v>
      </c>
      <c r="I12" s="125">
        <f t="shared" si="1"/>
        <v>1.6666666666666667</v>
      </c>
    </row>
    <row r="13" spans="1:9" ht="15.75" customHeight="1">
      <c r="A13" s="83" t="s">
        <v>71</v>
      </c>
      <c r="B13" s="83"/>
      <c r="C13" s="83"/>
      <c r="D13" s="83"/>
      <c r="E13" s="83"/>
      <c r="F13" s="83"/>
      <c r="G13" s="83"/>
      <c r="H13" s="28">
        <f>SUM(H5:H12)</f>
        <v>10</v>
      </c>
      <c r="I13" s="20">
        <f>SUM(I5:I12)</f>
        <v>10</v>
      </c>
    </row>
  </sheetData>
  <mergeCells count="16">
    <mergeCell ref="A13:G13"/>
    <mergeCell ref="A3:B3"/>
    <mergeCell ref="B4:C4"/>
    <mergeCell ref="B11:C11"/>
    <mergeCell ref="B12:C12"/>
    <mergeCell ref="D3:I3"/>
    <mergeCell ref="B5:C5"/>
    <mergeCell ref="B6:C6"/>
    <mergeCell ref="B7:C7"/>
    <mergeCell ref="B8:C8"/>
    <mergeCell ref="B9:C9"/>
    <mergeCell ref="A1:B1"/>
    <mergeCell ref="A2:B2"/>
    <mergeCell ref="C1:I1"/>
    <mergeCell ref="C2:I2"/>
    <mergeCell ref="B10:C1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EB63B-023E-4F59-8660-06499CA6A3B4}">
  <sheetPr>
    <tabColor rgb="FFFFFF00"/>
  </sheetPr>
  <dimension ref="A1:I12"/>
  <sheetViews>
    <sheetView workbookViewId="0">
      <selection activeCell="E5" sqref="A1:I12"/>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52</v>
      </c>
      <c r="D1" s="120"/>
      <c r="E1" s="120"/>
      <c r="F1" s="120"/>
      <c r="G1" s="120"/>
      <c r="H1" s="120"/>
      <c r="I1" s="121"/>
    </row>
    <row r="2" spans="1:9" ht="15">
      <c r="A2" s="70" t="s">
        <v>0</v>
      </c>
      <c r="B2" s="70"/>
      <c r="C2" s="84" t="s">
        <v>38</v>
      </c>
      <c r="D2" s="120"/>
      <c r="E2" s="120"/>
      <c r="F2" s="120"/>
      <c r="G2" s="120"/>
      <c r="H2" s="120"/>
      <c r="I2" s="121"/>
    </row>
    <row r="3" spans="1:9" ht="15">
      <c r="A3" s="70" t="s">
        <v>72</v>
      </c>
      <c r="B3" s="70"/>
      <c r="C3" s="55" t="s">
        <v>73</v>
      </c>
      <c r="D3" s="122">
        <v>380</v>
      </c>
      <c r="E3" s="122"/>
      <c r="F3" s="122"/>
      <c r="G3" s="122"/>
      <c r="H3" s="122"/>
      <c r="I3" s="122"/>
    </row>
    <row r="4" spans="1:9" ht="60">
      <c r="A4" s="52" t="s">
        <v>55</v>
      </c>
      <c r="B4" s="70" t="s">
        <v>56</v>
      </c>
      <c r="C4" s="70"/>
      <c r="D4" s="52" t="s">
        <v>24</v>
      </c>
      <c r="E4" s="52" t="s">
        <v>57</v>
      </c>
      <c r="F4" s="52" t="s">
        <v>58</v>
      </c>
      <c r="G4" s="52" t="s">
        <v>59</v>
      </c>
      <c r="H4" s="52" t="s">
        <v>60</v>
      </c>
      <c r="I4" s="52" t="s">
        <v>61</v>
      </c>
    </row>
    <row r="5" spans="1:9" ht="61.5" customHeight="1">
      <c r="A5" s="52">
        <v>1</v>
      </c>
      <c r="B5" s="122" t="s">
        <v>74</v>
      </c>
      <c r="C5" s="122"/>
      <c r="D5" s="123" t="s">
        <v>63</v>
      </c>
      <c r="E5" s="123"/>
      <c r="F5" s="123"/>
      <c r="G5" s="123">
        <v>2</v>
      </c>
      <c r="H5" s="124">
        <f>(G5*10)/SUM($G$5:$G$11)</f>
        <v>0.52631578947368418</v>
      </c>
      <c r="I5" s="125">
        <f>IF(E5="X",((G5*10)/SUM($G$5:$G$11)),0)</f>
        <v>0</v>
      </c>
    </row>
    <row r="6" spans="1:9" ht="73.5" customHeight="1">
      <c r="A6" s="52">
        <v>2</v>
      </c>
      <c r="B6" s="122" t="s">
        <v>75</v>
      </c>
      <c r="C6" s="122"/>
      <c r="D6" s="123"/>
      <c r="E6" s="123" t="s">
        <v>63</v>
      </c>
      <c r="F6" s="123"/>
      <c r="G6" s="123">
        <v>6</v>
      </c>
      <c r="H6" s="124">
        <f t="shared" ref="H6:H11" si="0">(G6*10)/SUM($G$5:$G$11)</f>
        <v>1.5789473684210527</v>
      </c>
      <c r="I6" s="125">
        <f t="shared" ref="I6:I11" si="1">IF(E6="X",((G6*10)/SUM($G$5:$G$11)),0)</f>
        <v>1.5789473684210527</v>
      </c>
    </row>
    <row r="7" spans="1:9" ht="31.5" customHeight="1">
      <c r="A7" s="52">
        <v>3</v>
      </c>
      <c r="B7" s="122" t="s">
        <v>76</v>
      </c>
      <c r="C7" s="122"/>
      <c r="D7" s="123"/>
      <c r="E7" s="123" t="s">
        <v>63</v>
      </c>
      <c r="F7" s="123"/>
      <c r="G7" s="123">
        <v>10</v>
      </c>
      <c r="H7" s="124">
        <f t="shared" si="0"/>
        <v>2.6315789473684212</v>
      </c>
      <c r="I7" s="125">
        <f t="shared" si="1"/>
        <v>2.6315789473684212</v>
      </c>
    </row>
    <row r="8" spans="1:9" ht="47.25" customHeight="1">
      <c r="A8" s="52">
        <v>4</v>
      </c>
      <c r="B8" s="122" t="s">
        <v>77</v>
      </c>
      <c r="C8" s="122"/>
      <c r="D8" s="123"/>
      <c r="E8" s="123" t="s">
        <v>63</v>
      </c>
      <c r="F8" s="123"/>
      <c r="G8" s="123">
        <v>10</v>
      </c>
      <c r="H8" s="124">
        <f t="shared" si="0"/>
        <v>2.6315789473684212</v>
      </c>
      <c r="I8" s="125">
        <f t="shared" si="1"/>
        <v>2.6315789473684212</v>
      </c>
    </row>
    <row r="9" spans="1:9" ht="47.25" customHeight="1">
      <c r="A9" s="52">
        <v>5</v>
      </c>
      <c r="B9" s="122" t="s">
        <v>78</v>
      </c>
      <c r="C9" s="122"/>
      <c r="D9" s="123"/>
      <c r="E9" s="123" t="s">
        <v>63</v>
      </c>
      <c r="F9" s="123"/>
      <c r="G9" s="123">
        <v>6</v>
      </c>
      <c r="H9" s="124">
        <f t="shared" si="0"/>
        <v>1.5789473684210527</v>
      </c>
      <c r="I9" s="125">
        <f t="shared" si="1"/>
        <v>1.5789473684210527</v>
      </c>
    </row>
    <row r="10" spans="1:9" ht="47.25" customHeight="1">
      <c r="A10" s="52">
        <v>6</v>
      </c>
      <c r="B10" s="122" t="s">
        <v>79</v>
      </c>
      <c r="C10" s="122"/>
      <c r="D10" s="123"/>
      <c r="E10" s="123" t="s">
        <v>63</v>
      </c>
      <c r="F10" s="123"/>
      <c r="G10" s="123">
        <v>2</v>
      </c>
      <c r="H10" s="124">
        <f t="shared" si="0"/>
        <v>0.52631578947368418</v>
      </c>
      <c r="I10" s="125">
        <f t="shared" si="1"/>
        <v>0.52631578947368418</v>
      </c>
    </row>
    <row r="11" spans="1:9" ht="46.5" customHeight="1">
      <c r="A11" s="52">
        <v>7</v>
      </c>
      <c r="B11" s="122" t="s">
        <v>80</v>
      </c>
      <c r="C11" s="122"/>
      <c r="D11" s="123"/>
      <c r="E11" s="123" t="s">
        <v>63</v>
      </c>
      <c r="F11" s="123"/>
      <c r="G11" s="123">
        <v>2</v>
      </c>
      <c r="H11" s="124">
        <f t="shared" si="0"/>
        <v>0.52631578947368418</v>
      </c>
      <c r="I11" s="125">
        <f t="shared" si="1"/>
        <v>0.52631578947368418</v>
      </c>
    </row>
    <row r="12" spans="1:9" ht="15.75" customHeight="1">
      <c r="A12" s="71" t="s">
        <v>71</v>
      </c>
      <c r="B12" s="72"/>
      <c r="C12" s="72"/>
      <c r="D12" s="72"/>
      <c r="E12" s="72"/>
      <c r="F12" s="72"/>
      <c r="G12" s="72"/>
      <c r="H12" s="29">
        <f>SUM(H5:H11)</f>
        <v>10.000000000000002</v>
      </c>
      <c r="I12" s="20">
        <f>SUM(I5:I11)</f>
        <v>9.4736842105263186</v>
      </c>
    </row>
  </sheetData>
  <mergeCells count="15">
    <mergeCell ref="A1:B1"/>
    <mergeCell ref="A2:B2"/>
    <mergeCell ref="C1:I1"/>
    <mergeCell ref="C2:I2"/>
    <mergeCell ref="A12:G12"/>
    <mergeCell ref="A3:B3"/>
    <mergeCell ref="B4:C4"/>
    <mergeCell ref="B5:C5"/>
    <mergeCell ref="B6:C6"/>
    <mergeCell ref="D3:I3"/>
    <mergeCell ref="B7:C7"/>
    <mergeCell ref="B8:C8"/>
    <mergeCell ref="B9:C9"/>
    <mergeCell ref="B10:C10"/>
    <mergeCell ref="B11:C1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B2ED1-D9BF-4A0E-BF90-58F48C72F693}">
  <sheetPr>
    <tabColor rgb="FFFFFF00"/>
  </sheetPr>
  <dimension ref="A1:J14"/>
  <sheetViews>
    <sheetView workbookViewId="0">
      <selection activeCell="E3" sqref="A1:J14"/>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38</v>
      </c>
      <c r="D2" s="74"/>
      <c r="E2" s="74"/>
      <c r="F2" s="74"/>
      <c r="G2" s="74"/>
      <c r="H2" s="74"/>
      <c r="I2" s="74"/>
      <c r="J2" s="75"/>
    </row>
    <row r="3" spans="1:10" ht="45">
      <c r="A3" s="70" t="s">
        <v>81</v>
      </c>
      <c r="B3" s="70"/>
      <c r="C3" s="18" t="s">
        <v>82</v>
      </c>
      <c r="D3" s="55" t="s">
        <v>83</v>
      </c>
      <c r="E3" s="122">
        <v>570</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34.5" customHeight="1">
      <c r="A5" s="52">
        <v>1</v>
      </c>
      <c r="B5" s="122" t="s">
        <v>84</v>
      </c>
      <c r="C5" s="122"/>
      <c r="D5" s="122"/>
      <c r="E5" s="123"/>
      <c r="F5" s="123" t="s">
        <v>63</v>
      </c>
      <c r="G5" s="123"/>
      <c r="H5" s="123">
        <v>10</v>
      </c>
      <c r="I5" s="124">
        <f>(H5*10)/SUM($H$5:$H$13)</f>
        <v>1.3513513513513513</v>
      </c>
      <c r="J5" s="125">
        <f>IF(F5="X",((H5*10)/SUM($H$5:$H$13)),0)</f>
        <v>1.3513513513513513</v>
      </c>
    </row>
    <row r="6" spans="1:10" ht="21" customHeight="1">
      <c r="A6" s="52">
        <v>2</v>
      </c>
      <c r="B6" s="122" t="s">
        <v>85</v>
      </c>
      <c r="C6" s="122"/>
      <c r="D6" s="122"/>
      <c r="E6" s="123"/>
      <c r="F6" s="123" t="s">
        <v>63</v>
      </c>
      <c r="G6" s="123"/>
      <c r="H6" s="123">
        <v>10</v>
      </c>
      <c r="I6" s="124">
        <f t="shared" ref="I6:I13" si="0">(H6*10)/SUM($H$5:$H$13)</f>
        <v>1.3513513513513513</v>
      </c>
      <c r="J6" s="125">
        <f t="shared" ref="J6:J13" si="1">IF(F6="X",((H6*10)/SUM($H$5:$H$13)),0)</f>
        <v>1.3513513513513513</v>
      </c>
    </row>
    <row r="7" spans="1:10" ht="33" customHeight="1">
      <c r="A7" s="52">
        <v>3</v>
      </c>
      <c r="B7" s="122" t="s">
        <v>86</v>
      </c>
      <c r="C7" s="122"/>
      <c r="D7" s="122"/>
      <c r="E7" s="123"/>
      <c r="F7" s="123" t="s">
        <v>63</v>
      </c>
      <c r="G7" s="123"/>
      <c r="H7" s="123">
        <v>6</v>
      </c>
      <c r="I7" s="124">
        <f t="shared" si="0"/>
        <v>0.81081081081081086</v>
      </c>
      <c r="J7" s="125">
        <f t="shared" si="1"/>
        <v>0.81081081081081086</v>
      </c>
    </row>
    <row r="8" spans="1:10" ht="60" customHeight="1">
      <c r="A8" s="52">
        <v>4</v>
      </c>
      <c r="B8" s="122" t="s">
        <v>87</v>
      </c>
      <c r="C8" s="122"/>
      <c r="D8" s="122"/>
      <c r="E8" s="123"/>
      <c r="F8" s="123" t="s">
        <v>63</v>
      </c>
      <c r="G8" s="123"/>
      <c r="H8" s="123">
        <v>10</v>
      </c>
      <c r="I8" s="124">
        <f t="shared" si="0"/>
        <v>1.3513513513513513</v>
      </c>
      <c r="J8" s="125">
        <f t="shared" si="1"/>
        <v>1.3513513513513513</v>
      </c>
    </row>
    <row r="9" spans="1:10" ht="33" customHeight="1">
      <c r="A9" s="52">
        <v>5</v>
      </c>
      <c r="B9" s="122" t="s">
        <v>88</v>
      </c>
      <c r="C9" s="122"/>
      <c r="D9" s="122"/>
      <c r="E9" s="123"/>
      <c r="F9" s="123" t="s">
        <v>63</v>
      </c>
      <c r="G9" s="123"/>
      <c r="H9" s="123">
        <v>6</v>
      </c>
      <c r="I9" s="124">
        <f t="shared" si="0"/>
        <v>0.81081081081081086</v>
      </c>
      <c r="J9" s="125">
        <f t="shared" si="1"/>
        <v>0.81081081081081086</v>
      </c>
    </row>
    <row r="10" spans="1:10" ht="34.5" customHeight="1">
      <c r="A10" s="52">
        <v>6</v>
      </c>
      <c r="B10" s="122" t="s">
        <v>89</v>
      </c>
      <c r="C10" s="122"/>
      <c r="D10" s="122"/>
      <c r="E10" s="123"/>
      <c r="F10" s="123" t="s">
        <v>63</v>
      </c>
      <c r="G10" s="123"/>
      <c r="H10" s="123">
        <v>6</v>
      </c>
      <c r="I10" s="124">
        <f t="shared" si="0"/>
        <v>0.81081081081081086</v>
      </c>
      <c r="J10" s="125">
        <f t="shared" si="1"/>
        <v>0.81081081081081086</v>
      </c>
    </row>
    <row r="11" spans="1:10" ht="74.25" customHeight="1">
      <c r="A11" s="52">
        <v>7</v>
      </c>
      <c r="B11" s="122" t="s">
        <v>90</v>
      </c>
      <c r="C11" s="122"/>
      <c r="D11" s="122"/>
      <c r="E11" s="123"/>
      <c r="F11" s="123" t="s">
        <v>63</v>
      </c>
      <c r="G11" s="123"/>
      <c r="H11" s="123">
        <v>10</v>
      </c>
      <c r="I11" s="124">
        <f t="shared" si="0"/>
        <v>1.3513513513513513</v>
      </c>
      <c r="J11" s="125">
        <f>IF(F11="X",((H11*10)/SUM($H$5:$H$13)),0)</f>
        <v>1.3513513513513513</v>
      </c>
    </row>
    <row r="12" spans="1:10" ht="32.25" customHeight="1">
      <c r="A12" s="52">
        <v>8</v>
      </c>
      <c r="B12" s="122" t="s">
        <v>91</v>
      </c>
      <c r="C12" s="122"/>
      <c r="D12" s="122"/>
      <c r="E12" s="123"/>
      <c r="F12" s="123" t="s">
        <v>63</v>
      </c>
      <c r="G12" s="123"/>
      <c r="H12" s="123">
        <v>10</v>
      </c>
      <c r="I12" s="124">
        <f t="shared" si="0"/>
        <v>1.3513513513513513</v>
      </c>
      <c r="J12" s="125">
        <f t="shared" si="1"/>
        <v>1.3513513513513513</v>
      </c>
    </row>
    <row r="13" spans="1:10" ht="51" customHeight="1">
      <c r="A13" s="52">
        <v>9</v>
      </c>
      <c r="B13" s="122" t="s">
        <v>92</v>
      </c>
      <c r="C13" s="122"/>
      <c r="D13" s="122"/>
      <c r="E13" s="123"/>
      <c r="F13" s="123" t="s">
        <v>63</v>
      </c>
      <c r="G13" s="123"/>
      <c r="H13" s="123">
        <v>6</v>
      </c>
      <c r="I13" s="124">
        <f t="shared" si="0"/>
        <v>0.81081081081081086</v>
      </c>
      <c r="J13" s="125">
        <f t="shared" si="1"/>
        <v>0.81081081081081086</v>
      </c>
    </row>
    <row r="14" spans="1:10" ht="15" customHeight="1">
      <c r="A14" s="71" t="s">
        <v>71</v>
      </c>
      <c r="B14" s="72"/>
      <c r="C14" s="72"/>
      <c r="D14" s="72"/>
      <c r="E14" s="72"/>
      <c r="F14" s="72"/>
      <c r="G14" s="72"/>
      <c r="H14" s="72"/>
      <c r="I14" s="29">
        <f>SUM(I5:I13)</f>
        <v>9.9999999999999982</v>
      </c>
      <c r="J14" s="19">
        <f>SUM(J5:J13)</f>
        <v>9.9999999999999982</v>
      </c>
    </row>
  </sheetData>
  <mergeCells count="17">
    <mergeCell ref="A14:H14"/>
    <mergeCell ref="A3:B3"/>
    <mergeCell ref="B4:D4"/>
    <mergeCell ref="B11:D11"/>
    <mergeCell ref="B12:D12"/>
    <mergeCell ref="E3:J3"/>
    <mergeCell ref="B13:D13"/>
    <mergeCell ref="B5:D5"/>
    <mergeCell ref="B6:D6"/>
    <mergeCell ref="B7:D7"/>
    <mergeCell ref="B8:D8"/>
    <mergeCell ref="B9:D9"/>
    <mergeCell ref="B10:D10"/>
    <mergeCell ref="A1:B1"/>
    <mergeCell ref="A2:B2"/>
    <mergeCell ref="C1:J1"/>
    <mergeCell ref="C2:J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5FF6C-8F66-4DB8-94C8-5C67E3CC27DC}">
  <sheetPr>
    <tabColor rgb="FFFFFF00"/>
  </sheetPr>
  <dimension ref="A1:J20"/>
  <sheetViews>
    <sheetView workbookViewId="0">
      <selection activeCell="E3" sqref="A1:J20"/>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38</v>
      </c>
      <c r="D2" s="74"/>
      <c r="E2" s="74"/>
      <c r="F2" s="74"/>
      <c r="G2" s="74"/>
      <c r="H2" s="74"/>
      <c r="I2" s="74"/>
      <c r="J2" s="75"/>
    </row>
    <row r="3" spans="1:10" ht="45">
      <c r="A3" s="70" t="s">
        <v>81</v>
      </c>
      <c r="B3" s="70"/>
      <c r="C3" s="18" t="s">
        <v>93</v>
      </c>
      <c r="D3" s="55" t="s">
        <v>239</v>
      </c>
      <c r="E3" s="122" t="s">
        <v>240</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32.25" customHeight="1">
      <c r="A5" s="52">
        <v>1</v>
      </c>
      <c r="B5" s="122" t="s">
        <v>241</v>
      </c>
      <c r="C5" s="122"/>
      <c r="D5" s="122"/>
      <c r="E5" s="123"/>
      <c r="F5" s="123" t="s">
        <v>63</v>
      </c>
      <c r="G5" s="123"/>
      <c r="H5" s="123">
        <v>10</v>
      </c>
      <c r="I5" s="124">
        <f>(H5*10)/SUM($H$5:$H$19)</f>
        <v>0.94339622641509435</v>
      </c>
      <c r="J5" s="125">
        <f>IF(F5="X",((H5*10)/SUM($H$5:$H$19)),0)</f>
        <v>0.94339622641509435</v>
      </c>
    </row>
    <row r="6" spans="1:10" ht="35.25" customHeight="1">
      <c r="A6" s="52">
        <v>2</v>
      </c>
      <c r="B6" s="122" t="s">
        <v>242</v>
      </c>
      <c r="C6" s="122"/>
      <c r="D6" s="122"/>
      <c r="E6" s="123"/>
      <c r="F6" s="123" t="s">
        <v>63</v>
      </c>
      <c r="G6" s="123"/>
      <c r="H6" s="123">
        <v>6</v>
      </c>
      <c r="I6" s="124">
        <f t="shared" ref="I6:I19" si="0">(H6*10)/SUM($H$5:$H$19)</f>
        <v>0.56603773584905659</v>
      </c>
      <c r="J6" s="125">
        <f t="shared" ref="J6:J19" si="1">IF(F6="X",((H6*10)/SUM($H$5:$H$19)),0)</f>
        <v>0.56603773584905659</v>
      </c>
    </row>
    <row r="7" spans="1:10" ht="30.75" customHeight="1">
      <c r="A7" s="52">
        <v>3</v>
      </c>
      <c r="B7" s="122" t="s">
        <v>243</v>
      </c>
      <c r="C7" s="122"/>
      <c r="D7" s="122"/>
      <c r="E7" s="123"/>
      <c r="F7" s="123" t="s">
        <v>63</v>
      </c>
      <c r="G7" s="123"/>
      <c r="H7" s="123">
        <v>2</v>
      </c>
      <c r="I7" s="124">
        <f t="shared" si="0"/>
        <v>0.18867924528301888</v>
      </c>
      <c r="J7" s="125">
        <f t="shared" si="1"/>
        <v>0.18867924528301888</v>
      </c>
    </row>
    <row r="8" spans="1:10" ht="31.5" customHeight="1">
      <c r="A8" s="52">
        <v>4</v>
      </c>
      <c r="B8" s="122" t="s">
        <v>244</v>
      </c>
      <c r="C8" s="122"/>
      <c r="D8" s="122"/>
      <c r="E8" s="123"/>
      <c r="F8" s="123" t="s">
        <v>63</v>
      </c>
      <c r="G8" s="123"/>
      <c r="H8" s="123">
        <v>6</v>
      </c>
      <c r="I8" s="124">
        <f t="shared" si="0"/>
        <v>0.56603773584905659</v>
      </c>
      <c r="J8" s="125">
        <f t="shared" si="1"/>
        <v>0.56603773584905659</v>
      </c>
    </row>
    <row r="9" spans="1:10" ht="47.25" customHeight="1">
      <c r="A9" s="52">
        <v>5</v>
      </c>
      <c r="B9" s="122" t="s">
        <v>245</v>
      </c>
      <c r="C9" s="122"/>
      <c r="D9" s="122"/>
      <c r="E9" s="123"/>
      <c r="F9" s="123" t="s">
        <v>63</v>
      </c>
      <c r="G9" s="123"/>
      <c r="H9" s="123">
        <v>10</v>
      </c>
      <c r="I9" s="124">
        <f t="shared" si="0"/>
        <v>0.94339622641509435</v>
      </c>
      <c r="J9" s="125">
        <f t="shared" si="1"/>
        <v>0.94339622641509435</v>
      </c>
    </row>
    <row r="10" spans="1:10" ht="58.5" customHeight="1">
      <c r="A10" s="52">
        <v>6</v>
      </c>
      <c r="B10" s="122" t="s">
        <v>246</v>
      </c>
      <c r="C10" s="122"/>
      <c r="D10" s="122"/>
      <c r="E10" s="123"/>
      <c r="F10" s="123"/>
      <c r="G10" s="123" t="s">
        <v>63</v>
      </c>
      <c r="H10" s="123">
        <v>10</v>
      </c>
      <c r="I10" s="124">
        <f t="shared" si="0"/>
        <v>0.94339622641509435</v>
      </c>
      <c r="J10" s="125">
        <f t="shared" si="1"/>
        <v>0</v>
      </c>
    </row>
    <row r="11" spans="1:10" ht="31.5" customHeight="1">
      <c r="A11" s="52">
        <v>7</v>
      </c>
      <c r="B11" s="122" t="s">
        <v>247</v>
      </c>
      <c r="C11" s="122"/>
      <c r="D11" s="122"/>
      <c r="E11" s="123" t="s">
        <v>63</v>
      </c>
      <c r="F11" s="123"/>
      <c r="G11" s="123"/>
      <c r="H11" s="123">
        <v>10</v>
      </c>
      <c r="I11" s="124">
        <f t="shared" si="0"/>
        <v>0.94339622641509435</v>
      </c>
      <c r="J11" s="125">
        <f t="shared" si="1"/>
        <v>0</v>
      </c>
    </row>
    <row r="12" spans="1:10" ht="31.5" customHeight="1">
      <c r="A12" s="52">
        <v>8</v>
      </c>
      <c r="B12" s="122" t="s">
        <v>248</v>
      </c>
      <c r="C12" s="122"/>
      <c r="D12" s="122"/>
      <c r="E12" s="123"/>
      <c r="F12" s="123" t="s">
        <v>63</v>
      </c>
      <c r="G12" s="123"/>
      <c r="H12" s="123">
        <v>10</v>
      </c>
      <c r="I12" s="124">
        <f t="shared" si="0"/>
        <v>0.94339622641509435</v>
      </c>
      <c r="J12" s="125">
        <f t="shared" si="1"/>
        <v>0.94339622641509435</v>
      </c>
    </row>
    <row r="13" spans="1:10" ht="50.25" customHeight="1">
      <c r="A13" s="52">
        <v>9</v>
      </c>
      <c r="B13" s="122" t="s">
        <v>249</v>
      </c>
      <c r="C13" s="122"/>
      <c r="D13" s="122"/>
      <c r="E13" s="123"/>
      <c r="F13" s="123" t="s">
        <v>63</v>
      </c>
      <c r="G13" s="123"/>
      <c r="H13" s="123">
        <v>6</v>
      </c>
      <c r="I13" s="124">
        <f t="shared" si="0"/>
        <v>0.56603773584905659</v>
      </c>
      <c r="J13" s="125">
        <f t="shared" si="1"/>
        <v>0.56603773584905659</v>
      </c>
    </row>
    <row r="14" spans="1:10" ht="48" customHeight="1">
      <c r="A14" s="52">
        <v>10</v>
      </c>
      <c r="B14" s="122" t="s">
        <v>250</v>
      </c>
      <c r="C14" s="122"/>
      <c r="D14" s="122"/>
      <c r="E14" s="123"/>
      <c r="F14" s="123" t="s">
        <v>63</v>
      </c>
      <c r="G14" s="123"/>
      <c r="H14" s="123">
        <v>10</v>
      </c>
      <c r="I14" s="124">
        <f t="shared" si="0"/>
        <v>0.94339622641509435</v>
      </c>
      <c r="J14" s="125">
        <f t="shared" si="1"/>
        <v>0.94339622641509435</v>
      </c>
    </row>
    <row r="15" spans="1:10" ht="62.25" customHeight="1">
      <c r="A15" s="52">
        <v>11</v>
      </c>
      <c r="B15" s="122" t="s">
        <v>251</v>
      </c>
      <c r="C15" s="122"/>
      <c r="D15" s="122"/>
      <c r="E15" s="123"/>
      <c r="F15" s="123" t="s">
        <v>63</v>
      </c>
      <c r="G15" s="123"/>
      <c r="H15" s="123">
        <v>6</v>
      </c>
      <c r="I15" s="124">
        <f t="shared" si="0"/>
        <v>0.56603773584905659</v>
      </c>
      <c r="J15" s="125">
        <f t="shared" si="1"/>
        <v>0.56603773584905659</v>
      </c>
    </row>
    <row r="16" spans="1:10" ht="59.25" customHeight="1">
      <c r="A16" s="52">
        <v>12</v>
      </c>
      <c r="B16" s="122" t="s">
        <v>252</v>
      </c>
      <c r="C16" s="122"/>
      <c r="D16" s="122"/>
      <c r="E16" s="123"/>
      <c r="F16" s="123" t="s">
        <v>63</v>
      </c>
      <c r="G16" s="123"/>
      <c r="H16" s="123">
        <v>6</v>
      </c>
      <c r="I16" s="124">
        <f t="shared" si="0"/>
        <v>0.56603773584905659</v>
      </c>
      <c r="J16" s="125">
        <f t="shared" si="1"/>
        <v>0.56603773584905659</v>
      </c>
    </row>
    <row r="17" spans="1:10" ht="58.5" customHeight="1">
      <c r="A17" s="52">
        <v>13</v>
      </c>
      <c r="B17" s="122" t="s">
        <v>253</v>
      </c>
      <c r="C17" s="122"/>
      <c r="D17" s="122"/>
      <c r="E17" s="123"/>
      <c r="F17" s="123" t="s">
        <v>63</v>
      </c>
      <c r="G17" s="123"/>
      <c r="H17" s="123">
        <v>6</v>
      </c>
      <c r="I17" s="124">
        <f t="shared" si="0"/>
        <v>0.56603773584905659</v>
      </c>
      <c r="J17" s="125">
        <f t="shared" si="1"/>
        <v>0.56603773584905659</v>
      </c>
    </row>
    <row r="18" spans="1:10" ht="73.5" customHeight="1">
      <c r="A18" s="52">
        <v>14</v>
      </c>
      <c r="B18" s="122" t="s">
        <v>254</v>
      </c>
      <c r="C18" s="122"/>
      <c r="D18" s="122"/>
      <c r="E18" s="123"/>
      <c r="F18" s="123"/>
      <c r="G18" s="123" t="s">
        <v>63</v>
      </c>
      <c r="H18" s="123">
        <v>2</v>
      </c>
      <c r="I18" s="124">
        <f t="shared" si="0"/>
        <v>0.18867924528301888</v>
      </c>
      <c r="J18" s="125">
        <f t="shared" si="1"/>
        <v>0</v>
      </c>
    </row>
    <row r="19" spans="1:10" ht="47.25" customHeight="1">
      <c r="A19" s="52">
        <v>15</v>
      </c>
      <c r="B19" s="122" t="s">
        <v>255</v>
      </c>
      <c r="C19" s="122"/>
      <c r="D19" s="122"/>
      <c r="E19" s="123" t="s">
        <v>63</v>
      </c>
      <c r="F19" s="123"/>
      <c r="G19" s="123"/>
      <c r="H19" s="123">
        <v>6</v>
      </c>
      <c r="I19" s="124">
        <f t="shared" si="0"/>
        <v>0.56603773584905659</v>
      </c>
      <c r="J19" s="125">
        <f t="shared" si="1"/>
        <v>0</v>
      </c>
    </row>
    <row r="20" spans="1:10" ht="15" customHeight="1">
      <c r="A20" s="83" t="s">
        <v>71</v>
      </c>
      <c r="B20" s="83"/>
      <c r="C20" s="83"/>
      <c r="D20" s="83"/>
      <c r="E20" s="83"/>
      <c r="F20" s="83"/>
      <c r="G20" s="83"/>
      <c r="H20" s="83"/>
      <c r="I20" s="28">
        <f>SUM(I5:I19)</f>
        <v>10</v>
      </c>
      <c r="J20" s="19">
        <f>SUM(J5:J19)</f>
        <v>7.3584905660377373</v>
      </c>
    </row>
  </sheetData>
  <mergeCells count="23">
    <mergeCell ref="A20:H20"/>
    <mergeCell ref="B10:D10"/>
    <mergeCell ref="B19:D19"/>
    <mergeCell ref="B8:D8"/>
    <mergeCell ref="B9:D9"/>
    <mergeCell ref="B17:D17"/>
    <mergeCell ref="B18:D18"/>
    <mergeCell ref="B15:D15"/>
    <mergeCell ref="B16:D16"/>
    <mergeCell ref="B4:D4"/>
    <mergeCell ref="B5:D5"/>
    <mergeCell ref="B6:D6"/>
    <mergeCell ref="B7:D7"/>
    <mergeCell ref="B14:D14"/>
    <mergeCell ref="B11:D11"/>
    <mergeCell ref="B12:D12"/>
    <mergeCell ref="B13:D13"/>
    <mergeCell ref="A1:B1"/>
    <mergeCell ref="A2:B2"/>
    <mergeCell ref="C1:J1"/>
    <mergeCell ref="C2:J2"/>
    <mergeCell ref="E3:J3"/>
    <mergeCell ref="A3:B3"/>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5218A-FCD3-4B45-BEB6-91961C9410F1}">
  <sheetPr>
    <tabColor rgb="FFFFFF00"/>
  </sheetPr>
  <dimension ref="A1:J15"/>
  <sheetViews>
    <sheetView workbookViewId="0">
      <selection activeCell="E3" sqref="A1:J15"/>
    </sheetView>
  </sheetViews>
  <sheetFormatPr defaultColWidth="11.42578125" defaultRowHeight="14.25"/>
  <cols>
    <col min="1" max="1" width="4.7109375" style="23"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38</v>
      </c>
      <c r="D2" s="74"/>
      <c r="E2" s="74"/>
      <c r="F2" s="74"/>
      <c r="G2" s="74"/>
      <c r="H2" s="74"/>
      <c r="I2" s="74"/>
      <c r="J2" s="75"/>
    </row>
    <row r="3" spans="1:10" ht="45">
      <c r="A3" s="70" t="s">
        <v>81</v>
      </c>
      <c r="B3" s="70"/>
      <c r="C3" s="18" t="s">
        <v>93</v>
      </c>
      <c r="D3" s="55" t="s">
        <v>94</v>
      </c>
      <c r="E3" s="85" t="s">
        <v>95</v>
      </c>
      <c r="F3" s="85"/>
      <c r="G3" s="85"/>
      <c r="H3" s="85"/>
      <c r="I3" s="85"/>
      <c r="J3" s="85"/>
    </row>
    <row r="4" spans="1:10" ht="60">
      <c r="A4" s="52" t="s">
        <v>55</v>
      </c>
      <c r="B4" s="70" t="s">
        <v>56</v>
      </c>
      <c r="C4" s="70"/>
      <c r="D4" s="70"/>
      <c r="E4" s="52" t="s">
        <v>24</v>
      </c>
      <c r="F4" s="52" t="s">
        <v>57</v>
      </c>
      <c r="G4" s="52" t="s">
        <v>58</v>
      </c>
      <c r="H4" s="52" t="s">
        <v>59</v>
      </c>
      <c r="I4" s="52" t="s">
        <v>60</v>
      </c>
      <c r="J4" s="52" t="s">
        <v>61</v>
      </c>
    </row>
    <row r="5" spans="1:10" ht="33.75" customHeight="1">
      <c r="A5" s="52">
        <v>1</v>
      </c>
      <c r="B5" s="122" t="s">
        <v>97</v>
      </c>
      <c r="C5" s="122"/>
      <c r="D5" s="122"/>
      <c r="E5" s="123"/>
      <c r="F5" s="123" t="s">
        <v>63</v>
      </c>
      <c r="G5" s="123"/>
      <c r="H5" s="123">
        <v>10</v>
      </c>
      <c r="I5" s="124">
        <f>(H5*10)/SUM($H$5:$H$14)</f>
        <v>1.9230769230769231</v>
      </c>
      <c r="J5" s="125">
        <f>IF(F5="X",((H5*10)/SUM($H$5:$H$14)),0)</f>
        <v>1.9230769230769231</v>
      </c>
    </row>
    <row r="6" spans="1:10" ht="47.25" customHeight="1">
      <c r="A6" s="52">
        <v>2</v>
      </c>
      <c r="B6" s="122" t="s">
        <v>98</v>
      </c>
      <c r="C6" s="122"/>
      <c r="D6" s="122"/>
      <c r="E6" s="123"/>
      <c r="F6" s="123" t="s">
        <v>63</v>
      </c>
      <c r="G6" s="123"/>
      <c r="H6" s="123">
        <v>2</v>
      </c>
      <c r="I6" s="124">
        <f t="shared" ref="I6:I14" si="0">(H6*10)/SUM($H$5:$H$14)</f>
        <v>0.38461538461538464</v>
      </c>
      <c r="J6" s="125">
        <f t="shared" ref="J6:J14" si="1">IF(F6="X",((H6*10)/SUM($H$5:$H$14)),0)</f>
        <v>0.38461538461538464</v>
      </c>
    </row>
    <row r="7" spans="1:10" ht="33" customHeight="1">
      <c r="A7" s="52">
        <v>3</v>
      </c>
      <c r="B7" s="122" t="s">
        <v>99</v>
      </c>
      <c r="C7" s="122"/>
      <c r="D7" s="122"/>
      <c r="E7" s="123"/>
      <c r="F7" s="123" t="s">
        <v>63</v>
      </c>
      <c r="G7" s="123"/>
      <c r="H7" s="123">
        <v>6</v>
      </c>
      <c r="I7" s="124">
        <f t="shared" si="0"/>
        <v>1.1538461538461537</v>
      </c>
      <c r="J7" s="125">
        <f t="shared" si="1"/>
        <v>1.1538461538461537</v>
      </c>
    </row>
    <row r="8" spans="1:10" ht="18" customHeight="1">
      <c r="A8" s="52">
        <v>4</v>
      </c>
      <c r="B8" s="122" t="s">
        <v>100</v>
      </c>
      <c r="C8" s="122"/>
      <c r="D8" s="122"/>
      <c r="E8" s="123"/>
      <c r="F8" s="123" t="s">
        <v>63</v>
      </c>
      <c r="G8" s="123"/>
      <c r="H8" s="123">
        <v>6</v>
      </c>
      <c r="I8" s="124">
        <f t="shared" si="0"/>
        <v>1.1538461538461537</v>
      </c>
      <c r="J8" s="125">
        <f t="shared" si="1"/>
        <v>1.1538461538461537</v>
      </c>
    </row>
    <row r="9" spans="1:10" ht="30" customHeight="1">
      <c r="A9" s="52">
        <v>5</v>
      </c>
      <c r="B9" s="122" t="s">
        <v>101</v>
      </c>
      <c r="C9" s="122"/>
      <c r="D9" s="122"/>
      <c r="E9" s="123"/>
      <c r="F9" s="123" t="s">
        <v>63</v>
      </c>
      <c r="G9" s="123"/>
      <c r="H9" s="123">
        <v>10</v>
      </c>
      <c r="I9" s="124">
        <f t="shared" si="0"/>
        <v>1.9230769230769231</v>
      </c>
      <c r="J9" s="125">
        <f t="shared" si="1"/>
        <v>1.9230769230769231</v>
      </c>
    </row>
    <row r="10" spans="1:10" ht="47.25" customHeight="1">
      <c r="A10" s="52">
        <v>6</v>
      </c>
      <c r="B10" s="122" t="s">
        <v>102</v>
      </c>
      <c r="C10" s="122"/>
      <c r="D10" s="122"/>
      <c r="E10" s="123"/>
      <c r="F10" s="123" t="s">
        <v>63</v>
      </c>
      <c r="G10" s="123"/>
      <c r="H10" s="123">
        <v>6</v>
      </c>
      <c r="I10" s="124">
        <f t="shared" si="0"/>
        <v>1.1538461538461537</v>
      </c>
      <c r="J10" s="125">
        <f t="shared" si="1"/>
        <v>1.1538461538461537</v>
      </c>
    </row>
    <row r="11" spans="1:10" ht="47.25" customHeight="1">
      <c r="A11" s="52">
        <v>7</v>
      </c>
      <c r="B11" s="122" t="s">
        <v>103</v>
      </c>
      <c r="C11" s="122"/>
      <c r="D11" s="122"/>
      <c r="E11" s="123"/>
      <c r="F11" s="123" t="s">
        <v>63</v>
      </c>
      <c r="G11" s="123"/>
      <c r="H11" s="123">
        <v>2</v>
      </c>
      <c r="I11" s="124">
        <f t="shared" si="0"/>
        <v>0.38461538461538464</v>
      </c>
      <c r="J11" s="125">
        <f t="shared" si="1"/>
        <v>0.38461538461538464</v>
      </c>
    </row>
    <row r="12" spans="1:10" ht="47.25" customHeight="1">
      <c r="A12" s="52">
        <v>8</v>
      </c>
      <c r="B12" s="122" t="s">
        <v>104</v>
      </c>
      <c r="C12" s="122"/>
      <c r="D12" s="122"/>
      <c r="E12" s="123" t="s">
        <v>63</v>
      </c>
      <c r="F12" s="123"/>
      <c r="G12" s="123"/>
      <c r="H12" s="123">
        <v>6</v>
      </c>
      <c r="I12" s="124">
        <f t="shared" si="0"/>
        <v>1.1538461538461537</v>
      </c>
      <c r="J12" s="125">
        <f t="shared" si="1"/>
        <v>0</v>
      </c>
    </row>
    <row r="13" spans="1:10" ht="35.25" customHeight="1">
      <c r="A13" s="52">
        <v>9</v>
      </c>
      <c r="B13" s="122" t="s">
        <v>105</v>
      </c>
      <c r="C13" s="122"/>
      <c r="D13" s="122"/>
      <c r="E13" s="123"/>
      <c r="F13" s="123" t="s">
        <v>63</v>
      </c>
      <c r="G13" s="123"/>
      <c r="H13" s="123">
        <v>2</v>
      </c>
      <c r="I13" s="124">
        <f t="shared" si="0"/>
        <v>0.38461538461538464</v>
      </c>
      <c r="J13" s="125">
        <f t="shared" si="1"/>
        <v>0.38461538461538464</v>
      </c>
    </row>
    <row r="14" spans="1:10" ht="33.75" customHeight="1">
      <c r="A14" s="52">
        <v>10</v>
      </c>
      <c r="B14" s="122" t="s">
        <v>106</v>
      </c>
      <c r="C14" s="122"/>
      <c r="D14" s="122"/>
      <c r="E14" s="123"/>
      <c r="F14" s="123" t="s">
        <v>63</v>
      </c>
      <c r="G14" s="123"/>
      <c r="H14" s="123">
        <v>2</v>
      </c>
      <c r="I14" s="126">
        <f t="shared" si="0"/>
        <v>0.38461538461538464</v>
      </c>
      <c r="J14" s="125">
        <f t="shared" si="1"/>
        <v>0.38461538461538464</v>
      </c>
    </row>
    <row r="15" spans="1:10" ht="15" customHeight="1">
      <c r="A15" s="71" t="s">
        <v>71</v>
      </c>
      <c r="B15" s="72"/>
      <c r="C15" s="72"/>
      <c r="D15" s="72"/>
      <c r="E15" s="72"/>
      <c r="F15" s="72"/>
      <c r="G15" s="72"/>
      <c r="H15" s="82"/>
      <c r="I15" s="28">
        <f>SUM(I5:I14)</f>
        <v>10</v>
      </c>
      <c r="J15" s="30">
        <f>SUM(J5:J14)</f>
        <v>8.8461538461538467</v>
      </c>
    </row>
  </sheetData>
  <mergeCells count="18">
    <mergeCell ref="B11:D11"/>
    <mergeCell ref="B12:D12"/>
    <mergeCell ref="B13:D13"/>
    <mergeCell ref="B14:D14"/>
    <mergeCell ref="A15:H15"/>
    <mergeCell ref="B10:D10"/>
    <mergeCell ref="A3:B3"/>
    <mergeCell ref="B4:D4"/>
    <mergeCell ref="B5:D5"/>
    <mergeCell ref="B6:D6"/>
    <mergeCell ref="B7:D7"/>
    <mergeCell ref="B8:D8"/>
    <mergeCell ref="B9:D9"/>
    <mergeCell ref="A1:B1"/>
    <mergeCell ref="A2:B2"/>
    <mergeCell ref="C1:J1"/>
    <mergeCell ref="C2:J2"/>
    <mergeCell ref="E3:J3"/>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0169D-43FA-4A6C-95BB-D7F2C238AF6A}">
  <sheetPr>
    <tabColor rgb="FFFFFF00"/>
  </sheetPr>
  <dimension ref="A1:J17"/>
  <sheetViews>
    <sheetView workbookViewId="0">
      <selection activeCell="B4" sqref="A1:J17"/>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ustomHeight="1">
      <c r="A2" s="70" t="s">
        <v>0</v>
      </c>
      <c r="B2" s="70"/>
      <c r="C2" s="86" t="s">
        <v>38</v>
      </c>
      <c r="D2" s="87"/>
      <c r="E2" s="87"/>
      <c r="F2" s="87"/>
      <c r="G2" s="87"/>
      <c r="H2" s="87"/>
      <c r="I2" s="87"/>
      <c r="J2" s="88"/>
    </row>
    <row r="3" spans="1:10" ht="45">
      <c r="A3" s="70" t="s">
        <v>81</v>
      </c>
      <c r="B3" s="70"/>
      <c r="C3" s="18" t="s">
        <v>93</v>
      </c>
      <c r="D3" s="55" t="s">
        <v>256</v>
      </c>
      <c r="E3" s="122" t="s">
        <v>257</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31.5" customHeight="1">
      <c r="A5" s="52">
        <v>1</v>
      </c>
      <c r="B5" s="122" t="s">
        <v>258</v>
      </c>
      <c r="C5" s="122"/>
      <c r="D5" s="122"/>
      <c r="E5" s="123"/>
      <c r="F5" s="123" t="s">
        <v>63</v>
      </c>
      <c r="G5" s="123"/>
      <c r="H5" s="123">
        <v>10</v>
      </c>
      <c r="I5" s="124">
        <f>(H5*10)/SUM($H$5:$H$16)</f>
        <v>1.0416666666666667</v>
      </c>
      <c r="J5" s="125">
        <f>IF(F5="X",((H5*10)/SUM($H$5:$H$16)),0)</f>
        <v>1.0416666666666667</v>
      </c>
    </row>
    <row r="6" spans="1:10" ht="32.25" customHeight="1">
      <c r="A6" s="52">
        <v>2</v>
      </c>
      <c r="B6" s="122" t="s">
        <v>259</v>
      </c>
      <c r="C6" s="122"/>
      <c r="D6" s="122"/>
      <c r="E6" s="123"/>
      <c r="F6" s="123" t="s">
        <v>63</v>
      </c>
      <c r="G6" s="123"/>
      <c r="H6" s="123">
        <v>6</v>
      </c>
      <c r="I6" s="124">
        <f t="shared" ref="I6:I16" si="0">(H6*10)/SUM($H$5:$H$16)</f>
        <v>0.625</v>
      </c>
      <c r="J6" s="125">
        <f t="shared" ref="J6:J16" si="1">IF(F6="X",((H6*10)/SUM($H$5:$H$16)),0)</f>
        <v>0.625</v>
      </c>
    </row>
    <row r="7" spans="1:10" ht="45" customHeight="1">
      <c r="A7" s="52">
        <v>3</v>
      </c>
      <c r="B7" s="122" t="s">
        <v>260</v>
      </c>
      <c r="C7" s="122"/>
      <c r="D7" s="122"/>
      <c r="E7" s="123"/>
      <c r="F7" s="123" t="s">
        <v>63</v>
      </c>
      <c r="G7" s="123"/>
      <c r="H7" s="123">
        <v>10</v>
      </c>
      <c r="I7" s="124">
        <f t="shared" si="0"/>
        <v>1.0416666666666667</v>
      </c>
      <c r="J7" s="125">
        <f t="shared" si="1"/>
        <v>1.0416666666666667</v>
      </c>
    </row>
    <row r="8" spans="1:10" ht="47.25" customHeight="1">
      <c r="A8" s="52">
        <v>4</v>
      </c>
      <c r="B8" s="122" t="s">
        <v>261</v>
      </c>
      <c r="C8" s="122"/>
      <c r="D8" s="122"/>
      <c r="E8" s="123"/>
      <c r="F8" s="123" t="s">
        <v>63</v>
      </c>
      <c r="G8" s="123"/>
      <c r="H8" s="123">
        <v>10</v>
      </c>
      <c r="I8" s="124">
        <f t="shared" si="0"/>
        <v>1.0416666666666667</v>
      </c>
      <c r="J8" s="125">
        <f t="shared" si="1"/>
        <v>1.0416666666666667</v>
      </c>
    </row>
    <row r="9" spans="1:10" ht="32.25" customHeight="1">
      <c r="A9" s="52">
        <v>5</v>
      </c>
      <c r="B9" s="122" t="s">
        <v>262</v>
      </c>
      <c r="C9" s="122"/>
      <c r="D9" s="122"/>
      <c r="E9" s="123"/>
      <c r="F9" s="123" t="s">
        <v>63</v>
      </c>
      <c r="G9" s="123"/>
      <c r="H9" s="123">
        <v>10</v>
      </c>
      <c r="I9" s="124">
        <f t="shared" si="0"/>
        <v>1.0416666666666667</v>
      </c>
      <c r="J9" s="125">
        <f t="shared" si="1"/>
        <v>1.0416666666666667</v>
      </c>
    </row>
    <row r="10" spans="1:10" ht="57" customHeight="1">
      <c r="A10" s="52">
        <v>6</v>
      </c>
      <c r="B10" s="122" t="s">
        <v>263</v>
      </c>
      <c r="C10" s="122"/>
      <c r="D10" s="122"/>
      <c r="E10" s="123"/>
      <c r="F10" s="123" t="s">
        <v>63</v>
      </c>
      <c r="G10" s="123"/>
      <c r="H10" s="123">
        <v>6</v>
      </c>
      <c r="I10" s="124">
        <f t="shared" si="0"/>
        <v>0.625</v>
      </c>
      <c r="J10" s="125">
        <f t="shared" si="1"/>
        <v>0.625</v>
      </c>
    </row>
    <row r="11" spans="1:10" ht="31.5" customHeight="1">
      <c r="A11" s="52">
        <v>7</v>
      </c>
      <c r="B11" s="122" t="s">
        <v>264</v>
      </c>
      <c r="C11" s="122"/>
      <c r="D11" s="122"/>
      <c r="E11" s="123"/>
      <c r="F11" s="123" t="s">
        <v>63</v>
      </c>
      <c r="G11" s="123"/>
      <c r="H11" s="123">
        <v>6</v>
      </c>
      <c r="I11" s="124">
        <f t="shared" si="0"/>
        <v>0.625</v>
      </c>
      <c r="J11" s="125">
        <f t="shared" si="1"/>
        <v>0.625</v>
      </c>
    </row>
    <row r="12" spans="1:10" ht="57.75" customHeight="1">
      <c r="A12" s="52">
        <v>8</v>
      </c>
      <c r="B12" s="122" t="s">
        <v>265</v>
      </c>
      <c r="C12" s="122"/>
      <c r="D12" s="122"/>
      <c r="E12" s="123" t="s">
        <v>63</v>
      </c>
      <c r="F12" s="123"/>
      <c r="G12" s="123"/>
      <c r="H12" s="123">
        <v>10</v>
      </c>
      <c r="I12" s="124">
        <f t="shared" si="0"/>
        <v>1.0416666666666667</v>
      </c>
      <c r="J12" s="125">
        <f t="shared" si="1"/>
        <v>0</v>
      </c>
    </row>
    <row r="13" spans="1:10" ht="33" customHeight="1">
      <c r="A13" s="52">
        <v>9</v>
      </c>
      <c r="B13" s="122" t="s">
        <v>266</v>
      </c>
      <c r="C13" s="122"/>
      <c r="D13" s="122"/>
      <c r="E13" s="123"/>
      <c r="F13" s="123" t="s">
        <v>63</v>
      </c>
      <c r="G13" s="123"/>
      <c r="H13" s="123">
        <v>6</v>
      </c>
      <c r="I13" s="124">
        <f t="shared" si="0"/>
        <v>0.625</v>
      </c>
      <c r="J13" s="125">
        <f t="shared" si="1"/>
        <v>0.625</v>
      </c>
    </row>
    <row r="14" spans="1:10" ht="46.5" customHeight="1">
      <c r="A14" s="52">
        <v>10</v>
      </c>
      <c r="B14" s="122" t="s">
        <v>267</v>
      </c>
      <c r="C14" s="122"/>
      <c r="D14" s="122"/>
      <c r="E14" s="123" t="s">
        <v>63</v>
      </c>
      <c r="F14" s="123"/>
      <c r="G14" s="123"/>
      <c r="H14" s="123">
        <v>6</v>
      </c>
      <c r="I14" s="124">
        <f t="shared" si="0"/>
        <v>0.625</v>
      </c>
      <c r="J14" s="125">
        <f t="shared" si="1"/>
        <v>0</v>
      </c>
    </row>
    <row r="15" spans="1:10" ht="33.75" customHeight="1">
      <c r="A15" s="52">
        <v>11</v>
      </c>
      <c r="B15" s="122" t="s">
        <v>268</v>
      </c>
      <c r="C15" s="122"/>
      <c r="D15" s="122"/>
      <c r="E15" s="123"/>
      <c r="F15" s="123"/>
      <c r="G15" s="123" t="s">
        <v>63</v>
      </c>
      <c r="H15" s="123">
        <v>10</v>
      </c>
      <c r="I15" s="124">
        <f t="shared" si="0"/>
        <v>1.0416666666666667</v>
      </c>
      <c r="J15" s="125">
        <f t="shared" si="1"/>
        <v>0</v>
      </c>
    </row>
    <row r="16" spans="1:10" ht="74.25" customHeight="1">
      <c r="A16" s="52">
        <v>12</v>
      </c>
      <c r="B16" s="122" t="s">
        <v>269</v>
      </c>
      <c r="C16" s="122"/>
      <c r="D16" s="122"/>
      <c r="E16" s="123"/>
      <c r="F16" s="123" t="s">
        <v>63</v>
      </c>
      <c r="G16" s="123"/>
      <c r="H16" s="123">
        <v>6</v>
      </c>
      <c r="I16" s="124">
        <f t="shared" si="0"/>
        <v>0.625</v>
      </c>
      <c r="J16" s="125">
        <f t="shared" si="1"/>
        <v>0.625</v>
      </c>
    </row>
    <row r="17" spans="1:10" ht="15" customHeight="1">
      <c r="A17" s="83" t="s">
        <v>71</v>
      </c>
      <c r="B17" s="83"/>
      <c r="C17" s="83"/>
      <c r="D17" s="83"/>
      <c r="E17" s="83"/>
      <c r="F17" s="83"/>
      <c r="G17" s="83"/>
      <c r="H17" s="83"/>
      <c r="I17" s="28">
        <f>SUM(I5:I16)</f>
        <v>10</v>
      </c>
      <c r="J17" s="19">
        <f>SUM(J5:J16)</f>
        <v>7.291666666666667</v>
      </c>
    </row>
  </sheetData>
  <mergeCells count="20">
    <mergeCell ref="A17:H17"/>
    <mergeCell ref="B10:D10"/>
    <mergeCell ref="A3:B3"/>
    <mergeCell ref="B4:D4"/>
    <mergeCell ref="B5:D5"/>
    <mergeCell ref="B6:D6"/>
    <mergeCell ref="B7:D7"/>
    <mergeCell ref="B8:D8"/>
    <mergeCell ref="B9:D9"/>
    <mergeCell ref="E3:J3"/>
    <mergeCell ref="B11:D11"/>
    <mergeCell ref="B12:D12"/>
    <mergeCell ref="B13:D13"/>
    <mergeCell ref="B14:D14"/>
    <mergeCell ref="B15:D15"/>
    <mergeCell ref="A1:B1"/>
    <mergeCell ref="A2:B2"/>
    <mergeCell ref="C1:J1"/>
    <mergeCell ref="C2:J2"/>
    <mergeCell ref="B16:D16"/>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BE364-12F2-4494-9633-4C30CC2D4355}">
  <sheetPr>
    <tabColor rgb="FFFFFF00"/>
  </sheetPr>
  <dimension ref="A1:J17"/>
  <sheetViews>
    <sheetView workbookViewId="0">
      <selection activeCell="E3" sqref="A1:J17"/>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38</v>
      </c>
      <c r="D2" s="74"/>
      <c r="E2" s="74"/>
      <c r="F2" s="74"/>
      <c r="G2" s="74"/>
      <c r="H2" s="74"/>
      <c r="I2" s="74"/>
      <c r="J2" s="75"/>
    </row>
    <row r="3" spans="1:10" ht="45">
      <c r="A3" s="70" t="s">
        <v>81</v>
      </c>
      <c r="B3" s="70"/>
      <c r="C3" s="18" t="s">
        <v>93</v>
      </c>
      <c r="D3" s="55" t="s">
        <v>107</v>
      </c>
      <c r="E3" s="122" t="s">
        <v>108</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8" customHeight="1">
      <c r="A5" s="52">
        <v>1</v>
      </c>
      <c r="B5" s="122" t="s">
        <v>109</v>
      </c>
      <c r="C5" s="122"/>
      <c r="D5" s="122"/>
      <c r="E5" s="123"/>
      <c r="F5" s="123"/>
      <c r="G5" s="123" t="s">
        <v>63</v>
      </c>
      <c r="H5" s="123">
        <v>2</v>
      </c>
      <c r="I5" s="124">
        <f t="shared" ref="I5:I10" si="0">(H5*10)/SUM($H$5:$H$16)</f>
        <v>0.33333333333333331</v>
      </c>
      <c r="J5" s="125">
        <f>IF(F5="X",((H5*10)/SUM($H$5:$H$16)),0)</f>
        <v>0</v>
      </c>
    </row>
    <row r="6" spans="1:10" ht="46.5" customHeight="1">
      <c r="A6" s="52">
        <v>2</v>
      </c>
      <c r="B6" s="122" t="s">
        <v>110</v>
      </c>
      <c r="C6" s="122"/>
      <c r="D6" s="122"/>
      <c r="E6" s="123" t="s">
        <v>63</v>
      </c>
      <c r="F6" s="123"/>
      <c r="G6" s="123"/>
      <c r="H6" s="123">
        <v>6</v>
      </c>
      <c r="I6" s="124">
        <f t="shared" si="0"/>
        <v>1</v>
      </c>
      <c r="J6" s="125">
        <f t="shared" ref="J6:J15" si="1">IF(F6="X",((H6*10)/SUM($H$5:$H$16)),0)</f>
        <v>0</v>
      </c>
    </row>
    <row r="7" spans="1:10" ht="62.25" customHeight="1">
      <c r="A7" s="52">
        <v>3</v>
      </c>
      <c r="B7" s="122" t="s">
        <v>111</v>
      </c>
      <c r="C7" s="122"/>
      <c r="D7" s="122"/>
      <c r="E7" s="123" t="s">
        <v>63</v>
      </c>
      <c r="F7" s="123"/>
      <c r="G7" s="123"/>
      <c r="H7" s="123">
        <v>10</v>
      </c>
      <c r="I7" s="124">
        <f t="shared" si="0"/>
        <v>1.6666666666666667</v>
      </c>
      <c r="J7" s="125">
        <f t="shared" si="1"/>
        <v>0</v>
      </c>
    </row>
    <row r="8" spans="1:10" ht="48" customHeight="1">
      <c r="A8" s="52">
        <v>4</v>
      </c>
      <c r="B8" s="122" t="s">
        <v>112</v>
      </c>
      <c r="C8" s="122"/>
      <c r="D8" s="122"/>
      <c r="E8" s="123" t="s">
        <v>63</v>
      </c>
      <c r="F8" s="123"/>
      <c r="G8" s="123"/>
      <c r="H8" s="123">
        <v>10</v>
      </c>
      <c r="I8" s="124">
        <f t="shared" si="0"/>
        <v>1.6666666666666667</v>
      </c>
      <c r="J8" s="125">
        <f t="shared" si="1"/>
        <v>0</v>
      </c>
    </row>
    <row r="9" spans="1:10" ht="36" customHeight="1">
      <c r="A9" s="52">
        <v>5</v>
      </c>
      <c r="B9" s="122" t="s">
        <v>113</v>
      </c>
      <c r="C9" s="122"/>
      <c r="D9" s="122"/>
      <c r="E9" s="123"/>
      <c r="F9" s="123" t="s">
        <v>63</v>
      </c>
      <c r="G9" s="123"/>
      <c r="H9" s="123">
        <v>10</v>
      </c>
      <c r="I9" s="124">
        <f t="shared" si="0"/>
        <v>1.6666666666666667</v>
      </c>
      <c r="J9" s="125">
        <f t="shared" si="1"/>
        <v>1.6666666666666667</v>
      </c>
    </row>
    <row r="10" spans="1:10" ht="47.25" customHeight="1">
      <c r="A10" s="52">
        <v>6</v>
      </c>
      <c r="B10" s="122" t="s">
        <v>114</v>
      </c>
      <c r="C10" s="122"/>
      <c r="D10" s="122"/>
      <c r="E10" s="123" t="s">
        <v>63</v>
      </c>
      <c r="F10" s="123"/>
      <c r="G10" s="123"/>
      <c r="H10" s="123">
        <v>2</v>
      </c>
      <c r="I10" s="124">
        <f t="shared" si="0"/>
        <v>0.33333333333333331</v>
      </c>
      <c r="J10" s="125">
        <f t="shared" si="1"/>
        <v>0</v>
      </c>
    </row>
    <row r="11" spans="1:10" ht="59.25" customHeight="1">
      <c r="A11" s="52">
        <v>7</v>
      </c>
      <c r="B11" s="122" t="s">
        <v>115</v>
      </c>
      <c r="C11" s="122"/>
      <c r="D11" s="122"/>
      <c r="E11" s="123" t="s">
        <v>63</v>
      </c>
      <c r="F11" s="123"/>
      <c r="G11" s="123"/>
      <c r="H11" s="123">
        <v>2</v>
      </c>
      <c r="I11" s="124">
        <f t="shared" ref="I11:I16" si="2">(H11*10)/SUM($H$5:$H$16)</f>
        <v>0.33333333333333331</v>
      </c>
      <c r="J11" s="125">
        <f t="shared" si="1"/>
        <v>0</v>
      </c>
    </row>
    <row r="12" spans="1:10" ht="47.25" customHeight="1">
      <c r="A12" s="52">
        <v>8</v>
      </c>
      <c r="B12" s="122" t="s">
        <v>116</v>
      </c>
      <c r="C12" s="122"/>
      <c r="D12" s="122"/>
      <c r="E12" s="123"/>
      <c r="F12" s="123" t="s">
        <v>63</v>
      </c>
      <c r="G12" s="123"/>
      <c r="H12" s="123">
        <v>6</v>
      </c>
      <c r="I12" s="124">
        <f t="shared" si="2"/>
        <v>1</v>
      </c>
      <c r="J12" s="125">
        <f t="shared" si="1"/>
        <v>1</v>
      </c>
    </row>
    <row r="13" spans="1:10" ht="33.75" customHeight="1">
      <c r="A13" s="52">
        <v>9</v>
      </c>
      <c r="B13" s="122" t="s">
        <v>117</v>
      </c>
      <c r="C13" s="122"/>
      <c r="D13" s="122"/>
      <c r="E13" s="123"/>
      <c r="F13" s="123" t="s">
        <v>63</v>
      </c>
      <c r="G13" s="123"/>
      <c r="H13" s="123">
        <v>6</v>
      </c>
      <c r="I13" s="124">
        <f t="shared" si="2"/>
        <v>1</v>
      </c>
      <c r="J13" s="125">
        <f t="shared" si="1"/>
        <v>1</v>
      </c>
    </row>
    <row r="14" spans="1:10" ht="33" customHeight="1">
      <c r="A14" s="52">
        <v>10</v>
      </c>
      <c r="B14" s="122" t="s">
        <v>118</v>
      </c>
      <c r="C14" s="122"/>
      <c r="D14" s="122"/>
      <c r="E14" s="123"/>
      <c r="F14" s="123" t="s">
        <v>63</v>
      </c>
      <c r="G14" s="123"/>
      <c r="H14" s="123">
        <v>2</v>
      </c>
      <c r="I14" s="124">
        <f t="shared" si="2"/>
        <v>0.33333333333333331</v>
      </c>
      <c r="J14" s="125">
        <f t="shared" si="1"/>
        <v>0.33333333333333331</v>
      </c>
    </row>
    <row r="15" spans="1:10" ht="31.5" customHeight="1">
      <c r="A15" s="52">
        <v>11</v>
      </c>
      <c r="B15" s="122" t="s">
        <v>119</v>
      </c>
      <c r="C15" s="122"/>
      <c r="D15" s="122"/>
      <c r="E15" s="123"/>
      <c r="F15" s="123" t="s">
        <v>63</v>
      </c>
      <c r="G15" s="123"/>
      <c r="H15" s="123">
        <v>2</v>
      </c>
      <c r="I15" s="124">
        <f t="shared" si="2"/>
        <v>0.33333333333333331</v>
      </c>
      <c r="J15" s="125">
        <f t="shared" si="1"/>
        <v>0.33333333333333331</v>
      </c>
    </row>
    <row r="16" spans="1:10" ht="58.5" customHeight="1">
      <c r="A16" s="52">
        <v>12</v>
      </c>
      <c r="B16" s="122" t="s">
        <v>120</v>
      </c>
      <c r="C16" s="122"/>
      <c r="D16" s="122"/>
      <c r="E16" s="123"/>
      <c r="F16" s="123"/>
      <c r="G16" s="123" t="s">
        <v>63</v>
      </c>
      <c r="H16" s="123">
        <v>2</v>
      </c>
      <c r="I16" s="124">
        <f t="shared" si="2"/>
        <v>0.33333333333333331</v>
      </c>
      <c r="J16" s="125">
        <f>IF(F16="X",((H16*10)/SUM($H$5:$H$16)),0)</f>
        <v>0</v>
      </c>
    </row>
    <row r="17" spans="1:10" ht="15" customHeight="1">
      <c r="A17" s="83" t="s">
        <v>71</v>
      </c>
      <c r="B17" s="83"/>
      <c r="C17" s="83"/>
      <c r="D17" s="83"/>
      <c r="E17" s="83"/>
      <c r="F17" s="83"/>
      <c r="G17" s="83"/>
      <c r="H17" s="83"/>
      <c r="I17" s="28">
        <f>SUM(I5:I16)</f>
        <v>10.000000000000002</v>
      </c>
      <c r="J17" s="19">
        <f>SUM(J5:J16)</f>
        <v>4.333333333333333</v>
      </c>
    </row>
  </sheetData>
  <mergeCells count="20">
    <mergeCell ref="A17:H17"/>
    <mergeCell ref="B10:D10"/>
    <mergeCell ref="A3:B3"/>
    <mergeCell ref="B4:D4"/>
    <mergeCell ref="B5:D5"/>
    <mergeCell ref="B6:D6"/>
    <mergeCell ref="B7:D7"/>
    <mergeCell ref="B8:D8"/>
    <mergeCell ref="B9:D9"/>
    <mergeCell ref="E3:J3"/>
    <mergeCell ref="B11:D11"/>
    <mergeCell ref="B12:D12"/>
    <mergeCell ref="B13:D13"/>
    <mergeCell ref="B14:D14"/>
    <mergeCell ref="B15:D15"/>
    <mergeCell ref="A1:B1"/>
    <mergeCell ref="A2:B2"/>
    <mergeCell ref="C1:J1"/>
    <mergeCell ref="C2:J2"/>
    <mergeCell ref="B16:D16"/>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3BC5B-7177-4D0F-9EFE-290178AD22D3}">
  <sheetPr>
    <tabColor rgb="FFFFFF00"/>
  </sheetPr>
  <dimension ref="A1:J17"/>
  <sheetViews>
    <sheetView workbookViewId="0">
      <selection activeCell="D3" sqref="A1:J17"/>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38</v>
      </c>
      <c r="D2" s="74"/>
      <c r="E2" s="74"/>
      <c r="F2" s="74"/>
      <c r="G2" s="74"/>
      <c r="H2" s="74"/>
      <c r="I2" s="74"/>
      <c r="J2" s="75"/>
    </row>
    <row r="3" spans="1:10" ht="45">
      <c r="A3" s="70" t="s">
        <v>81</v>
      </c>
      <c r="B3" s="70"/>
      <c r="C3" s="18" t="s">
        <v>93</v>
      </c>
      <c r="D3" s="55" t="s">
        <v>121</v>
      </c>
      <c r="E3" s="122" t="s">
        <v>122</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36" customHeight="1">
      <c r="A5" s="52">
        <v>1</v>
      </c>
      <c r="B5" s="122" t="s">
        <v>124</v>
      </c>
      <c r="C5" s="122"/>
      <c r="D5" s="122"/>
      <c r="E5" s="123"/>
      <c r="F5" s="123" t="s">
        <v>63</v>
      </c>
      <c r="G5" s="123"/>
      <c r="H5" s="123">
        <v>6</v>
      </c>
      <c r="I5" s="124">
        <f>(H5*10)/SUM($H$5:$H$16)</f>
        <v>1.0714285714285714</v>
      </c>
      <c r="J5" s="125">
        <f>IF(F5="X",((H5*10)/SUM($H$5:$H$16)),0)</f>
        <v>1.0714285714285714</v>
      </c>
    </row>
    <row r="6" spans="1:10" ht="31.5" customHeight="1">
      <c r="A6" s="52">
        <v>2</v>
      </c>
      <c r="B6" s="122" t="s">
        <v>125</v>
      </c>
      <c r="C6" s="122"/>
      <c r="D6" s="122"/>
      <c r="E6" s="123"/>
      <c r="F6" s="123" t="s">
        <v>63</v>
      </c>
      <c r="G6" s="123"/>
      <c r="H6" s="123">
        <v>2</v>
      </c>
      <c r="I6" s="124">
        <f t="shared" ref="I6:I16" si="0">(H6*10)/SUM($H$5:$H$16)</f>
        <v>0.35714285714285715</v>
      </c>
      <c r="J6" s="125">
        <f t="shared" ref="J6:J16" si="1">IF(F6="X",((H6*10)/SUM($H$5:$H$16)),0)</f>
        <v>0.35714285714285715</v>
      </c>
    </row>
    <row r="7" spans="1:10" ht="35.25" customHeight="1">
      <c r="A7" s="52">
        <v>3</v>
      </c>
      <c r="B7" s="122" t="s">
        <v>126</v>
      </c>
      <c r="C7" s="122"/>
      <c r="D7" s="122"/>
      <c r="E7" s="123" t="s">
        <v>63</v>
      </c>
      <c r="F7" s="123"/>
      <c r="G7" s="123"/>
      <c r="H7" s="123">
        <v>2</v>
      </c>
      <c r="I7" s="124">
        <f t="shared" si="0"/>
        <v>0.35714285714285715</v>
      </c>
      <c r="J7" s="125">
        <f t="shared" si="1"/>
        <v>0</v>
      </c>
    </row>
    <row r="8" spans="1:10" ht="75.75" customHeight="1">
      <c r="A8" s="52">
        <v>4</v>
      </c>
      <c r="B8" s="122" t="s">
        <v>127</v>
      </c>
      <c r="C8" s="122"/>
      <c r="D8" s="122"/>
      <c r="E8" s="123"/>
      <c r="F8" s="123" t="s">
        <v>63</v>
      </c>
      <c r="G8" s="123"/>
      <c r="H8" s="123">
        <v>6</v>
      </c>
      <c r="I8" s="124">
        <f t="shared" si="0"/>
        <v>1.0714285714285714</v>
      </c>
      <c r="J8" s="125">
        <f t="shared" si="1"/>
        <v>1.0714285714285714</v>
      </c>
    </row>
    <row r="9" spans="1:10" ht="46.5" customHeight="1">
      <c r="A9" s="52">
        <v>5</v>
      </c>
      <c r="B9" s="122" t="s">
        <v>128</v>
      </c>
      <c r="C9" s="122"/>
      <c r="D9" s="122"/>
      <c r="E9" s="123"/>
      <c r="F9" s="123" t="s">
        <v>63</v>
      </c>
      <c r="G9" s="123"/>
      <c r="H9" s="123">
        <v>10</v>
      </c>
      <c r="I9" s="124">
        <f t="shared" si="0"/>
        <v>1.7857142857142858</v>
      </c>
      <c r="J9" s="125">
        <f>IF(F9="X",((H9*10)/SUM($H$5:$H$16)),0)</f>
        <v>1.7857142857142858</v>
      </c>
    </row>
    <row r="10" spans="1:10" ht="90.75" customHeight="1">
      <c r="A10" s="52">
        <v>6</v>
      </c>
      <c r="B10" s="122" t="s">
        <v>129</v>
      </c>
      <c r="C10" s="122"/>
      <c r="D10" s="122"/>
      <c r="E10" s="123" t="s">
        <v>63</v>
      </c>
      <c r="F10" s="123"/>
      <c r="G10" s="123"/>
      <c r="H10" s="123">
        <v>6</v>
      </c>
      <c r="I10" s="124">
        <f t="shared" si="0"/>
        <v>1.0714285714285714</v>
      </c>
      <c r="J10" s="125">
        <f t="shared" si="1"/>
        <v>0</v>
      </c>
    </row>
    <row r="11" spans="1:10" ht="45.75" customHeight="1">
      <c r="A11" s="52">
        <v>7</v>
      </c>
      <c r="B11" s="122" t="s">
        <v>130</v>
      </c>
      <c r="C11" s="122"/>
      <c r="D11" s="122"/>
      <c r="E11" s="123" t="s">
        <v>63</v>
      </c>
      <c r="F11" s="123"/>
      <c r="G11" s="123"/>
      <c r="H11" s="123">
        <v>6</v>
      </c>
      <c r="I11" s="124">
        <f t="shared" si="0"/>
        <v>1.0714285714285714</v>
      </c>
      <c r="J11" s="125">
        <f t="shared" si="1"/>
        <v>0</v>
      </c>
    </row>
    <row r="12" spans="1:10" ht="31.5" customHeight="1">
      <c r="A12" s="52">
        <v>8</v>
      </c>
      <c r="B12" s="122" t="s">
        <v>131</v>
      </c>
      <c r="C12" s="122"/>
      <c r="D12" s="122"/>
      <c r="E12" s="123"/>
      <c r="F12" s="123" t="s">
        <v>63</v>
      </c>
      <c r="G12" s="123"/>
      <c r="H12" s="123">
        <v>2</v>
      </c>
      <c r="I12" s="124">
        <f t="shared" si="0"/>
        <v>0.35714285714285715</v>
      </c>
      <c r="J12" s="125">
        <f t="shared" si="1"/>
        <v>0.35714285714285715</v>
      </c>
    </row>
    <row r="13" spans="1:10" ht="33.75" customHeight="1">
      <c r="A13" s="52">
        <v>9</v>
      </c>
      <c r="B13" s="122" t="s">
        <v>132</v>
      </c>
      <c r="C13" s="122"/>
      <c r="D13" s="122"/>
      <c r="E13" s="123"/>
      <c r="F13" s="123" t="s">
        <v>63</v>
      </c>
      <c r="G13" s="123"/>
      <c r="H13" s="123">
        <v>2</v>
      </c>
      <c r="I13" s="124">
        <f t="shared" si="0"/>
        <v>0.35714285714285715</v>
      </c>
      <c r="J13" s="125">
        <f t="shared" si="1"/>
        <v>0.35714285714285715</v>
      </c>
    </row>
    <row r="14" spans="1:10" ht="35.25" customHeight="1">
      <c r="A14" s="52">
        <v>10</v>
      </c>
      <c r="B14" s="122" t="s">
        <v>133</v>
      </c>
      <c r="C14" s="122"/>
      <c r="D14" s="122"/>
      <c r="E14" s="123" t="s">
        <v>63</v>
      </c>
      <c r="F14" s="123"/>
      <c r="G14" s="123"/>
      <c r="H14" s="123">
        <v>2</v>
      </c>
      <c r="I14" s="124">
        <f t="shared" si="0"/>
        <v>0.35714285714285715</v>
      </c>
      <c r="J14" s="125">
        <f t="shared" si="1"/>
        <v>0</v>
      </c>
    </row>
    <row r="15" spans="1:10" ht="37.5" customHeight="1">
      <c r="A15" s="52">
        <v>11</v>
      </c>
      <c r="B15" s="122" t="s">
        <v>134</v>
      </c>
      <c r="C15" s="122"/>
      <c r="D15" s="122"/>
      <c r="E15" s="123" t="s">
        <v>63</v>
      </c>
      <c r="F15" s="123"/>
      <c r="G15" s="123"/>
      <c r="H15" s="123">
        <v>6</v>
      </c>
      <c r="I15" s="124">
        <f t="shared" si="0"/>
        <v>1.0714285714285714</v>
      </c>
      <c r="J15" s="125">
        <f t="shared" si="1"/>
        <v>0</v>
      </c>
    </row>
    <row r="16" spans="1:10" ht="61.5" customHeight="1">
      <c r="A16" s="52">
        <v>12</v>
      </c>
      <c r="B16" s="122" t="s">
        <v>135</v>
      </c>
      <c r="C16" s="122"/>
      <c r="D16" s="122"/>
      <c r="E16" s="123"/>
      <c r="F16" s="123"/>
      <c r="G16" s="123" t="s">
        <v>63</v>
      </c>
      <c r="H16" s="123">
        <v>6</v>
      </c>
      <c r="I16" s="124">
        <f t="shared" si="0"/>
        <v>1.0714285714285714</v>
      </c>
      <c r="J16" s="125">
        <f t="shared" si="1"/>
        <v>0</v>
      </c>
    </row>
    <row r="17" spans="1:10" ht="15" customHeight="1">
      <c r="A17" s="83" t="s">
        <v>71</v>
      </c>
      <c r="B17" s="83"/>
      <c r="C17" s="83"/>
      <c r="D17" s="83"/>
      <c r="E17" s="83"/>
      <c r="F17" s="83"/>
      <c r="G17" s="83"/>
      <c r="H17" s="83"/>
      <c r="I17" s="28">
        <f>SUM(I5:I16)</f>
        <v>9.9999999999999982</v>
      </c>
      <c r="J17" s="19">
        <f>SUM(J5:J16)</f>
        <v>4.9999999999999991</v>
      </c>
    </row>
  </sheetData>
  <mergeCells count="20">
    <mergeCell ref="A17:H17"/>
    <mergeCell ref="B10:D10"/>
    <mergeCell ref="A3:B3"/>
    <mergeCell ref="B4:D4"/>
    <mergeCell ref="B5:D5"/>
    <mergeCell ref="B6:D6"/>
    <mergeCell ref="B7:D7"/>
    <mergeCell ref="B8:D8"/>
    <mergeCell ref="B9:D9"/>
    <mergeCell ref="E3:J3"/>
    <mergeCell ref="B11:D11"/>
    <mergeCell ref="B12:D12"/>
    <mergeCell ref="B13:D13"/>
    <mergeCell ref="B14:D14"/>
    <mergeCell ref="B15:D15"/>
    <mergeCell ref="A1:B1"/>
    <mergeCell ref="A2:B2"/>
    <mergeCell ref="C1:J1"/>
    <mergeCell ref="C2:J2"/>
    <mergeCell ref="B16:D16"/>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1B777-B0F9-4608-91C8-B8AF0FAE3585}">
  <sheetPr>
    <tabColor rgb="FFFFFF00"/>
  </sheetPr>
  <dimension ref="A1:J13"/>
  <sheetViews>
    <sheetView workbookViewId="0">
      <selection activeCell="E3" sqref="A1:J13"/>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89" t="s">
        <v>51</v>
      </c>
      <c r="B1" s="89"/>
      <c r="C1" s="90" t="s">
        <v>52</v>
      </c>
      <c r="D1" s="91"/>
      <c r="E1" s="91"/>
      <c r="F1" s="91"/>
      <c r="G1" s="91"/>
      <c r="H1" s="91"/>
      <c r="I1" s="91"/>
      <c r="J1" s="92"/>
    </row>
    <row r="2" spans="1:10" ht="15">
      <c r="A2" s="89" t="s">
        <v>0</v>
      </c>
      <c r="B2" s="89"/>
      <c r="C2" s="90" t="s">
        <v>38</v>
      </c>
      <c r="D2" s="91"/>
      <c r="E2" s="91"/>
      <c r="F2" s="91"/>
      <c r="G2" s="91"/>
      <c r="H2" s="91"/>
      <c r="I2" s="91"/>
      <c r="J2" s="92"/>
    </row>
    <row r="3" spans="1:10" ht="45">
      <c r="A3" s="89" t="s">
        <v>81</v>
      </c>
      <c r="B3" s="89"/>
      <c r="C3" s="17" t="s">
        <v>93</v>
      </c>
      <c r="D3" s="8" t="s">
        <v>136</v>
      </c>
      <c r="E3" s="129" t="s">
        <v>137</v>
      </c>
      <c r="F3" s="129"/>
      <c r="G3" s="129"/>
      <c r="H3" s="129"/>
      <c r="I3" s="129"/>
      <c r="J3" s="129"/>
    </row>
    <row r="4" spans="1:10" ht="60">
      <c r="A4" s="56" t="s">
        <v>55</v>
      </c>
      <c r="B4" s="89" t="s">
        <v>56</v>
      </c>
      <c r="C4" s="89"/>
      <c r="D4" s="89"/>
      <c r="E4" s="56" t="s">
        <v>24</v>
      </c>
      <c r="F4" s="56" t="s">
        <v>57</v>
      </c>
      <c r="G4" s="56" t="s">
        <v>58</v>
      </c>
      <c r="H4" s="56" t="s">
        <v>59</v>
      </c>
      <c r="I4" s="31" t="s">
        <v>60</v>
      </c>
      <c r="J4" s="52" t="s">
        <v>61</v>
      </c>
    </row>
    <row r="5" spans="1:10" ht="47.25" customHeight="1">
      <c r="A5" s="56">
        <v>1</v>
      </c>
      <c r="B5" s="129" t="s">
        <v>138</v>
      </c>
      <c r="C5" s="129"/>
      <c r="D5" s="129"/>
      <c r="E5" s="114"/>
      <c r="F5" s="114" t="s">
        <v>63</v>
      </c>
      <c r="G5" s="114"/>
      <c r="H5" s="114">
        <v>6</v>
      </c>
      <c r="I5" s="130">
        <f>(H5*10)/SUM($H$5:$H$12)</f>
        <v>1.25</v>
      </c>
      <c r="J5" s="125">
        <f>IF(F5="X",((H5*10)/SUM($H$5:$H$12)),0)</f>
        <v>1.25</v>
      </c>
    </row>
    <row r="6" spans="1:10" ht="47.25" customHeight="1">
      <c r="A6" s="56">
        <v>2</v>
      </c>
      <c r="B6" s="129" t="s">
        <v>139</v>
      </c>
      <c r="C6" s="129"/>
      <c r="D6" s="129"/>
      <c r="E6" s="114"/>
      <c r="F6" s="114" t="s">
        <v>63</v>
      </c>
      <c r="G6" s="114"/>
      <c r="H6" s="114">
        <v>6</v>
      </c>
      <c r="I6" s="130">
        <f t="shared" ref="I6:I12" si="0">(H6*10)/SUM($H$5:$H$12)</f>
        <v>1.25</v>
      </c>
      <c r="J6" s="125">
        <f t="shared" ref="J6:J12" si="1">IF(F6="X",((H6*10)/SUM($H$5:$H$12)),0)</f>
        <v>1.25</v>
      </c>
    </row>
    <row r="7" spans="1:10" ht="63" customHeight="1">
      <c r="A7" s="56">
        <v>3</v>
      </c>
      <c r="B7" s="129" t="s">
        <v>140</v>
      </c>
      <c r="C7" s="129"/>
      <c r="D7" s="129"/>
      <c r="E7" s="114"/>
      <c r="F7" s="114" t="s">
        <v>63</v>
      </c>
      <c r="G7" s="114"/>
      <c r="H7" s="114">
        <v>6</v>
      </c>
      <c r="I7" s="130">
        <f t="shared" si="0"/>
        <v>1.25</v>
      </c>
      <c r="J7" s="125">
        <f t="shared" si="1"/>
        <v>1.25</v>
      </c>
    </row>
    <row r="8" spans="1:10" ht="31.5" customHeight="1">
      <c r="A8" s="56">
        <v>4</v>
      </c>
      <c r="B8" s="129" t="s">
        <v>141</v>
      </c>
      <c r="C8" s="129"/>
      <c r="D8" s="129"/>
      <c r="E8" s="114"/>
      <c r="F8" s="114" t="s">
        <v>63</v>
      </c>
      <c r="G8" s="114"/>
      <c r="H8" s="114">
        <v>2</v>
      </c>
      <c r="I8" s="130">
        <f t="shared" si="0"/>
        <v>0.41666666666666669</v>
      </c>
      <c r="J8" s="125">
        <f t="shared" si="1"/>
        <v>0.41666666666666669</v>
      </c>
    </row>
    <row r="9" spans="1:10" ht="31.5" customHeight="1">
      <c r="A9" s="56">
        <v>5</v>
      </c>
      <c r="B9" s="129" t="s">
        <v>142</v>
      </c>
      <c r="C9" s="129"/>
      <c r="D9" s="129"/>
      <c r="E9" s="114"/>
      <c r="F9" s="114" t="s">
        <v>63</v>
      </c>
      <c r="G9" s="114"/>
      <c r="H9" s="114">
        <v>10</v>
      </c>
      <c r="I9" s="130">
        <f t="shared" si="0"/>
        <v>2.0833333333333335</v>
      </c>
      <c r="J9" s="125">
        <f t="shared" si="1"/>
        <v>2.0833333333333335</v>
      </c>
    </row>
    <row r="10" spans="1:10" ht="48.75" customHeight="1">
      <c r="A10" s="56">
        <v>6</v>
      </c>
      <c r="B10" s="129" t="s">
        <v>143</v>
      </c>
      <c r="C10" s="129"/>
      <c r="D10" s="129"/>
      <c r="E10" s="114"/>
      <c r="F10" s="114" t="s">
        <v>63</v>
      </c>
      <c r="G10" s="114"/>
      <c r="H10" s="114">
        <v>10</v>
      </c>
      <c r="I10" s="130">
        <f t="shared" si="0"/>
        <v>2.0833333333333335</v>
      </c>
      <c r="J10" s="125">
        <f t="shared" si="1"/>
        <v>2.0833333333333335</v>
      </c>
    </row>
    <row r="11" spans="1:10" ht="47.25" customHeight="1">
      <c r="A11" s="56">
        <v>7</v>
      </c>
      <c r="B11" s="129" t="s">
        <v>144</v>
      </c>
      <c r="C11" s="129"/>
      <c r="D11" s="129"/>
      <c r="E11" s="114"/>
      <c r="F11" s="114" t="s">
        <v>63</v>
      </c>
      <c r="G11" s="114"/>
      <c r="H11" s="114">
        <v>6</v>
      </c>
      <c r="I11" s="130">
        <f t="shared" si="0"/>
        <v>1.25</v>
      </c>
      <c r="J11" s="125">
        <f t="shared" si="1"/>
        <v>1.25</v>
      </c>
    </row>
    <row r="12" spans="1:10" ht="47.25" customHeight="1">
      <c r="A12" s="56">
        <v>8</v>
      </c>
      <c r="B12" s="129" t="s">
        <v>145</v>
      </c>
      <c r="C12" s="129"/>
      <c r="D12" s="129"/>
      <c r="E12" s="114"/>
      <c r="F12" s="114" t="s">
        <v>63</v>
      </c>
      <c r="G12" s="114"/>
      <c r="H12" s="114">
        <v>2</v>
      </c>
      <c r="I12" s="130">
        <f t="shared" si="0"/>
        <v>0.41666666666666669</v>
      </c>
      <c r="J12" s="125">
        <f t="shared" si="1"/>
        <v>0.41666666666666669</v>
      </c>
    </row>
    <row r="13" spans="1:10" ht="15" customHeight="1">
      <c r="A13" s="93" t="s">
        <v>71</v>
      </c>
      <c r="B13" s="93"/>
      <c r="C13" s="93"/>
      <c r="D13" s="93"/>
      <c r="E13" s="93"/>
      <c r="F13" s="93"/>
      <c r="G13" s="93"/>
      <c r="H13" s="93"/>
      <c r="I13" s="32">
        <f>SUM(I5:I12)</f>
        <v>10</v>
      </c>
      <c r="J13" s="15">
        <f>SUM(J5:J12)</f>
        <v>10</v>
      </c>
    </row>
  </sheetData>
  <mergeCells count="16">
    <mergeCell ref="A13:H13"/>
    <mergeCell ref="A3:B3"/>
    <mergeCell ref="B4:D4"/>
    <mergeCell ref="B11:D11"/>
    <mergeCell ref="B12:D12"/>
    <mergeCell ref="E3:J3"/>
    <mergeCell ref="B5:D5"/>
    <mergeCell ref="B6:D6"/>
    <mergeCell ref="B7:D7"/>
    <mergeCell ref="B8:D8"/>
    <mergeCell ref="B9:D9"/>
    <mergeCell ref="A1:B1"/>
    <mergeCell ref="A2:B2"/>
    <mergeCell ref="C1:J1"/>
    <mergeCell ref="C2:J2"/>
    <mergeCell ref="B10:D10"/>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72730-486E-4D16-A6AF-5C179BE687FF}">
  <sheetPr>
    <tabColor rgb="FFFFFF00"/>
  </sheetPr>
  <dimension ref="A1:J17"/>
  <sheetViews>
    <sheetView workbookViewId="0">
      <selection activeCell="E3" sqref="A1:J17"/>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38</v>
      </c>
      <c r="D2" s="74"/>
      <c r="E2" s="74"/>
      <c r="F2" s="74"/>
      <c r="G2" s="74"/>
      <c r="H2" s="74"/>
      <c r="I2" s="74"/>
      <c r="J2" s="75"/>
    </row>
    <row r="3" spans="1:10" ht="45">
      <c r="A3" s="70" t="s">
        <v>81</v>
      </c>
      <c r="B3" s="70"/>
      <c r="C3" s="18" t="s">
        <v>93</v>
      </c>
      <c r="D3" s="55" t="s">
        <v>146</v>
      </c>
      <c r="E3" s="122" t="s">
        <v>147</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7.25" customHeight="1">
      <c r="A5" s="52">
        <v>1</v>
      </c>
      <c r="B5" s="122" t="s">
        <v>148</v>
      </c>
      <c r="C5" s="122"/>
      <c r="D5" s="122"/>
      <c r="E5" s="123"/>
      <c r="F5" s="123" t="s">
        <v>63</v>
      </c>
      <c r="G5" s="123"/>
      <c r="H5" s="123">
        <v>10</v>
      </c>
      <c r="I5" s="124">
        <f>(H5*10)/SUM($H$5:$H$16)</f>
        <v>1.6666666666666667</v>
      </c>
      <c r="J5" s="125">
        <f>IF(F5="X",((H5*10)/SUM($H$5:$H$16)),0)</f>
        <v>1.6666666666666667</v>
      </c>
    </row>
    <row r="6" spans="1:10" ht="63" customHeight="1">
      <c r="A6" s="52">
        <v>2</v>
      </c>
      <c r="B6" s="122" t="s">
        <v>149</v>
      </c>
      <c r="C6" s="122"/>
      <c r="D6" s="122"/>
      <c r="E6" s="123"/>
      <c r="F6" s="123" t="s">
        <v>63</v>
      </c>
      <c r="G6" s="123"/>
      <c r="H6" s="123">
        <v>10</v>
      </c>
      <c r="I6" s="124">
        <f t="shared" ref="I6:I16" si="0">(H6*10)/SUM($H$5:$H$16)</f>
        <v>1.6666666666666667</v>
      </c>
      <c r="J6" s="125">
        <f t="shared" ref="J6:J16" si="1">IF(F6="X",((H6*10)/SUM($H$5:$H$16)),0)</f>
        <v>1.6666666666666667</v>
      </c>
    </row>
    <row r="7" spans="1:10" ht="31.5" customHeight="1">
      <c r="A7" s="52">
        <v>3</v>
      </c>
      <c r="B7" s="122" t="s">
        <v>150</v>
      </c>
      <c r="C7" s="122"/>
      <c r="D7" s="122"/>
      <c r="E7" s="123"/>
      <c r="F7" s="123" t="s">
        <v>63</v>
      </c>
      <c r="G7" s="123"/>
      <c r="H7" s="123">
        <v>6</v>
      </c>
      <c r="I7" s="124">
        <f t="shared" si="0"/>
        <v>1</v>
      </c>
      <c r="J7" s="125">
        <f t="shared" si="1"/>
        <v>1</v>
      </c>
    </row>
    <row r="8" spans="1:10" ht="59.25" customHeight="1">
      <c r="A8" s="52">
        <v>4</v>
      </c>
      <c r="B8" s="122" t="s">
        <v>151</v>
      </c>
      <c r="C8" s="122"/>
      <c r="D8" s="122"/>
      <c r="E8" s="123"/>
      <c r="F8" s="123" t="s">
        <v>63</v>
      </c>
      <c r="G8" s="123"/>
      <c r="H8" s="123">
        <v>6</v>
      </c>
      <c r="I8" s="124">
        <f t="shared" si="0"/>
        <v>1</v>
      </c>
      <c r="J8" s="125">
        <f t="shared" si="1"/>
        <v>1</v>
      </c>
    </row>
    <row r="9" spans="1:10" ht="91.5" customHeight="1">
      <c r="A9" s="52">
        <v>5</v>
      </c>
      <c r="B9" s="122" t="s">
        <v>152</v>
      </c>
      <c r="C9" s="122"/>
      <c r="D9" s="122"/>
      <c r="E9" s="123"/>
      <c r="F9" s="123" t="s">
        <v>63</v>
      </c>
      <c r="G9" s="123"/>
      <c r="H9" s="123">
        <v>6</v>
      </c>
      <c r="I9" s="124">
        <f t="shared" si="0"/>
        <v>1</v>
      </c>
      <c r="J9" s="125">
        <f t="shared" si="1"/>
        <v>1</v>
      </c>
    </row>
    <row r="10" spans="1:10" ht="47.25" customHeight="1">
      <c r="A10" s="52">
        <v>6</v>
      </c>
      <c r="B10" s="122" t="s">
        <v>153</v>
      </c>
      <c r="C10" s="122"/>
      <c r="D10" s="122"/>
      <c r="E10" s="123"/>
      <c r="F10" s="123" t="s">
        <v>63</v>
      </c>
      <c r="G10" s="123"/>
      <c r="H10" s="123">
        <v>6</v>
      </c>
      <c r="I10" s="124">
        <f t="shared" si="0"/>
        <v>1</v>
      </c>
      <c r="J10" s="125">
        <f t="shared" si="1"/>
        <v>1</v>
      </c>
    </row>
    <row r="11" spans="1:10" ht="47.25" customHeight="1">
      <c r="A11" s="52">
        <v>7</v>
      </c>
      <c r="B11" s="122" t="s">
        <v>154</v>
      </c>
      <c r="C11" s="122"/>
      <c r="D11" s="122"/>
      <c r="E11" s="123"/>
      <c r="F11" s="123" t="s">
        <v>63</v>
      </c>
      <c r="G11" s="123"/>
      <c r="H11" s="123">
        <v>2</v>
      </c>
      <c r="I11" s="124">
        <f t="shared" si="0"/>
        <v>0.33333333333333331</v>
      </c>
      <c r="J11" s="125">
        <f t="shared" si="1"/>
        <v>0.33333333333333331</v>
      </c>
    </row>
    <row r="12" spans="1:10" ht="59.25" customHeight="1">
      <c r="A12" s="52">
        <v>8</v>
      </c>
      <c r="B12" s="122" t="s">
        <v>155</v>
      </c>
      <c r="C12" s="122"/>
      <c r="D12" s="122"/>
      <c r="E12" s="123"/>
      <c r="F12" s="123" t="s">
        <v>63</v>
      </c>
      <c r="G12" s="123"/>
      <c r="H12" s="123">
        <v>2</v>
      </c>
      <c r="I12" s="124">
        <f t="shared" si="0"/>
        <v>0.33333333333333331</v>
      </c>
      <c r="J12" s="125">
        <f t="shared" si="1"/>
        <v>0.33333333333333331</v>
      </c>
    </row>
    <row r="13" spans="1:10" ht="63" customHeight="1">
      <c r="A13" s="52">
        <v>9</v>
      </c>
      <c r="B13" s="122" t="s">
        <v>156</v>
      </c>
      <c r="C13" s="122"/>
      <c r="D13" s="122"/>
      <c r="E13" s="123"/>
      <c r="F13" s="123" t="s">
        <v>63</v>
      </c>
      <c r="G13" s="123"/>
      <c r="H13" s="123">
        <v>6</v>
      </c>
      <c r="I13" s="124">
        <f t="shared" si="0"/>
        <v>1</v>
      </c>
      <c r="J13" s="125">
        <f t="shared" si="1"/>
        <v>1</v>
      </c>
    </row>
    <row r="14" spans="1:10" ht="47.25" customHeight="1">
      <c r="A14" s="52">
        <v>10</v>
      </c>
      <c r="B14" s="122" t="s">
        <v>157</v>
      </c>
      <c r="C14" s="122"/>
      <c r="D14" s="122"/>
      <c r="E14" s="123"/>
      <c r="F14" s="123"/>
      <c r="G14" s="123" t="s">
        <v>63</v>
      </c>
      <c r="H14" s="123">
        <v>2</v>
      </c>
      <c r="I14" s="124">
        <f t="shared" si="0"/>
        <v>0.33333333333333331</v>
      </c>
      <c r="J14" s="125">
        <f t="shared" si="1"/>
        <v>0</v>
      </c>
    </row>
    <row r="15" spans="1:10" ht="47.25" customHeight="1">
      <c r="A15" s="52">
        <v>11</v>
      </c>
      <c r="B15" s="122" t="s">
        <v>158</v>
      </c>
      <c r="C15" s="122"/>
      <c r="D15" s="122"/>
      <c r="E15" s="123"/>
      <c r="F15" s="123"/>
      <c r="G15" s="123" t="s">
        <v>63</v>
      </c>
      <c r="H15" s="123">
        <v>2</v>
      </c>
      <c r="I15" s="124">
        <f t="shared" si="0"/>
        <v>0.33333333333333331</v>
      </c>
      <c r="J15" s="125">
        <f t="shared" si="1"/>
        <v>0</v>
      </c>
    </row>
    <row r="16" spans="1:10" ht="31.5" customHeight="1">
      <c r="A16" s="52">
        <v>12</v>
      </c>
      <c r="B16" s="122" t="s">
        <v>159</v>
      </c>
      <c r="C16" s="122"/>
      <c r="D16" s="122"/>
      <c r="E16" s="123"/>
      <c r="F16" s="123"/>
      <c r="G16" s="123" t="s">
        <v>63</v>
      </c>
      <c r="H16" s="123">
        <v>2</v>
      </c>
      <c r="I16" s="124">
        <f t="shared" si="0"/>
        <v>0.33333333333333331</v>
      </c>
      <c r="J16" s="125">
        <f t="shared" si="1"/>
        <v>0</v>
      </c>
    </row>
    <row r="17" spans="1:10" ht="15" customHeight="1">
      <c r="A17" s="83" t="s">
        <v>71</v>
      </c>
      <c r="B17" s="83"/>
      <c r="C17" s="83"/>
      <c r="D17" s="83"/>
      <c r="E17" s="83"/>
      <c r="F17" s="83"/>
      <c r="G17" s="83"/>
      <c r="H17" s="83"/>
      <c r="I17" s="28">
        <f>SUM(I5:I16)</f>
        <v>10.000000000000002</v>
      </c>
      <c r="J17" s="19">
        <f>SUM(J5:J16)</f>
        <v>9</v>
      </c>
    </row>
  </sheetData>
  <mergeCells count="20">
    <mergeCell ref="A17:H17"/>
    <mergeCell ref="B10:D10"/>
    <mergeCell ref="A3:B3"/>
    <mergeCell ref="B4:D4"/>
    <mergeCell ref="B5:D5"/>
    <mergeCell ref="B6:D6"/>
    <mergeCell ref="B7:D7"/>
    <mergeCell ref="B8:D8"/>
    <mergeCell ref="B9:D9"/>
    <mergeCell ref="E3:J3"/>
    <mergeCell ref="B11:D11"/>
    <mergeCell ref="B12:D12"/>
    <mergeCell ref="B13:D13"/>
    <mergeCell ref="B14:D14"/>
    <mergeCell ref="B15:D15"/>
    <mergeCell ref="A1:B1"/>
    <mergeCell ref="A2:B2"/>
    <mergeCell ref="C1:J1"/>
    <mergeCell ref="C2:J2"/>
    <mergeCell ref="B16:D16"/>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298DA-BDF3-435D-B2E5-3CD83162AAB1}">
  <sheetPr>
    <tabColor rgb="FFFFFF00"/>
  </sheetPr>
  <dimension ref="A1:J19"/>
  <sheetViews>
    <sheetView workbookViewId="0">
      <selection activeCell="B4" sqref="A1:J19"/>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38</v>
      </c>
      <c r="D2" s="74"/>
      <c r="E2" s="74"/>
      <c r="F2" s="74"/>
      <c r="G2" s="74"/>
      <c r="H2" s="74"/>
      <c r="I2" s="74"/>
      <c r="J2" s="75"/>
    </row>
    <row r="3" spans="1:10" ht="45">
      <c r="A3" s="70" t="s">
        <v>81</v>
      </c>
      <c r="B3" s="70"/>
      <c r="C3" s="18" t="s">
        <v>93</v>
      </c>
      <c r="D3" s="55" t="s">
        <v>160</v>
      </c>
      <c r="E3" s="122" t="s">
        <v>161</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31.5" customHeight="1">
      <c r="A5" s="52">
        <v>1</v>
      </c>
      <c r="B5" s="122" t="s">
        <v>162</v>
      </c>
      <c r="C5" s="122"/>
      <c r="D5" s="122"/>
      <c r="E5" s="123"/>
      <c r="F5" s="123" t="s">
        <v>63</v>
      </c>
      <c r="G5" s="123"/>
      <c r="H5" s="123">
        <v>6</v>
      </c>
      <c r="I5" s="124">
        <f>(H5*10)/SUM($H$5:$H$18)</f>
        <v>0.83333333333333337</v>
      </c>
      <c r="J5" s="125">
        <f>IF(F5="X",((H5*10)/SUM($H$5:$H$18)),0)</f>
        <v>0.83333333333333337</v>
      </c>
    </row>
    <row r="6" spans="1:10" ht="47.25" customHeight="1">
      <c r="A6" s="52">
        <v>2</v>
      </c>
      <c r="B6" s="122" t="s">
        <v>163</v>
      </c>
      <c r="C6" s="122"/>
      <c r="D6" s="122"/>
      <c r="E6" s="123"/>
      <c r="F6" s="123" t="s">
        <v>63</v>
      </c>
      <c r="G6" s="123"/>
      <c r="H6" s="123">
        <v>6</v>
      </c>
      <c r="I6" s="124">
        <f t="shared" ref="I6:I18" si="0">(H6*10)/SUM($H$5:$H$18)</f>
        <v>0.83333333333333337</v>
      </c>
      <c r="J6" s="125">
        <f t="shared" ref="J6:J18" si="1">IF(F6="X",((H6*10)/SUM($H$5:$H$18)),0)</f>
        <v>0.83333333333333337</v>
      </c>
    </row>
    <row r="7" spans="1:10" ht="63" customHeight="1">
      <c r="A7" s="52">
        <v>3</v>
      </c>
      <c r="B7" s="122" t="s">
        <v>164</v>
      </c>
      <c r="C7" s="122"/>
      <c r="D7" s="122"/>
      <c r="E7" s="123"/>
      <c r="F7" s="123" t="s">
        <v>63</v>
      </c>
      <c r="G7" s="123"/>
      <c r="H7" s="123">
        <v>2</v>
      </c>
      <c r="I7" s="124">
        <f t="shared" si="0"/>
        <v>0.27777777777777779</v>
      </c>
      <c r="J7" s="125">
        <f t="shared" si="1"/>
        <v>0.27777777777777779</v>
      </c>
    </row>
    <row r="8" spans="1:10" ht="47.25" customHeight="1">
      <c r="A8" s="52">
        <v>4</v>
      </c>
      <c r="B8" s="122" t="s">
        <v>165</v>
      </c>
      <c r="C8" s="122"/>
      <c r="D8" s="122"/>
      <c r="E8" s="123" t="s">
        <v>63</v>
      </c>
      <c r="F8" s="123"/>
      <c r="G8" s="123"/>
      <c r="H8" s="123">
        <v>10</v>
      </c>
      <c r="I8" s="124">
        <f t="shared" si="0"/>
        <v>1.3888888888888888</v>
      </c>
      <c r="J8" s="125">
        <f t="shared" si="1"/>
        <v>0</v>
      </c>
    </row>
    <row r="9" spans="1:10" ht="63" customHeight="1">
      <c r="A9" s="52">
        <v>5</v>
      </c>
      <c r="B9" s="122" t="s">
        <v>166</v>
      </c>
      <c r="C9" s="122"/>
      <c r="D9" s="122"/>
      <c r="E9" s="123"/>
      <c r="F9" s="123" t="s">
        <v>63</v>
      </c>
      <c r="G9" s="123"/>
      <c r="H9" s="123">
        <v>6</v>
      </c>
      <c r="I9" s="124">
        <f t="shared" si="0"/>
        <v>0.83333333333333337</v>
      </c>
      <c r="J9" s="125">
        <f t="shared" si="1"/>
        <v>0.83333333333333337</v>
      </c>
    </row>
    <row r="10" spans="1:10" ht="63" customHeight="1">
      <c r="A10" s="52">
        <v>6</v>
      </c>
      <c r="B10" s="122" t="s">
        <v>167</v>
      </c>
      <c r="C10" s="122"/>
      <c r="D10" s="122"/>
      <c r="E10" s="123"/>
      <c r="F10" s="123" t="s">
        <v>63</v>
      </c>
      <c r="G10" s="123"/>
      <c r="H10" s="123">
        <v>6</v>
      </c>
      <c r="I10" s="124">
        <f t="shared" si="0"/>
        <v>0.83333333333333337</v>
      </c>
      <c r="J10" s="125">
        <f t="shared" si="1"/>
        <v>0.83333333333333337</v>
      </c>
    </row>
    <row r="11" spans="1:10" ht="31.5" customHeight="1">
      <c r="A11" s="52">
        <v>7</v>
      </c>
      <c r="B11" s="122" t="s">
        <v>168</v>
      </c>
      <c r="C11" s="122"/>
      <c r="D11" s="122"/>
      <c r="E11" s="123"/>
      <c r="F11" s="123" t="s">
        <v>63</v>
      </c>
      <c r="G11" s="123"/>
      <c r="H11" s="123">
        <v>6</v>
      </c>
      <c r="I11" s="124">
        <f t="shared" si="0"/>
        <v>0.83333333333333337</v>
      </c>
      <c r="J11" s="125">
        <f t="shared" si="1"/>
        <v>0.83333333333333337</v>
      </c>
    </row>
    <row r="12" spans="1:10" ht="47.25" customHeight="1">
      <c r="A12" s="52">
        <v>8</v>
      </c>
      <c r="B12" s="122" t="s">
        <v>169</v>
      </c>
      <c r="C12" s="122"/>
      <c r="D12" s="122"/>
      <c r="E12" s="123"/>
      <c r="F12" s="123" t="s">
        <v>63</v>
      </c>
      <c r="G12" s="123"/>
      <c r="H12" s="123">
        <v>6</v>
      </c>
      <c r="I12" s="124">
        <f t="shared" si="0"/>
        <v>0.83333333333333337</v>
      </c>
      <c r="J12" s="125">
        <f t="shared" si="1"/>
        <v>0.83333333333333337</v>
      </c>
    </row>
    <row r="13" spans="1:10" ht="31.5" customHeight="1">
      <c r="A13" s="52">
        <v>9</v>
      </c>
      <c r="B13" s="122" t="s">
        <v>170</v>
      </c>
      <c r="C13" s="122"/>
      <c r="D13" s="122"/>
      <c r="E13" s="123" t="s">
        <v>63</v>
      </c>
      <c r="F13" s="123"/>
      <c r="G13" s="123"/>
      <c r="H13" s="123">
        <v>6</v>
      </c>
      <c r="I13" s="124">
        <f t="shared" si="0"/>
        <v>0.83333333333333337</v>
      </c>
      <c r="J13" s="125">
        <f t="shared" si="1"/>
        <v>0</v>
      </c>
    </row>
    <row r="14" spans="1:10" ht="63" customHeight="1">
      <c r="A14" s="52">
        <v>10</v>
      </c>
      <c r="B14" s="122" t="s">
        <v>171</v>
      </c>
      <c r="C14" s="122"/>
      <c r="D14" s="122"/>
      <c r="E14" s="123"/>
      <c r="F14" s="123" t="s">
        <v>63</v>
      </c>
      <c r="G14" s="123"/>
      <c r="H14" s="123">
        <v>6</v>
      </c>
      <c r="I14" s="124">
        <f t="shared" si="0"/>
        <v>0.83333333333333337</v>
      </c>
      <c r="J14" s="125">
        <f t="shared" si="1"/>
        <v>0.83333333333333337</v>
      </c>
    </row>
    <row r="15" spans="1:10" ht="15">
      <c r="A15" s="52">
        <v>11</v>
      </c>
      <c r="B15" s="122" t="s">
        <v>172</v>
      </c>
      <c r="C15" s="122"/>
      <c r="D15" s="122"/>
      <c r="E15" s="123"/>
      <c r="F15" s="123" t="s">
        <v>63</v>
      </c>
      <c r="G15" s="123"/>
      <c r="H15" s="123">
        <v>2</v>
      </c>
      <c r="I15" s="124">
        <f t="shared" si="0"/>
        <v>0.27777777777777779</v>
      </c>
      <c r="J15" s="125">
        <f t="shared" si="1"/>
        <v>0.27777777777777779</v>
      </c>
    </row>
    <row r="16" spans="1:10" ht="47.25" customHeight="1">
      <c r="A16" s="52">
        <v>12</v>
      </c>
      <c r="B16" s="122" t="s">
        <v>173</v>
      </c>
      <c r="C16" s="122"/>
      <c r="D16" s="122"/>
      <c r="E16" s="123" t="s">
        <v>63</v>
      </c>
      <c r="F16" s="123"/>
      <c r="G16" s="123"/>
      <c r="H16" s="123">
        <v>2</v>
      </c>
      <c r="I16" s="124">
        <f t="shared" si="0"/>
        <v>0.27777777777777779</v>
      </c>
      <c r="J16" s="125">
        <f t="shared" si="1"/>
        <v>0</v>
      </c>
    </row>
    <row r="17" spans="1:10" ht="59.25" customHeight="1">
      <c r="A17" s="52">
        <v>13</v>
      </c>
      <c r="B17" s="122" t="s">
        <v>174</v>
      </c>
      <c r="C17" s="122"/>
      <c r="D17" s="122"/>
      <c r="E17" s="123"/>
      <c r="F17" s="123" t="s">
        <v>63</v>
      </c>
      <c r="G17" s="123"/>
      <c r="H17" s="123">
        <v>6</v>
      </c>
      <c r="I17" s="124">
        <f t="shared" si="0"/>
        <v>0.83333333333333337</v>
      </c>
      <c r="J17" s="125">
        <f t="shared" si="1"/>
        <v>0.83333333333333337</v>
      </c>
    </row>
    <row r="18" spans="1:10" ht="78.75" customHeight="1">
      <c r="A18" s="52">
        <v>14</v>
      </c>
      <c r="B18" s="122" t="s">
        <v>175</v>
      </c>
      <c r="C18" s="122"/>
      <c r="D18" s="122"/>
      <c r="E18" s="123"/>
      <c r="F18" s="123" t="s">
        <v>63</v>
      </c>
      <c r="G18" s="123"/>
      <c r="H18" s="123">
        <v>2</v>
      </c>
      <c r="I18" s="124">
        <f t="shared" si="0"/>
        <v>0.27777777777777779</v>
      </c>
      <c r="J18" s="125">
        <f t="shared" si="1"/>
        <v>0.27777777777777779</v>
      </c>
    </row>
    <row r="19" spans="1:10" ht="15" customHeight="1">
      <c r="A19" s="83" t="s">
        <v>71</v>
      </c>
      <c r="B19" s="83"/>
      <c r="C19" s="83"/>
      <c r="D19" s="83"/>
      <c r="E19" s="83"/>
      <c r="F19" s="83"/>
      <c r="G19" s="83"/>
      <c r="H19" s="83"/>
      <c r="I19" s="28">
        <f>SUM(I5:I18)</f>
        <v>10.000000000000002</v>
      </c>
      <c r="J19" s="19">
        <f>SUM(J5:J18)</f>
        <v>7.4999999999999991</v>
      </c>
    </row>
  </sheetData>
  <mergeCells count="22">
    <mergeCell ref="B15:D15"/>
    <mergeCell ref="B16:D16"/>
    <mergeCell ref="A19:H19"/>
    <mergeCell ref="E3:J3"/>
    <mergeCell ref="B17:D17"/>
    <mergeCell ref="B18:D18"/>
    <mergeCell ref="B11:D11"/>
    <mergeCell ref="B12:D12"/>
    <mergeCell ref="B10:D10"/>
    <mergeCell ref="A3:B3"/>
    <mergeCell ref="B4:D4"/>
    <mergeCell ref="B5:D5"/>
    <mergeCell ref="B6:D6"/>
    <mergeCell ref="B7:D7"/>
    <mergeCell ref="B8:D8"/>
    <mergeCell ref="B9:D9"/>
    <mergeCell ref="B13:D13"/>
    <mergeCell ref="B14:D14"/>
    <mergeCell ref="A1:B1"/>
    <mergeCell ref="A2:B2"/>
    <mergeCell ref="C1:J1"/>
    <mergeCell ref="C2:J2"/>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FAE84-F70B-49BB-8F46-3C5927A5C649}">
  <sheetPr>
    <tabColor rgb="FFFFFF00"/>
  </sheetPr>
  <dimension ref="A1:J15"/>
  <sheetViews>
    <sheetView workbookViewId="0">
      <selection activeCell="C2" sqref="C2:J2"/>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38</v>
      </c>
      <c r="D2" s="74"/>
      <c r="E2" s="74"/>
      <c r="F2" s="74"/>
      <c r="G2" s="74"/>
      <c r="H2" s="74"/>
      <c r="I2" s="74"/>
      <c r="J2" s="75"/>
    </row>
    <row r="3" spans="1:10" ht="90">
      <c r="A3" s="70" t="s">
        <v>81</v>
      </c>
      <c r="B3" s="70"/>
      <c r="C3" s="18" t="s">
        <v>93</v>
      </c>
      <c r="D3" s="55" t="s">
        <v>176</v>
      </c>
      <c r="E3" s="122" t="s">
        <v>177</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7.25" customHeight="1">
      <c r="A5" s="52">
        <v>1</v>
      </c>
      <c r="B5" s="122" t="s">
        <v>178</v>
      </c>
      <c r="C5" s="122"/>
      <c r="D5" s="122"/>
      <c r="E5" s="123"/>
      <c r="F5" s="123" t="s">
        <v>63</v>
      </c>
      <c r="G5" s="123"/>
      <c r="H5" s="123">
        <v>10</v>
      </c>
      <c r="I5" s="124">
        <f>(H5*10)/SUM($H$5:$H$14)</f>
        <v>1.9230769230769231</v>
      </c>
      <c r="J5" s="125">
        <f>IF(F5="X",((H5*10)/SUM($H$5:$H$14)),0)</f>
        <v>1.9230769230769231</v>
      </c>
    </row>
    <row r="6" spans="1:10" ht="35.25" customHeight="1">
      <c r="A6" s="52">
        <v>2</v>
      </c>
      <c r="B6" s="122" t="s">
        <v>179</v>
      </c>
      <c r="C6" s="122"/>
      <c r="D6" s="122"/>
      <c r="E6" s="123"/>
      <c r="F6" s="123" t="s">
        <v>63</v>
      </c>
      <c r="G6" s="123"/>
      <c r="H6" s="123">
        <v>6</v>
      </c>
      <c r="I6" s="124">
        <f t="shared" ref="I6:I14" si="0">(H6*10)/SUM($H$5:$H$14)</f>
        <v>1.1538461538461537</v>
      </c>
      <c r="J6" s="125">
        <f t="shared" ref="J6:J14" si="1">IF(F6="X",((H6*10)/SUM($H$5:$H$14)),0)</f>
        <v>1.1538461538461537</v>
      </c>
    </row>
    <row r="7" spans="1:10" ht="35.25" customHeight="1">
      <c r="A7" s="52">
        <v>3</v>
      </c>
      <c r="B7" s="122" t="s">
        <v>180</v>
      </c>
      <c r="C7" s="122"/>
      <c r="D7" s="122"/>
      <c r="E7" s="123"/>
      <c r="F7" s="123" t="s">
        <v>63</v>
      </c>
      <c r="G7" s="123"/>
      <c r="H7" s="123">
        <v>6</v>
      </c>
      <c r="I7" s="124">
        <f t="shared" si="0"/>
        <v>1.1538461538461537</v>
      </c>
      <c r="J7" s="125">
        <f t="shared" si="1"/>
        <v>1.1538461538461537</v>
      </c>
    </row>
    <row r="8" spans="1:10" ht="31.5" customHeight="1">
      <c r="A8" s="52">
        <v>4</v>
      </c>
      <c r="B8" s="122" t="s">
        <v>181</v>
      </c>
      <c r="C8" s="122"/>
      <c r="D8" s="122"/>
      <c r="E8" s="123"/>
      <c r="F8" s="123" t="s">
        <v>63</v>
      </c>
      <c r="G8" s="123"/>
      <c r="H8" s="123">
        <v>10</v>
      </c>
      <c r="I8" s="124">
        <f t="shared" si="0"/>
        <v>1.9230769230769231</v>
      </c>
      <c r="J8" s="125">
        <f t="shared" si="1"/>
        <v>1.9230769230769231</v>
      </c>
    </row>
    <row r="9" spans="1:10" ht="31.5" customHeight="1">
      <c r="A9" s="52">
        <v>5</v>
      </c>
      <c r="B9" s="122" t="s">
        <v>182</v>
      </c>
      <c r="C9" s="122"/>
      <c r="D9" s="122"/>
      <c r="E9" s="123" t="s">
        <v>63</v>
      </c>
      <c r="F9" s="123"/>
      <c r="G9" s="123"/>
      <c r="H9" s="123">
        <v>2</v>
      </c>
      <c r="I9" s="124">
        <f t="shared" si="0"/>
        <v>0.38461538461538464</v>
      </c>
      <c r="J9" s="125">
        <f t="shared" si="1"/>
        <v>0</v>
      </c>
    </row>
    <row r="10" spans="1:10" ht="58.5" customHeight="1">
      <c r="A10" s="52">
        <v>6</v>
      </c>
      <c r="B10" s="122" t="s">
        <v>183</v>
      </c>
      <c r="C10" s="122"/>
      <c r="D10" s="122"/>
      <c r="E10" s="123"/>
      <c r="F10" s="123" t="s">
        <v>63</v>
      </c>
      <c r="G10" s="123"/>
      <c r="H10" s="123">
        <v>6</v>
      </c>
      <c r="I10" s="124">
        <f t="shared" si="0"/>
        <v>1.1538461538461537</v>
      </c>
      <c r="J10" s="125">
        <f t="shared" si="1"/>
        <v>1.1538461538461537</v>
      </c>
    </row>
    <row r="11" spans="1:10" ht="31.5" customHeight="1">
      <c r="A11" s="52">
        <v>7</v>
      </c>
      <c r="B11" s="122" t="s">
        <v>184</v>
      </c>
      <c r="C11" s="122"/>
      <c r="D11" s="122"/>
      <c r="E11" s="123"/>
      <c r="F11" s="123" t="s">
        <v>63</v>
      </c>
      <c r="G11" s="123"/>
      <c r="H11" s="123">
        <v>2</v>
      </c>
      <c r="I11" s="124">
        <f t="shared" si="0"/>
        <v>0.38461538461538464</v>
      </c>
      <c r="J11" s="125">
        <f t="shared" si="1"/>
        <v>0.38461538461538464</v>
      </c>
    </row>
    <row r="12" spans="1:10" ht="43.5" customHeight="1">
      <c r="A12" s="52">
        <v>8</v>
      </c>
      <c r="B12" s="122" t="s">
        <v>185</v>
      </c>
      <c r="C12" s="122"/>
      <c r="D12" s="122"/>
      <c r="E12" s="123"/>
      <c r="F12" s="123" t="s">
        <v>63</v>
      </c>
      <c r="G12" s="123"/>
      <c r="H12" s="123">
        <v>2</v>
      </c>
      <c r="I12" s="124">
        <f t="shared" si="0"/>
        <v>0.38461538461538464</v>
      </c>
      <c r="J12" s="125">
        <f t="shared" si="1"/>
        <v>0.38461538461538464</v>
      </c>
    </row>
    <row r="13" spans="1:10" ht="31.5" customHeight="1">
      <c r="A13" s="52">
        <v>9</v>
      </c>
      <c r="B13" s="122" t="s">
        <v>186</v>
      </c>
      <c r="C13" s="122"/>
      <c r="D13" s="122"/>
      <c r="E13" s="123"/>
      <c r="F13" s="123" t="s">
        <v>63</v>
      </c>
      <c r="G13" s="123"/>
      <c r="H13" s="123">
        <v>2</v>
      </c>
      <c r="I13" s="124">
        <f t="shared" si="0"/>
        <v>0.38461538461538464</v>
      </c>
      <c r="J13" s="125">
        <f t="shared" si="1"/>
        <v>0.38461538461538464</v>
      </c>
    </row>
    <row r="14" spans="1:10" ht="45.75" customHeight="1">
      <c r="A14" s="52">
        <v>10</v>
      </c>
      <c r="B14" s="122" t="s">
        <v>187</v>
      </c>
      <c r="C14" s="122"/>
      <c r="D14" s="122"/>
      <c r="E14" s="123"/>
      <c r="F14" s="123" t="s">
        <v>63</v>
      </c>
      <c r="G14" s="123"/>
      <c r="H14" s="123">
        <v>6</v>
      </c>
      <c r="I14" s="124">
        <f t="shared" si="0"/>
        <v>1.1538461538461537</v>
      </c>
      <c r="J14" s="125">
        <f t="shared" si="1"/>
        <v>1.1538461538461537</v>
      </c>
    </row>
    <row r="15" spans="1:10" ht="15" customHeight="1">
      <c r="A15" s="83" t="s">
        <v>71</v>
      </c>
      <c r="B15" s="83"/>
      <c r="C15" s="83"/>
      <c r="D15" s="83"/>
      <c r="E15" s="83"/>
      <c r="F15" s="83"/>
      <c r="G15" s="83"/>
      <c r="H15" s="83"/>
      <c r="I15" s="28">
        <f>SUM(I5:I14)</f>
        <v>10</v>
      </c>
      <c r="J15" s="19">
        <f>SUM(J5:J14)</f>
        <v>9.615384615384615</v>
      </c>
    </row>
  </sheetData>
  <mergeCells count="18">
    <mergeCell ref="A15:H15"/>
    <mergeCell ref="B8:D8"/>
    <mergeCell ref="B9:D9"/>
    <mergeCell ref="B10:D10"/>
    <mergeCell ref="B11:D11"/>
    <mergeCell ref="B12:D12"/>
    <mergeCell ref="B13:D13"/>
    <mergeCell ref="A1:B1"/>
    <mergeCell ref="A2:B2"/>
    <mergeCell ref="C1:J1"/>
    <mergeCell ref="C2:J2"/>
    <mergeCell ref="B14:D14"/>
    <mergeCell ref="B7:D7"/>
    <mergeCell ref="A3:B3"/>
    <mergeCell ref="E3:J3"/>
    <mergeCell ref="B4:D4"/>
    <mergeCell ref="B5:D5"/>
    <mergeCell ref="B6:D6"/>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23003-4DAD-4896-AE9F-8F51935EBDFE}">
  <sheetPr>
    <tabColor rgb="FFFFFF00"/>
  </sheetPr>
  <dimension ref="A1:J15"/>
  <sheetViews>
    <sheetView workbookViewId="0">
      <selection activeCell="C2" sqref="C2:J2"/>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38</v>
      </c>
      <c r="D2" s="74"/>
      <c r="E2" s="74"/>
      <c r="F2" s="74"/>
      <c r="G2" s="74"/>
      <c r="H2" s="74"/>
      <c r="I2" s="74"/>
      <c r="J2" s="75"/>
    </row>
    <row r="3" spans="1:10" ht="90">
      <c r="A3" s="70" t="s">
        <v>81</v>
      </c>
      <c r="B3" s="70"/>
      <c r="C3" s="18" t="s">
        <v>93</v>
      </c>
      <c r="D3" s="55" t="s">
        <v>188</v>
      </c>
      <c r="E3" s="122" t="s">
        <v>189</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7.25" customHeight="1">
      <c r="A5" s="52">
        <v>1</v>
      </c>
      <c r="B5" s="122" t="s">
        <v>190</v>
      </c>
      <c r="C5" s="122"/>
      <c r="D5" s="122"/>
      <c r="E5" s="123"/>
      <c r="F5" s="123" t="s">
        <v>63</v>
      </c>
      <c r="G5" s="123"/>
      <c r="H5" s="123">
        <v>6</v>
      </c>
      <c r="I5" s="124">
        <f>(H5*10)/SUM($H$5:$H$14)</f>
        <v>1.5</v>
      </c>
      <c r="J5" s="125">
        <f>IF(F5="X",((H5*10)/SUM($H$5:$H$14)),0)</f>
        <v>1.5</v>
      </c>
    </row>
    <row r="6" spans="1:10" ht="44.25" customHeight="1">
      <c r="A6" s="52">
        <v>2</v>
      </c>
      <c r="B6" s="122" t="s">
        <v>191</v>
      </c>
      <c r="C6" s="122"/>
      <c r="D6" s="122"/>
      <c r="E6" s="123" t="s">
        <v>63</v>
      </c>
      <c r="F6" s="123"/>
      <c r="G6" s="123"/>
      <c r="H6" s="123">
        <v>6</v>
      </c>
      <c r="I6" s="124">
        <f t="shared" ref="I6:I14" si="0">(H6*10)/SUM($H$5:$H$14)</f>
        <v>1.5</v>
      </c>
      <c r="J6" s="125">
        <f t="shared" ref="J6:J14" si="1">IF(F6="X",((H6*10)/SUM($H$5:$H$14)),0)</f>
        <v>0</v>
      </c>
    </row>
    <row r="7" spans="1:10" ht="43.5" customHeight="1">
      <c r="A7" s="52">
        <v>3</v>
      </c>
      <c r="B7" s="122" t="s">
        <v>192</v>
      </c>
      <c r="C7" s="122"/>
      <c r="D7" s="122"/>
      <c r="E7" s="123"/>
      <c r="F7" s="123" t="s">
        <v>63</v>
      </c>
      <c r="G7" s="123"/>
      <c r="H7" s="123">
        <v>2</v>
      </c>
      <c r="I7" s="124">
        <f t="shared" si="0"/>
        <v>0.5</v>
      </c>
      <c r="J7" s="125">
        <f t="shared" si="1"/>
        <v>0.5</v>
      </c>
    </row>
    <row r="8" spans="1:10" ht="15">
      <c r="A8" s="52">
        <v>4</v>
      </c>
      <c r="B8" s="122" t="s">
        <v>193</v>
      </c>
      <c r="C8" s="122"/>
      <c r="D8" s="122"/>
      <c r="E8" s="123" t="s">
        <v>63</v>
      </c>
      <c r="F8" s="123"/>
      <c r="G8" s="123"/>
      <c r="H8" s="123">
        <v>2</v>
      </c>
      <c r="I8" s="124">
        <f t="shared" si="0"/>
        <v>0.5</v>
      </c>
      <c r="J8" s="125">
        <f t="shared" si="1"/>
        <v>0</v>
      </c>
    </row>
    <row r="9" spans="1:10" ht="31.5" customHeight="1">
      <c r="A9" s="52">
        <v>5</v>
      </c>
      <c r="B9" s="122" t="s">
        <v>194</v>
      </c>
      <c r="C9" s="122"/>
      <c r="D9" s="122"/>
      <c r="E9" s="123"/>
      <c r="F9" s="123" t="s">
        <v>63</v>
      </c>
      <c r="G9" s="123"/>
      <c r="H9" s="123">
        <v>2</v>
      </c>
      <c r="I9" s="124">
        <f t="shared" si="0"/>
        <v>0.5</v>
      </c>
      <c r="J9" s="125">
        <f t="shared" si="1"/>
        <v>0.5</v>
      </c>
    </row>
    <row r="10" spans="1:10" ht="42.75" customHeight="1">
      <c r="A10" s="52">
        <v>6</v>
      </c>
      <c r="B10" s="122" t="s">
        <v>195</v>
      </c>
      <c r="C10" s="122"/>
      <c r="D10" s="122"/>
      <c r="E10" s="123"/>
      <c r="F10" s="123" t="s">
        <v>63</v>
      </c>
      <c r="G10" s="123"/>
      <c r="H10" s="123">
        <v>2</v>
      </c>
      <c r="I10" s="124">
        <f t="shared" si="0"/>
        <v>0.5</v>
      </c>
      <c r="J10" s="125">
        <f t="shared" si="1"/>
        <v>0.5</v>
      </c>
    </row>
    <row r="11" spans="1:10" ht="29.25" customHeight="1">
      <c r="A11" s="52">
        <v>7</v>
      </c>
      <c r="B11" s="122" t="s">
        <v>196</v>
      </c>
      <c r="C11" s="122"/>
      <c r="D11" s="122"/>
      <c r="E11" s="123"/>
      <c r="F11" s="123" t="s">
        <v>63</v>
      </c>
      <c r="G11" s="123"/>
      <c r="H11" s="123">
        <v>6</v>
      </c>
      <c r="I11" s="124">
        <f t="shared" si="0"/>
        <v>1.5</v>
      </c>
      <c r="J11" s="125">
        <f t="shared" si="1"/>
        <v>1.5</v>
      </c>
    </row>
    <row r="12" spans="1:10" ht="44.25" customHeight="1">
      <c r="A12" s="52">
        <v>8</v>
      </c>
      <c r="B12" s="122" t="s">
        <v>197</v>
      </c>
      <c r="C12" s="122"/>
      <c r="D12" s="122"/>
      <c r="E12" s="123" t="s">
        <v>63</v>
      </c>
      <c r="F12" s="123"/>
      <c r="G12" s="123"/>
      <c r="H12" s="123">
        <v>6</v>
      </c>
      <c r="I12" s="124">
        <f t="shared" si="0"/>
        <v>1.5</v>
      </c>
      <c r="J12" s="125">
        <f t="shared" si="1"/>
        <v>0</v>
      </c>
    </row>
    <row r="13" spans="1:10" ht="31.5" customHeight="1">
      <c r="A13" s="52">
        <v>9</v>
      </c>
      <c r="B13" s="122" t="s">
        <v>198</v>
      </c>
      <c r="C13" s="122"/>
      <c r="D13" s="122"/>
      <c r="E13" s="123"/>
      <c r="F13" s="123" t="s">
        <v>63</v>
      </c>
      <c r="G13" s="123"/>
      <c r="H13" s="123">
        <v>2</v>
      </c>
      <c r="I13" s="124">
        <f t="shared" si="0"/>
        <v>0.5</v>
      </c>
      <c r="J13" s="125">
        <f t="shared" si="1"/>
        <v>0.5</v>
      </c>
    </row>
    <row r="14" spans="1:10" ht="60" customHeight="1">
      <c r="A14" s="52">
        <v>10</v>
      </c>
      <c r="B14" s="122" t="s">
        <v>199</v>
      </c>
      <c r="C14" s="122"/>
      <c r="D14" s="122"/>
      <c r="E14" s="123"/>
      <c r="F14" s="123" t="s">
        <v>63</v>
      </c>
      <c r="G14" s="123"/>
      <c r="H14" s="123">
        <v>6</v>
      </c>
      <c r="I14" s="124">
        <f t="shared" si="0"/>
        <v>1.5</v>
      </c>
      <c r="J14" s="125">
        <f t="shared" si="1"/>
        <v>1.5</v>
      </c>
    </row>
    <row r="15" spans="1:10" ht="15" customHeight="1">
      <c r="A15" s="83" t="s">
        <v>71</v>
      </c>
      <c r="B15" s="83"/>
      <c r="C15" s="83"/>
      <c r="D15" s="83"/>
      <c r="E15" s="83"/>
      <c r="F15" s="83"/>
      <c r="G15" s="83"/>
      <c r="H15" s="83"/>
      <c r="I15" s="28">
        <f>SUM(I5:I14)</f>
        <v>10</v>
      </c>
      <c r="J15" s="19">
        <f>SUM(J5:J14)</f>
        <v>6.5</v>
      </c>
    </row>
  </sheetData>
  <mergeCells count="18">
    <mergeCell ref="A15:H15"/>
    <mergeCell ref="B8:D8"/>
    <mergeCell ref="B9:D9"/>
    <mergeCell ref="B10:D10"/>
    <mergeCell ref="B11:D11"/>
    <mergeCell ref="B12:D12"/>
    <mergeCell ref="B13:D13"/>
    <mergeCell ref="A1:B1"/>
    <mergeCell ref="A2:B2"/>
    <mergeCell ref="C1:J1"/>
    <mergeCell ref="C2:J2"/>
    <mergeCell ref="B14:D14"/>
    <mergeCell ref="B7:D7"/>
    <mergeCell ref="A3:B3"/>
    <mergeCell ref="E3:J3"/>
    <mergeCell ref="B4:D4"/>
    <mergeCell ref="B5:D5"/>
    <mergeCell ref="B6:D6"/>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949DD-A523-49EC-9034-BE7A7F526663}">
  <sheetPr>
    <tabColor rgb="FFFFFF00"/>
  </sheetPr>
  <dimension ref="A1:J20"/>
  <sheetViews>
    <sheetView workbookViewId="0">
      <selection activeCell="C2" sqref="C2:J2"/>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38</v>
      </c>
      <c r="D2" s="74"/>
      <c r="E2" s="74"/>
      <c r="F2" s="74"/>
      <c r="G2" s="74"/>
      <c r="H2" s="74"/>
      <c r="I2" s="74"/>
      <c r="J2" s="75"/>
    </row>
    <row r="3" spans="1:10" ht="30">
      <c r="A3" s="70" t="s">
        <v>81</v>
      </c>
      <c r="B3" s="70"/>
      <c r="C3" s="18" t="s">
        <v>200</v>
      </c>
      <c r="D3" s="55" t="s">
        <v>201</v>
      </c>
      <c r="E3" s="122" t="s">
        <v>202</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7.25" customHeight="1">
      <c r="A5" s="52">
        <v>1</v>
      </c>
      <c r="B5" s="122" t="s">
        <v>203</v>
      </c>
      <c r="C5" s="122"/>
      <c r="D5" s="122"/>
      <c r="E5" s="123"/>
      <c r="F5" s="123" t="s">
        <v>63</v>
      </c>
      <c r="G5" s="123"/>
      <c r="H5" s="123">
        <v>10</v>
      </c>
      <c r="I5" s="124">
        <f>(H5*10)/SUM($H$5:$H$19)</f>
        <v>1.3513513513513513</v>
      </c>
      <c r="J5" s="125">
        <f>IF(F5="X",((H5*10)/SUM($H$5:$H$19)),0)</f>
        <v>1.3513513513513513</v>
      </c>
    </row>
    <row r="6" spans="1:10" ht="47.25" customHeight="1">
      <c r="A6" s="52">
        <v>2</v>
      </c>
      <c r="B6" s="122" t="s">
        <v>204</v>
      </c>
      <c r="C6" s="122"/>
      <c r="D6" s="122"/>
      <c r="E6" s="123"/>
      <c r="F6" s="123" t="s">
        <v>63</v>
      </c>
      <c r="G6" s="123"/>
      <c r="H6" s="123">
        <v>6</v>
      </c>
      <c r="I6" s="124">
        <f t="shared" ref="I6:I19" si="0">(H6*10)/SUM($H$5:$H$19)</f>
        <v>0.81081081081081086</v>
      </c>
      <c r="J6" s="125">
        <f t="shared" ref="J6:J19" si="1">IF(F6="X",((H6*10)/SUM($H$5:$H$19)),0)</f>
        <v>0.81081081081081086</v>
      </c>
    </row>
    <row r="7" spans="1:10" ht="31.5" customHeight="1">
      <c r="A7" s="52">
        <v>3</v>
      </c>
      <c r="B7" s="122" t="s">
        <v>205</v>
      </c>
      <c r="C7" s="122"/>
      <c r="D7" s="122"/>
      <c r="E7" s="123"/>
      <c r="F7" s="123" t="s">
        <v>63</v>
      </c>
      <c r="G7" s="123"/>
      <c r="H7" s="123">
        <v>10</v>
      </c>
      <c r="I7" s="124">
        <f t="shared" si="0"/>
        <v>1.3513513513513513</v>
      </c>
      <c r="J7" s="125">
        <f t="shared" si="1"/>
        <v>1.3513513513513513</v>
      </c>
    </row>
    <row r="8" spans="1:10" ht="47.25" customHeight="1">
      <c r="A8" s="52">
        <v>4</v>
      </c>
      <c r="B8" s="122" t="s">
        <v>206</v>
      </c>
      <c r="C8" s="122"/>
      <c r="D8" s="122"/>
      <c r="E8" s="123"/>
      <c r="F8" s="123" t="s">
        <v>63</v>
      </c>
      <c r="G8" s="123"/>
      <c r="H8" s="123">
        <v>10</v>
      </c>
      <c r="I8" s="124">
        <f t="shared" si="0"/>
        <v>1.3513513513513513</v>
      </c>
      <c r="J8" s="125">
        <f t="shared" si="1"/>
        <v>1.3513513513513513</v>
      </c>
    </row>
    <row r="9" spans="1:10" ht="47.25" customHeight="1">
      <c r="A9" s="52">
        <v>5</v>
      </c>
      <c r="B9" s="122" t="s">
        <v>207</v>
      </c>
      <c r="C9" s="122"/>
      <c r="D9" s="122"/>
      <c r="E9" s="123"/>
      <c r="F9" s="123" t="s">
        <v>63</v>
      </c>
      <c r="G9" s="123"/>
      <c r="H9" s="123">
        <v>6</v>
      </c>
      <c r="I9" s="124">
        <f t="shared" si="0"/>
        <v>0.81081081081081086</v>
      </c>
      <c r="J9" s="125">
        <f t="shared" si="1"/>
        <v>0.81081081081081086</v>
      </c>
    </row>
    <row r="10" spans="1:10" ht="31.5" customHeight="1">
      <c r="A10" s="52">
        <v>6</v>
      </c>
      <c r="B10" s="122" t="s">
        <v>208</v>
      </c>
      <c r="C10" s="122"/>
      <c r="D10" s="122"/>
      <c r="E10" s="123"/>
      <c r="F10" s="123" t="s">
        <v>63</v>
      </c>
      <c r="G10" s="123"/>
      <c r="H10" s="123">
        <v>2</v>
      </c>
      <c r="I10" s="124">
        <f t="shared" si="0"/>
        <v>0.27027027027027029</v>
      </c>
      <c r="J10" s="125">
        <f t="shared" si="1"/>
        <v>0.27027027027027029</v>
      </c>
    </row>
    <row r="11" spans="1:10" ht="47.25" customHeight="1">
      <c r="A11" s="52">
        <v>7</v>
      </c>
      <c r="B11" s="122" t="s">
        <v>209</v>
      </c>
      <c r="C11" s="122"/>
      <c r="D11" s="122"/>
      <c r="E11" s="123" t="s">
        <v>63</v>
      </c>
      <c r="F11" s="123"/>
      <c r="G11" s="123"/>
      <c r="H11" s="123">
        <v>6</v>
      </c>
      <c r="I11" s="124">
        <f t="shared" si="0"/>
        <v>0.81081081081081086</v>
      </c>
      <c r="J11" s="125">
        <f t="shared" si="1"/>
        <v>0</v>
      </c>
    </row>
    <row r="12" spans="1:10" ht="47.25" customHeight="1">
      <c r="A12" s="52">
        <v>8</v>
      </c>
      <c r="B12" s="122" t="s">
        <v>210</v>
      </c>
      <c r="C12" s="122"/>
      <c r="D12" s="122"/>
      <c r="E12" s="123" t="s">
        <v>63</v>
      </c>
      <c r="F12" s="123"/>
      <c r="G12" s="123"/>
      <c r="H12" s="123">
        <v>2</v>
      </c>
      <c r="I12" s="124">
        <f t="shared" si="0"/>
        <v>0.27027027027027029</v>
      </c>
      <c r="J12" s="125">
        <f t="shared" si="1"/>
        <v>0</v>
      </c>
    </row>
    <row r="13" spans="1:10" ht="45" customHeight="1">
      <c r="A13" s="52">
        <v>9</v>
      </c>
      <c r="B13" s="122" t="s">
        <v>211</v>
      </c>
      <c r="C13" s="122"/>
      <c r="D13" s="122"/>
      <c r="E13" s="123"/>
      <c r="F13" s="123" t="s">
        <v>63</v>
      </c>
      <c r="G13" s="123"/>
      <c r="H13" s="123">
        <v>2</v>
      </c>
      <c r="I13" s="124">
        <f t="shared" si="0"/>
        <v>0.27027027027027029</v>
      </c>
      <c r="J13" s="125">
        <f t="shared" si="1"/>
        <v>0.27027027027027029</v>
      </c>
    </row>
    <row r="14" spans="1:10" ht="31.5" customHeight="1">
      <c r="A14" s="52">
        <v>10</v>
      </c>
      <c r="B14" s="122" t="s">
        <v>212</v>
      </c>
      <c r="C14" s="122"/>
      <c r="D14" s="122"/>
      <c r="E14" s="123"/>
      <c r="F14" s="123" t="s">
        <v>63</v>
      </c>
      <c r="G14" s="123"/>
      <c r="H14" s="123">
        <v>2</v>
      </c>
      <c r="I14" s="124">
        <f t="shared" si="0"/>
        <v>0.27027027027027029</v>
      </c>
      <c r="J14" s="125">
        <f t="shared" si="1"/>
        <v>0.27027027027027029</v>
      </c>
    </row>
    <row r="15" spans="1:10" ht="43.5" customHeight="1">
      <c r="A15" s="52">
        <v>11</v>
      </c>
      <c r="B15" s="122" t="s">
        <v>213</v>
      </c>
      <c r="C15" s="122"/>
      <c r="D15" s="122"/>
      <c r="E15" s="123"/>
      <c r="F15" s="123" t="s">
        <v>63</v>
      </c>
      <c r="G15" s="123"/>
      <c r="H15" s="123">
        <v>2</v>
      </c>
      <c r="I15" s="124">
        <f t="shared" si="0"/>
        <v>0.27027027027027029</v>
      </c>
      <c r="J15" s="125">
        <f t="shared" si="1"/>
        <v>0.27027027027027029</v>
      </c>
    </row>
    <row r="16" spans="1:10" ht="31.5" customHeight="1">
      <c r="A16" s="52">
        <v>12</v>
      </c>
      <c r="B16" s="122" t="s">
        <v>214</v>
      </c>
      <c r="C16" s="122"/>
      <c r="D16" s="122"/>
      <c r="E16" s="123"/>
      <c r="F16" s="123" t="s">
        <v>63</v>
      </c>
      <c r="G16" s="123"/>
      <c r="H16" s="123">
        <v>6</v>
      </c>
      <c r="I16" s="124">
        <f t="shared" si="0"/>
        <v>0.81081081081081086</v>
      </c>
      <c r="J16" s="125">
        <f t="shared" si="1"/>
        <v>0.81081081081081086</v>
      </c>
    </row>
    <row r="17" spans="1:10" ht="47.25" customHeight="1">
      <c r="A17" s="52">
        <v>13</v>
      </c>
      <c r="B17" s="122" t="s">
        <v>215</v>
      </c>
      <c r="C17" s="122"/>
      <c r="D17" s="122"/>
      <c r="E17" s="123"/>
      <c r="F17" s="123" t="s">
        <v>63</v>
      </c>
      <c r="G17" s="123"/>
      <c r="H17" s="123">
        <v>6</v>
      </c>
      <c r="I17" s="124">
        <f t="shared" si="0"/>
        <v>0.81081081081081086</v>
      </c>
      <c r="J17" s="125">
        <f t="shared" si="1"/>
        <v>0.81081081081081086</v>
      </c>
    </row>
    <row r="18" spans="1:10" ht="31.5" customHeight="1">
      <c r="A18" s="52">
        <v>14</v>
      </c>
      <c r="B18" s="122" t="s">
        <v>216</v>
      </c>
      <c r="C18" s="122"/>
      <c r="D18" s="122"/>
      <c r="E18" s="123" t="s">
        <v>63</v>
      </c>
      <c r="F18" s="123"/>
      <c r="G18" s="123"/>
      <c r="H18" s="123">
        <v>2</v>
      </c>
      <c r="I18" s="124">
        <f t="shared" si="0"/>
        <v>0.27027027027027029</v>
      </c>
      <c r="J18" s="125">
        <f t="shared" si="1"/>
        <v>0</v>
      </c>
    </row>
    <row r="19" spans="1:10" ht="47.25" customHeight="1">
      <c r="A19" s="52">
        <v>15</v>
      </c>
      <c r="B19" s="122" t="s">
        <v>217</v>
      </c>
      <c r="C19" s="122"/>
      <c r="D19" s="122"/>
      <c r="E19" s="123" t="s">
        <v>63</v>
      </c>
      <c r="F19" s="123"/>
      <c r="G19" s="123"/>
      <c r="H19" s="123">
        <v>2</v>
      </c>
      <c r="I19" s="124">
        <f t="shared" si="0"/>
        <v>0.27027027027027029</v>
      </c>
      <c r="J19" s="125">
        <f t="shared" si="1"/>
        <v>0</v>
      </c>
    </row>
    <row r="20" spans="1:10" ht="15" customHeight="1">
      <c r="A20" s="83" t="s">
        <v>71</v>
      </c>
      <c r="B20" s="83"/>
      <c r="C20" s="83"/>
      <c r="D20" s="83"/>
      <c r="E20" s="83"/>
      <c r="F20" s="83"/>
      <c r="G20" s="83"/>
      <c r="H20" s="83"/>
      <c r="I20" s="28">
        <f>SUM(I5:I19)</f>
        <v>9.9999999999999982</v>
      </c>
      <c r="J20" s="19">
        <f>SUM(J5:J19)</f>
        <v>8.3783783783783772</v>
      </c>
    </row>
  </sheetData>
  <mergeCells count="23">
    <mergeCell ref="B11:D11"/>
    <mergeCell ref="B12:D12"/>
    <mergeCell ref="B6:D6"/>
    <mergeCell ref="B7:D7"/>
    <mergeCell ref="B8:D8"/>
    <mergeCell ref="B9:D9"/>
    <mergeCell ref="B10:D10"/>
    <mergeCell ref="A1:B1"/>
    <mergeCell ref="A2:B2"/>
    <mergeCell ref="C1:J1"/>
    <mergeCell ref="C2:J2"/>
    <mergeCell ref="A20:H20"/>
    <mergeCell ref="B14:D14"/>
    <mergeCell ref="B15:D15"/>
    <mergeCell ref="B16:D16"/>
    <mergeCell ref="B17:D17"/>
    <mergeCell ref="B18:D18"/>
    <mergeCell ref="B19:D19"/>
    <mergeCell ref="B13:D13"/>
    <mergeCell ref="A3:B3"/>
    <mergeCell ref="E3:J3"/>
    <mergeCell ref="B4:D4"/>
    <mergeCell ref="B5:D5"/>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76E76-02B3-4C5D-8B7E-95CAB9F85D42}">
  <sheetPr>
    <tabColor rgb="FFFFFF00"/>
  </sheetPr>
  <dimension ref="A1:I15"/>
  <sheetViews>
    <sheetView workbookViewId="0">
      <selection activeCell="C2" sqref="C2:I2"/>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52</v>
      </c>
      <c r="D1" s="120"/>
      <c r="E1" s="120"/>
      <c r="F1" s="120"/>
      <c r="G1" s="120"/>
      <c r="H1" s="120"/>
      <c r="I1" s="121"/>
    </row>
    <row r="2" spans="1:9" ht="15">
      <c r="A2" s="70" t="s">
        <v>0</v>
      </c>
      <c r="B2" s="70"/>
      <c r="C2" s="84" t="s">
        <v>38</v>
      </c>
      <c r="D2" s="120"/>
      <c r="E2" s="120"/>
      <c r="F2" s="120"/>
      <c r="G2" s="120"/>
      <c r="H2" s="120"/>
      <c r="I2" s="121"/>
    </row>
    <row r="3" spans="1:9" ht="15">
      <c r="A3" s="70" t="s">
        <v>218</v>
      </c>
      <c r="B3" s="70"/>
      <c r="C3" s="55" t="s">
        <v>219</v>
      </c>
      <c r="D3" s="122">
        <v>130</v>
      </c>
      <c r="E3" s="122"/>
      <c r="F3" s="122"/>
      <c r="G3" s="122"/>
      <c r="H3" s="122"/>
      <c r="I3" s="122"/>
    </row>
    <row r="4" spans="1:9" ht="60">
      <c r="A4" s="52" t="s">
        <v>55</v>
      </c>
      <c r="B4" s="70" t="s">
        <v>56</v>
      </c>
      <c r="C4" s="70"/>
      <c r="D4" s="52" t="s">
        <v>24</v>
      </c>
      <c r="E4" s="52" t="s">
        <v>57</v>
      </c>
      <c r="F4" s="52" t="s">
        <v>58</v>
      </c>
      <c r="G4" s="52" t="s">
        <v>59</v>
      </c>
      <c r="H4" s="52" t="s">
        <v>60</v>
      </c>
      <c r="I4" s="52" t="s">
        <v>61</v>
      </c>
    </row>
    <row r="5" spans="1:9" ht="42.75" customHeight="1">
      <c r="A5" s="52">
        <v>1</v>
      </c>
      <c r="B5" s="122" t="s">
        <v>220</v>
      </c>
      <c r="C5" s="122"/>
      <c r="D5" s="123"/>
      <c r="E5" s="123" t="s">
        <v>63</v>
      </c>
      <c r="F5" s="123"/>
      <c r="G5" s="123">
        <v>10</v>
      </c>
      <c r="H5" s="124">
        <f>(G5*10)/SUM($G$5:$G$14)</f>
        <v>1.0869565217391304</v>
      </c>
      <c r="I5" s="125">
        <f>IF(E5="X",((G5*10)/SUM($G$5:$G$14)),0)</f>
        <v>1.0869565217391304</v>
      </c>
    </row>
    <row r="6" spans="1:9" ht="45" customHeight="1">
      <c r="A6" s="52">
        <v>2</v>
      </c>
      <c r="B6" s="122" t="s">
        <v>221</v>
      </c>
      <c r="C6" s="122"/>
      <c r="D6" s="123"/>
      <c r="E6" s="123" t="s">
        <v>63</v>
      </c>
      <c r="F6" s="123"/>
      <c r="G6" s="123">
        <v>6</v>
      </c>
      <c r="H6" s="124">
        <f t="shared" ref="H6:H14" si="0">(G6*10)/SUM($G$5:$G$14)</f>
        <v>0.65217391304347827</v>
      </c>
      <c r="I6" s="125">
        <f t="shared" ref="I6:I14" si="1">IF(E6="X",((G6*10)/SUM($G$5:$G$14)),0)</f>
        <v>0.65217391304347827</v>
      </c>
    </row>
    <row r="7" spans="1:9" ht="31.5" customHeight="1">
      <c r="A7" s="52">
        <v>3</v>
      </c>
      <c r="B7" s="122" t="s">
        <v>222</v>
      </c>
      <c r="C7" s="122"/>
      <c r="D7" s="123"/>
      <c r="E7" s="123" t="s">
        <v>63</v>
      </c>
      <c r="F7" s="123"/>
      <c r="G7" s="123">
        <v>6</v>
      </c>
      <c r="H7" s="124">
        <f t="shared" si="0"/>
        <v>0.65217391304347827</v>
      </c>
      <c r="I7" s="125">
        <f t="shared" si="1"/>
        <v>0.65217391304347827</v>
      </c>
    </row>
    <row r="8" spans="1:9" ht="58.5" customHeight="1">
      <c r="A8" s="52">
        <v>4</v>
      </c>
      <c r="B8" s="122" t="s">
        <v>223</v>
      </c>
      <c r="C8" s="122"/>
      <c r="D8" s="123"/>
      <c r="E8" s="123" t="s">
        <v>63</v>
      </c>
      <c r="F8" s="123"/>
      <c r="G8" s="123">
        <v>10</v>
      </c>
      <c r="H8" s="124">
        <f t="shared" si="0"/>
        <v>1.0869565217391304</v>
      </c>
      <c r="I8" s="125">
        <f t="shared" si="1"/>
        <v>1.0869565217391304</v>
      </c>
    </row>
    <row r="9" spans="1:9" ht="47.25" customHeight="1">
      <c r="A9" s="52">
        <v>5</v>
      </c>
      <c r="B9" s="122" t="s">
        <v>224</v>
      </c>
      <c r="C9" s="122"/>
      <c r="D9" s="123"/>
      <c r="E9" s="123" t="s">
        <v>63</v>
      </c>
      <c r="F9" s="123"/>
      <c r="G9" s="123">
        <v>10</v>
      </c>
      <c r="H9" s="124">
        <f t="shared" si="0"/>
        <v>1.0869565217391304</v>
      </c>
      <c r="I9" s="125">
        <f t="shared" si="1"/>
        <v>1.0869565217391304</v>
      </c>
    </row>
    <row r="10" spans="1:9" ht="63" customHeight="1">
      <c r="A10" s="52">
        <v>6</v>
      </c>
      <c r="B10" s="122" t="s">
        <v>225</v>
      </c>
      <c r="C10" s="122"/>
      <c r="D10" s="123"/>
      <c r="E10" s="123" t="s">
        <v>63</v>
      </c>
      <c r="F10" s="123"/>
      <c r="G10" s="123">
        <v>10</v>
      </c>
      <c r="H10" s="124">
        <f t="shared" si="0"/>
        <v>1.0869565217391304</v>
      </c>
      <c r="I10" s="125">
        <f t="shared" si="1"/>
        <v>1.0869565217391304</v>
      </c>
    </row>
    <row r="11" spans="1:9" ht="47.25" customHeight="1">
      <c r="A11" s="52">
        <v>7</v>
      </c>
      <c r="B11" s="122" t="s">
        <v>226</v>
      </c>
      <c r="C11" s="122"/>
      <c r="D11" s="123"/>
      <c r="E11" s="123" t="s">
        <v>63</v>
      </c>
      <c r="F11" s="123"/>
      <c r="G11" s="123">
        <v>10</v>
      </c>
      <c r="H11" s="124">
        <f t="shared" si="0"/>
        <v>1.0869565217391304</v>
      </c>
      <c r="I11" s="125">
        <f t="shared" si="1"/>
        <v>1.0869565217391304</v>
      </c>
    </row>
    <row r="12" spans="1:9" ht="47.25" customHeight="1">
      <c r="A12" s="52">
        <v>8</v>
      </c>
      <c r="B12" s="122" t="s">
        <v>227</v>
      </c>
      <c r="C12" s="122"/>
      <c r="D12" s="123"/>
      <c r="E12" s="123" t="s">
        <v>63</v>
      </c>
      <c r="F12" s="123"/>
      <c r="G12" s="123">
        <v>10</v>
      </c>
      <c r="H12" s="124">
        <f t="shared" si="0"/>
        <v>1.0869565217391304</v>
      </c>
      <c r="I12" s="125">
        <f t="shared" si="1"/>
        <v>1.0869565217391304</v>
      </c>
    </row>
    <row r="13" spans="1:9" ht="47.25" customHeight="1">
      <c r="A13" s="52">
        <v>9</v>
      </c>
      <c r="B13" s="122" t="s">
        <v>228</v>
      </c>
      <c r="C13" s="122"/>
      <c r="D13" s="123"/>
      <c r="E13" s="123" t="s">
        <v>63</v>
      </c>
      <c r="F13" s="123"/>
      <c r="G13" s="123">
        <v>10</v>
      </c>
      <c r="H13" s="124">
        <f t="shared" si="0"/>
        <v>1.0869565217391304</v>
      </c>
      <c r="I13" s="125">
        <f t="shared" si="1"/>
        <v>1.0869565217391304</v>
      </c>
    </row>
    <row r="14" spans="1:9" ht="63" customHeight="1">
      <c r="A14" s="52">
        <v>10</v>
      </c>
      <c r="B14" s="122" t="s">
        <v>229</v>
      </c>
      <c r="C14" s="122"/>
      <c r="D14" s="123"/>
      <c r="E14" s="123" t="s">
        <v>63</v>
      </c>
      <c r="F14" s="123"/>
      <c r="G14" s="123">
        <v>10</v>
      </c>
      <c r="H14" s="124">
        <f t="shared" si="0"/>
        <v>1.0869565217391304</v>
      </c>
      <c r="I14" s="125">
        <f t="shared" si="1"/>
        <v>1.0869565217391304</v>
      </c>
    </row>
    <row r="15" spans="1:9" ht="15.75" customHeight="1">
      <c r="A15" s="83" t="s">
        <v>71</v>
      </c>
      <c r="B15" s="83"/>
      <c r="C15" s="83"/>
      <c r="D15" s="83"/>
      <c r="E15" s="83"/>
      <c r="F15" s="83"/>
      <c r="G15" s="83"/>
      <c r="H15" s="28">
        <f>SUM(H5:H14)</f>
        <v>10.000000000000002</v>
      </c>
      <c r="I15" s="20">
        <f>SUM(I5:I14)</f>
        <v>10.000000000000002</v>
      </c>
    </row>
  </sheetData>
  <mergeCells count="18">
    <mergeCell ref="B11:C11"/>
    <mergeCell ref="B12:C12"/>
    <mergeCell ref="B13:C13"/>
    <mergeCell ref="B14:C14"/>
    <mergeCell ref="A15:G15"/>
    <mergeCell ref="B10:C10"/>
    <mergeCell ref="A3:B3"/>
    <mergeCell ref="B4:C4"/>
    <mergeCell ref="B5:C5"/>
    <mergeCell ref="B6:C6"/>
    <mergeCell ref="B7:C7"/>
    <mergeCell ref="B8:C8"/>
    <mergeCell ref="B9:C9"/>
    <mergeCell ref="A1:B1"/>
    <mergeCell ref="A2:B2"/>
    <mergeCell ref="C1:I1"/>
    <mergeCell ref="C2:I2"/>
    <mergeCell ref="D3:I3"/>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3DC60-E816-47D4-9A8B-5381B8AA5DD0}">
  <sheetPr>
    <tabColor rgb="FFFFC000"/>
  </sheetPr>
  <dimension ref="A1:I13"/>
  <sheetViews>
    <sheetView workbookViewId="0">
      <selection activeCell="B6" sqref="A1:I13"/>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52</v>
      </c>
      <c r="D1" s="120"/>
      <c r="E1" s="120"/>
      <c r="F1" s="120"/>
      <c r="G1" s="120"/>
      <c r="H1" s="120"/>
      <c r="I1" s="121"/>
    </row>
    <row r="2" spans="1:9" ht="15">
      <c r="A2" s="70" t="s">
        <v>0</v>
      </c>
      <c r="B2" s="70"/>
      <c r="C2" s="84" t="s">
        <v>42</v>
      </c>
      <c r="D2" s="120"/>
      <c r="E2" s="120"/>
      <c r="F2" s="120"/>
      <c r="G2" s="120"/>
      <c r="H2" s="120"/>
      <c r="I2" s="121"/>
    </row>
    <row r="3" spans="1:9" ht="15">
      <c r="A3" s="70" t="s">
        <v>53</v>
      </c>
      <c r="B3" s="70"/>
      <c r="C3" s="55" t="s">
        <v>54</v>
      </c>
      <c r="D3" s="122">
        <v>330</v>
      </c>
      <c r="E3" s="122"/>
      <c r="F3" s="122"/>
      <c r="G3" s="122"/>
      <c r="H3" s="122"/>
      <c r="I3" s="122"/>
    </row>
    <row r="4" spans="1:9" ht="60">
      <c r="A4" s="52" t="s">
        <v>55</v>
      </c>
      <c r="B4" s="70" t="s">
        <v>56</v>
      </c>
      <c r="C4" s="70"/>
      <c r="D4" s="52" t="s">
        <v>24</v>
      </c>
      <c r="E4" s="52" t="s">
        <v>57</v>
      </c>
      <c r="F4" s="52" t="s">
        <v>58</v>
      </c>
      <c r="G4" s="52" t="s">
        <v>59</v>
      </c>
      <c r="H4" s="52" t="s">
        <v>60</v>
      </c>
      <c r="I4" s="52" t="s">
        <v>61</v>
      </c>
    </row>
    <row r="5" spans="1:9" ht="47.25" customHeight="1">
      <c r="A5" s="52">
        <v>1</v>
      </c>
      <c r="B5" s="122" t="s">
        <v>62</v>
      </c>
      <c r="C5" s="122"/>
      <c r="D5" s="123"/>
      <c r="E5" s="123" t="s">
        <v>63</v>
      </c>
      <c r="F5" s="123"/>
      <c r="G5" s="123">
        <v>10</v>
      </c>
      <c r="H5" s="124">
        <f>(G5*10)/SUM($G$5:$G$12)</f>
        <v>1.5625</v>
      </c>
      <c r="I5" s="125">
        <f t="shared" ref="I5:I12" si="0">IF(E5="X",((G5*10)/SUM($G$5:$G$12)),0)</f>
        <v>1.5625</v>
      </c>
    </row>
    <row r="6" spans="1:9" ht="63" customHeight="1">
      <c r="A6" s="52">
        <v>2</v>
      </c>
      <c r="B6" s="122" t="s">
        <v>64</v>
      </c>
      <c r="C6" s="122"/>
      <c r="D6" s="123"/>
      <c r="E6" s="123" t="s">
        <v>63</v>
      </c>
      <c r="F6" s="123"/>
      <c r="G6" s="123">
        <v>6</v>
      </c>
      <c r="H6" s="124">
        <f t="shared" ref="H6:H12" si="1">(G6*10)/SUM($G$5:$G$12)</f>
        <v>0.9375</v>
      </c>
      <c r="I6" s="125">
        <f t="shared" si="0"/>
        <v>0.9375</v>
      </c>
    </row>
    <row r="7" spans="1:9" ht="47.25" customHeight="1">
      <c r="A7" s="52">
        <v>3</v>
      </c>
      <c r="B7" s="122" t="s">
        <v>65</v>
      </c>
      <c r="C7" s="122"/>
      <c r="D7" s="123"/>
      <c r="E7" s="123" t="s">
        <v>63</v>
      </c>
      <c r="F7" s="123"/>
      <c r="G7" s="123">
        <v>10</v>
      </c>
      <c r="H7" s="124">
        <f t="shared" si="1"/>
        <v>1.5625</v>
      </c>
      <c r="I7" s="125">
        <f t="shared" si="0"/>
        <v>1.5625</v>
      </c>
    </row>
    <row r="8" spans="1:9" ht="47.25" customHeight="1">
      <c r="A8" s="52">
        <v>4</v>
      </c>
      <c r="B8" s="122" t="s">
        <v>66</v>
      </c>
      <c r="C8" s="122"/>
      <c r="D8" s="123"/>
      <c r="E8" s="123" t="s">
        <v>63</v>
      </c>
      <c r="F8" s="123"/>
      <c r="G8" s="123">
        <v>2</v>
      </c>
      <c r="H8" s="124">
        <f t="shared" si="1"/>
        <v>0.3125</v>
      </c>
      <c r="I8" s="125">
        <f t="shared" si="0"/>
        <v>0.3125</v>
      </c>
    </row>
    <row r="9" spans="1:9" ht="78.75" customHeight="1">
      <c r="A9" s="52">
        <v>5</v>
      </c>
      <c r="B9" s="122" t="s">
        <v>67</v>
      </c>
      <c r="C9" s="122"/>
      <c r="D9" s="123"/>
      <c r="E9" s="123" t="s">
        <v>63</v>
      </c>
      <c r="F9" s="123"/>
      <c r="G9" s="123">
        <v>10</v>
      </c>
      <c r="H9" s="124">
        <f t="shared" si="1"/>
        <v>1.5625</v>
      </c>
      <c r="I9" s="125">
        <f t="shared" si="0"/>
        <v>1.5625</v>
      </c>
    </row>
    <row r="10" spans="1:9" ht="47.25" customHeight="1">
      <c r="A10" s="52">
        <v>6</v>
      </c>
      <c r="B10" s="122" t="s">
        <v>68</v>
      </c>
      <c r="C10" s="122"/>
      <c r="D10" s="123"/>
      <c r="E10" s="123" t="s">
        <v>63</v>
      </c>
      <c r="F10" s="123"/>
      <c r="G10" s="123">
        <v>6</v>
      </c>
      <c r="H10" s="124">
        <f t="shared" si="1"/>
        <v>0.9375</v>
      </c>
      <c r="I10" s="125">
        <f t="shared" si="0"/>
        <v>0.9375</v>
      </c>
    </row>
    <row r="11" spans="1:9" ht="50.25" customHeight="1">
      <c r="A11" s="52">
        <v>7</v>
      </c>
      <c r="B11" s="122" t="s">
        <v>69</v>
      </c>
      <c r="C11" s="122"/>
      <c r="D11" s="123"/>
      <c r="E11" s="123" t="s">
        <v>63</v>
      </c>
      <c r="F11" s="123"/>
      <c r="G11" s="123">
        <v>10</v>
      </c>
      <c r="H11" s="124">
        <f t="shared" si="1"/>
        <v>1.5625</v>
      </c>
      <c r="I11" s="125">
        <f t="shared" si="0"/>
        <v>1.5625</v>
      </c>
    </row>
    <row r="12" spans="1:9" ht="61.5" customHeight="1">
      <c r="A12" s="52">
        <v>8</v>
      </c>
      <c r="B12" s="122" t="s">
        <v>70</v>
      </c>
      <c r="C12" s="122"/>
      <c r="D12" s="123"/>
      <c r="E12" s="123" t="s">
        <v>63</v>
      </c>
      <c r="F12" s="123"/>
      <c r="G12" s="123">
        <v>10</v>
      </c>
      <c r="H12" s="124">
        <f t="shared" si="1"/>
        <v>1.5625</v>
      </c>
      <c r="I12" s="125">
        <f t="shared" si="0"/>
        <v>1.5625</v>
      </c>
    </row>
    <row r="13" spans="1:9" ht="15.75" customHeight="1">
      <c r="A13" s="71" t="s">
        <v>71</v>
      </c>
      <c r="B13" s="72"/>
      <c r="C13" s="72"/>
      <c r="D13" s="72"/>
      <c r="E13" s="72"/>
      <c r="F13" s="72"/>
      <c r="G13" s="72"/>
      <c r="H13" s="29">
        <f>SUM(H5:H12)</f>
        <v>10</v>
      </c>
      <c r="I13" s="20">
        <f>SUM(I5:I12)</f>
        <v>10</v>
      </c>
    </row>
  </sheetData>
  <mergeCells count="16">
    <mergeCell ref="A13:G13"/>
    <mergeCell ref="A3:B3"/>
    <mergeCell ref="B4:C4"/>
    <mergeCell ref="B11:C11"/>
    <mergeCell ref="B12:C12"/>
    <mergeCell ref="D3:I3"/>
    <mergeCell ref="B5:C5"/>
    <mergeCell ref="B6:C6"/>
    <mergeCell ref="B7:C7"/>
    <mergeCell ref="B8:C8"/>
    <mergeCell ref="B9:C9"/>
    <mergeCell ref="A1:B1"/>
    <mergeCell ref="A2:B2"/>
    <mergeCell ref="C1:I1"/>
    <mergeCell ref="C2:I2"/>
    <mergeCell ref="B10:C10"/>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A0265-13FE-4BA6-A57F-A83CAFCE2BAF}">
  <sheetPr>
    <tabColor rgb="FFFFC000"/>
  </sheetPr>
  <dimension ref="A1:I13"/>
  <sheetViews>
    <sheetView workbookViewId="0">
      <selection activeCell="B5" sqref="A1:I13"/>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52</v>
      </c>
      <c r="D1" s="120"/>
      <c r="E1" s="120"/>
      <c r="F1" s="120"/>
      <c r="G1" s="120"/>
      <c r="H1" s="120"/>
      <c r="I1" s="121"/>
    </row>
    <row r="2" spans="1:9" ht="15">
      <c r="A2" s="70" t="s">
        <v>0</v>
      </c>
      <c r="B2" s="70"/>
      <c r="C2" s="84" t="s">
        <v>42</v>
      </c>
      <c r="D2" s="120"/>
      <c r="E2" s="120"/>
      <c r="F2" s="120"/>
      <c r="G2" s="120"/>
      <c r="H2" s="120"/>
      <c r="I2" s="121"/>
    </row>
    <row r="3" spans="1:9" ht="15">
      <c r="A3" s="70" t="s">
        <v>53</v>
      </c>
      <c r="B3" s="70"/>
      <c r="C3" s="55" t="s">
        <v>230</v>
      </c>
      <c r="D3" s="122">
        <v>340</v>
      </c>
      <c r="E3" s="122"/>
      <c r="F3" s="122"/>
      <c r="G3" s="122"/>
      <c r="H3" s="122"/>
      <c r="I3" s="122"/>
    </row>
    <row r="4" spans="1:9" ht="60">
      <c r="A4" s="52" t="s">
        <v>55</v>
      </c>
      <c r="B4" s="70" t="s">
        <v>56</v>
      </c>
      <c r="C4" s="70"/>
      <c r="D4" s="52" t="s">
        <v>24</v>
      </c>
      <c r="E4" s="52" t="s">
        <v>57</v>
      </c>
      <c r="F4" s="52" t="s">
        <v>58</v>
      </c>
      <c r="G4" s="52" t="s">
        <v>59</v>
      </c>
      <c r="H4" s="52" t="s">
        <v>60</v>
      </c>
      <c r="I4" s="52" t="s">
        <v>61</v>
      </c>
    </row>
    <row r="5" spans="1:9" ht="57.75" customHeight="1">
      <c r="A5" s="52">
        <v>1</v>
      </c>
      <c r="B5" s="122" t="s">
        <v>231</v>
      </c>
      <c r="C5" s="122"/>
      <c r="D5" s="123"/>
      <c r="E5" s="123" t="s">
        <v>63</v>
      </c>
      <c r="F5" s="123"/>
      <c r="G5" s="123">
        <v>6</v>
      </c>
      <c r="H5" s="124">
        <f>(G5*10)/SUM($G$5:$G$12)</f>
        <v>1</v>
      </c>
      <c r="I5" s="125">
        <f>IF(E5="X",((G5*10)/SUM($G$5:$G$12)),0)</f>
        <v>1</v>
      </c>
    </row>
    <row r="6" spans="1:9" ht="43.5" customHeight="1">
      <c r="A6" s="52">
        <v>2</v>
      </c>
      <c r="B6" s="122" t="s">
        <v>232</v>
      </c>
      <c r="C6" s="122"/>
      <c r="D6" s="123"/>
      <c r="E6" s="123" t="s">
        <v>63</v>
      </c>
      <c r="F6" s="123"/>
      <c r="G6" s="123">
        <v>6</v>
      </c>
      <c r="H6" s="124">
        <f t="shared" ref="H6:H12" si="0">(G6*10)/SUM($G$5:$G$12)</f>
        <v>1</v>
      </c>
      <c r="I6" s="125">
        <f t="shared" ref="I6:I12" si="1">IF(E6="X",((G6*10)/SUM($G$5:$G$12)),0)</f>
        <v>1</v>
      </c>
    </row>
    <row r="7" spans="1:9" ht="41.25" customHeight="1">
      <c r="A7" s="52">
        <v>3</v>
      </c>
      <c r="B7" s="122" t="s">
        <v>233</v>
      </c>
      <c r="C7" s="122"/>
      <c r="D7" s="123"/>
      <c r="E7" s="123" t="s">
        <v>63</v>
      </c>
      <c r="F7" s="123"/>
      <c r="G7" s="123">
        <v>2</v>
      </c>
      <c r="H7" s="124">
        <f t="shared" si="0"/>
        <v>0.33333333333333331</v>
      </c>
      <c r="I7" s="125">
        <f t="shared" si="1"/>
        <v>0.33333333333333331</v>
      </c>
    </row>
    <row r="8" spans="1:9" ht="74.25" customHeight="1">
      <c r="A8" s="52">
        <v>4</v>
      </c>
      <c r="B8" s="122" t="s">
        <v>234</v>
      </c>
      <c r="C8" s="122"/>
      <c r="D8" s="123"/>
      <c r="E8" s="123" t="s">
        <v>63</v>
      </c>
      <c r="F8" s="123"/>
      <c r="G8" s="123">
        <v>6</v>
      </c>
      <c r="H8" s="124">
        <f t="shared" si="0"/>
        <v>1</v>
      </c>
      <c r="I8" s="125">
        <f t="shared" si="1"/>
        <v>1</v>
      </c>
    </row>
    <row r="9" spans="1:9" ht="45" customHeight="1">
      <c r="A9" s="52">
        <v>5</v>
      </c>
      <c r="B9" s="122" t="s">
        <v>235</v>
      </c>
      <c r="C9" s="122"/>
      <c r="D9" s="123"/>
      <c r="E9" s="123" t="s">
        <v>63</v>
      </c>
      <c r="F9" s="123"/>
      <c r="G9" s="123">
        <v>10</v>
      </c>
      <c r="H9" s="124">
        <f t="shared" si="0"/>
        <v>1.6666666666666667</v>
      </c>
      <c r="I9" s="125">
        <f t="shared" si="1"/>
        <v>1.6666666666666667</v>
      </c>
    </row>
    <row r="10" spans="1:9" ht="47.25" customHeight="1">
      <c r="A10" s="52">
        <v>6</v>
      </c>
      <c r="B10" s="122" t="s">
        <v>236</v>
      </c>
      <c r="C10" s="122"/>
      <c r="D10" s="123"/>
      <c r="E10" s="123" t="s">
        <v>63</v>
      </c>
      <c r="F10" s="123"/>
      <c r="G10" s="123">
        <v>10</v>
      </c>
      <c r="H10" s="124">
        <f t="shared" si="0"/>
        <v>1.6666666666666667</v>
      </c>
      <c r="I10" s="125">
        <f t="shared" si="1"/>
        <v>1.6666666666666667</v>
      </c>
    </row>
    <row r="11" spans="1:9" ht="60" customHeight="1">
      <c r="A11" s="52">
        <v>7</v>
      </c>
      <c r="B11" s="122" t="s">
        <v>237</v>
      </c>
      <c r="C11" s="122"/>
      <c r="D11" s="123"/>
      <c r="E11" s="123" t="s">
        <v>63</v>
      </c>
      <c r="F11" s="123"/>
      <c r="G11" s="123">
        <v>10</v>
      </c>
      <c r="H11" s="124">
        <f t="shared" si="0"/>
        <v>1.6666666666666667</v>
      </c>
      <c r="I11" s="125">
        <f t="shared" si="1"/>
        <v>1.6666666666666667</v>
      </c>
    </row>
    <row r="12" spans="1:9" ht="57.75" customHeight="1">
      <c r="A12" s="52">
        <v>8</v>
      </c>
      <c r="B12" s="122" t="s">
        <v>238</v>
      </c>
      <c r="C12" s="122"/>
      <c r="D12" s="123"/>
      <c r="E12" s="123" t="s">
        <v>63</v>
      </c>
      <c r="F12" s="123"/>
      <c r="G12" s="123">
        <v>10</v>
      </c>
      <c r="H12" s="124">
        <f t="shared" si="0"/>
        <v>1.6666666666666667</v>
      </c>
      <c r="I12" s="125">
        <f t="shared" si="1"/>
        <v>1.6666666666666667</v>
      </c>
    </row>
    <row r="13" spans="1:9" ht="15.75" customHeight="1">
      <c r="A13" s="83" t="s">
        <v>71</v>
      </c>
      <c r="B13" s="83"/>
      <c r="C13" s="83"/>
      <c r="D13" s="83"/>
      <c r="E13" s="83"/>
      <c r="F13" s="83"/>
      <c r="G13" s="83"/>
      <c r="H13" s="28">
        <f>SUM(H5:H12)</f>
        <v>10</v>
      </c>
      <c r="I13" s="20">
        <f>SUM(I5:I12)</f>
        <v>10</v>
      </c>
    </row>
  </sheetData>
  <mergeCells count="16">
    <mergeCell ref="A13:G13"/>
    <mergeCell ref="A3:B3"/>
    <mergeCell ref="B4:C4"/>
    <mergeCell ref="B11:C11"/>
    <mergeCell ref="B12:C12"/>
    <mergeCell ref="D3:I3"/>
    <mergeCell ref="B5:C5"/>
    <mergeCell ref="B6:C6"/>
    <mergeCell ref="B7:C7"/>
    <mergeCell ref="B8:C8"/>
    <mergeCell ref="B9:C9"/>
    <mergeCell ref="A1:B1"/>
    <mergeCell ref="A2:B2"/>
    <mergeCell ref="C1:I1"/>
    <mergeCell ref="C2:I2"/>
    <mergeCell ref="B10:C10"/>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90528-1771-4C68-BD84-23611C7BA7C7}">
  <sheetPr>
    <tabColor rgb="FFFFC000"/>
  </sheetPr>
  <dimension ref="A1:I12"/>
  <sheetViews>
    <sheetView workbookViewId="0">
      <selection activeCell="B6" sqref="A1:I12"/>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52</v>
      </c>
      <c r="D1" s="120"/>
      <c r="E1" s="120"/>
      <c r="F1" s="120"/>
      <c r="G1" s="120"/>
      <c r="H1" s="120"/>
      <c r="I1" s="121"/>
    </row>
    <row r="2" spans="1:9" ht="15">
      <c r="A2" s="70" t="s">
        <v>0</v>
      </c>
      <c r="B2" s="70"/>
      <c r="C2" s="84" t="s">
        <v>42</v>
      </c>
      <c r="D2" s="120"/>
      <c r="E2" s="120"/>
      <c r="F2" s="120"/>
      <c r="G2" s="120"/>
      <c r="H2" s="120"/>
      <c r="I2" s="121"/>
    </row>
    <row r="3" spans="1:9" ht="15">
      <c r="A3" s="70" t="s">
        <v>72</v>
      </c>
      <c r="B3" s="70"/>
      <c r="C3" s="55" t="s">
        <v>73</v>
      </c>
      <c r="D3" s="122">
        <v>380</v>
      </c>
      <c r="E3" s="122"/>
      <c r="F3" s="122"/>
      <c r="G3" s="122"/>
      <c r="H3" s="122"/>
      <c r="I3" s="122"/>
    </row>
    <row r="4" spans="1:9" ht="60">
      <c r="A4" s="52" t="s">
        <v>55</v>
      </c>
      <c r="B4" s="70" t="s">
        <v>56</v>
      </c>
      <c r="C4" s="70"/>
      <c r="D4" s="52" t="s">
        <v>24</v>
      </c>
      <c r="E4" s="52" t="s">
        <v>57</v>
      </c>
      <c r="F4" s="52" t="s">
        <v>58</v>
      </c>
      <c r="G4" s="52" t="s">
        <v>59</v>
      </c>
      <c r="H4" s="52" t="s">
        <v>60</v>
      </c>
      <c r="I4" s="52" t="s">
        <v>61</v>
      </c>
    </row>
    <row r="5" spans="1:9" ht="63" customHeight="1">
      <c r="A5" s="52">
        <v>1</v>
      </c>
      <c r="B5" s="122" t="s">
        <v>74</v>
      </c>
      <c r="C5" s="122"/>
      <c r="D5" s="123" t="s">
        <v>63</v>
      </c>
      <c r="E5" s="123"/>
      <c r="F5" s="123"/>
      <c r="G5" s="123">
        <v>2</v>
      </c>
      <c r="H5" s="124">
        <f>(G5*10)/SUM($G$5:$G$11)</f>
        <v>0.52631578947368418</v>
      </c>
      <c r="I5" s="125">
        <f>IF(E5="X",((G5*10)/SUM($G$5:$G$11)),0)</f>
        <v>0</v>
      </c>
    </row>
    <row r="6" spans="1:9" ht="78.75" customHeight="1">
      <c r="A6" s="52">
        <v>2</v>
      </c>
      <c r="B6" s="122" t="s">
        <v>75</v>
      </c>
      <c r="C6" s="122"/>
      <c r="D6" s="123"/>
      <c r="E6" s="123" t="s">
        <v>63</v>
      </c>
      <c r="F6" s="123"/>
      <c r="G6" s="123">
        <v>6</v>
      </c>
      <c r="H6" s="124">
        <f t="shared" ref="H6:H11" si="0">(G6*10)/SUM($G$5:$G$11)</f>
        <v>1.5789473684210527</v>
      </c>
      <c r="I6" s="125">
        <f t="shared" ref="I6:I11" si="1">IF(E6="X",((G6*10)/SUM($G$5:$G$11)),0)</f>
        <v>1.5789473684210527</v>
      </c>
    </row>
    <row r="7" spans="1:9" ht="31.5" customHeight="1">
      <c r="A7" s="52">
        <v>3</v>
      </c>
      <c r="B7" s="122" t="s">
        <v>76</v>
      </c>
      <c r="C7" s="122"/>
      <c r="D7" s="123"/>
      <c r="E7" s="123" t="s">
        <v>63</v>
      </c>
      <c r="F7" s="123"/>
      <c r="G7" s="123">
        <v>10</v>
      </c>
      <c r="H7" s="124">
        <f t="shared" si="0"/>
        <v>2.6315789473684212</v>
      </c>
      <c r="I7" s="125">
        <f t="shared" si="1"/>
        <v>2.6315789473684212</v>
      </c>
    </row>
    <row r="8" spans="1:9" ht="47.25" customHeight="1">
      <c r="A8" s="52">
        <v>4</v>
      </c>
      <c r="B8" s="122" t="s">
        <v>77</v>
      </c>
      <c r="C8" s="122"/>
      <c r="D8" s="123"/>
      <c r="E8" s="123" t="s">
        <v>63</v>
      </c>
      <c r="F8" s="123"/>
      <c r="G8" s="123">
        <v>10</v>
      </c>
      <c r="H8" s="124">
        <f t="shared" si="0"/>
        <v>2.6315789473684212</v>
      </c>
      <c r="I8" s="125">
        <f t="shared" si="1"/>
        <v>2.6315789473684212</v>
      </c>
    </row>
    <row r="9" spans="1:9" ht="47.25" customHeight="1">
      <c r="A9" s="52">
        <v>5</v>
      </c>
      <c r="B9" s="122" t="s">
        <v>78</v>
      </c>
      <c r="C9" s="122"/>
      <c r="D9" s="123"/>
      <c r="E9" s="123" t="s">
        <v>63</v>
      </c>
      <c r="F9" s="123"/>
      <c r="G9" s="123">
        <v>6</v>
      </c>
      <c r="H9" s="124">
        <f t="shared" si="0"/>
        <v>1.5789473684210527</v>
      </c>
      <c r="I9" s="125">
        <f t="shared" si="1"/>
        <v>1.5789473684210527</v>
      </c>
    </row>
    <row r="10" spans="1:9" ht="47.25" customHeight="1">
      <c r="A10" s="52">
        <v>6</v>
      </c>
      <c r="B10" s="122" t="s">
        <v>79</v>
      </c>
      <c r="C10" s="122"/>
      <c r="D10" s="123"/>
      <c r="E10" s="123" t="s">
        <v>63</v>
      </c>
      <c r="F10" s="123"/>
      <c r="G10" s="123">
        <v>2</v>
      </c>
      <c r="H10" s="124">
        <f t="shared" si="0"/>
        <v>0.52631578947368418</v>
      </c>
      <c r="I10" s="125">
        <f t="shared" si="1"/>
        <v>0.52631578947368418</v>
      </c>
    </row>
    <row r="11" spans="1:9" ht="45.75" customHeight="1">
      <c r="A11" s="52">
        <v>7</v>
      </c>
      <c r="B11" s="122" t="s">
        <v>80</v>
      </c>
      <c r="C11" s="122"/>
      <c r="D11" s="123"/>
      <c r="E11" s="123" t="s">
        <v>63</v>
      </c>
      <c r="F11" s="123"/>
      <c r="G11" s="123">
        <v>2</v>
      </c>
      <c r="H11" s="124">
        <f t="shared" si="0"/>
        <v>0.52631578947368418</v>
      </c>
      <c r="I11" s="125">
        <f t="shared" si="1"/>
        <v>0.52631578947368418</v>
      </c>
    </row>
    <row r="12" spans="1:9" ht="15.75" customHeight="1">
      <c r="A12" s="71" t="s">
        <v>71</v>
      </c>
      <c r="B12" s="72"/>
      <c r="C12" s="72"/>
      <c r="D12" s="72"/>
      <c r="E12" s="72"/>
      <c r="F12" s="72"/>
      <c r="G12" s="72"/>
      <c r="H12" s="29">
        <f>SUM(H5:H11)</f>
        <v>10.000000000000002</v>
      </c>
      <c r="I12" s="20">
        <f>SUM(I5:I11)</f>
        <v>9.4736842105263186</v>
      </c>
    </row>
  </sheetData>
  <mergeCells count="15">
    <mergeCell ref="A12:G12"/>
    <mergeCell ref="A3:B3"/>
    <mergeCell ref="B4:C4"/>
    <mergeCell ref="B5:C5"/>
    <mergeCell ref="B6:C6"/>
    <mergeCell ref="B7:C7"/>
    <mergeCell ref="B8:C8"/>
    <mergeCell ref="B9:C9"/>
    <mergeCell ref="B10:C10"/>
    <mergeCell ref="D3:I3"/>
    <mergeCell ref="A1:B1"/>
    <mergeCell ref="A2:B2"/>
    <mergeCell ref="C1:I1"/>
    <mergeCell ref="C2:I2"/>
    <mergeCell ref="B11:C11"/>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2AA43-1182-436C-BD32-E32F97B8B760}">
  <sheetPr>
    <tabColor rgb="FFFFC000"/>
  </sheetPr>
  <dimension ref="A1:I16"/>
  <sheetViews>
    <sheetView workbookViewId="0">
      <selection activeCell="B6" sqref="A1:I16"/>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52</v>
      </c>
      <c r="D1" s="120"/>
      <c r="E1" s="120"/>
      <c r="F1" s="120"/>
      <c r="G1" s="120"/>
      <c r="H1" s="120"/>
      <c r="I1" s="121"/>
    </row>
    <row r="2" spans="1:9" ht="15">
      <c r="A2" s="70" t="s">
        <v>0</v>
      </c>
      <c r="B2" s="70"/>
      <c r="C2" s="84" t="s">
        <v>42</v>
      </c>
      <c r="D2" s="120"/>
      <c r="E2" s="120"/>
      <c r="F2" s="120"/>
      <c r="G2" s="120"/>
      <c r="H2" s="120"/>
      <c r="I2" s="121"/>
    </row>
    <row r="3" spans="1:9" ht="46.5" customHeight="1">
      <c r="A3" s="70" t="s">
        <v>270</v>
      </c>
      <c r="B3" s="70"/>
      <c r="C3" s="55" t="s">
        <v>271</v>
      </c>
      <c r="D3" s="122">
        <v>170</v>
      </c>
      <c r="E3" s="122"/>
      <c r="F3" s="122"/>
      <c r="G3" s="122"/>
      <c r="H3" s="122"/>
      <c r="I3" s="122"/>
    </row>
    <row r="4" spans="1:9" ht="60">
      <c r="A4" s="52" t="s">
        <v>55</v>
      </c>
      <c r="B4" s="70" t="s">
        <v>56</v>
      </c>
      <c r="C4" s="70"/>
      <c r="D4" s="52" t="s">
        <v>24</v>
      </c>
      <c r="E4" s="52" t="s">
        <v>57</v>
      </c>
      <c r="F4" s="52" t="s">
        <v>58</v>
      </c>
      <c r="G4" s="52" t="s">
        <v>59</v>
      </c>
      <c r="H4" s="52" t="s">
        <v>60</v>
      </c>
      <c r="I4" s="52" t="s">
        <v>61</v>
      </c>
    </row>
    <row r="5" spans="1:9" ht="33" customHeight="1">
      <c r="A5" s="52">
        <v>1</v>
      </c>
      <c r="B5" s="122" t="s">
        <v>272</v>
      </c>
      <c r="C5" s="122"/>
      <c r="D5" s="123"/>
      <c r="E5" s="123" t="s">
        <v>63</v>
      </c>
      <c r="F5" s="123"/>
      <c r="G5" s="123">
        <v>10</v>
      </c>
      <c r="H5" s="124">
        <f>(G5*10)/SUM($G$5:$G$15)</f>
        <v>1.2195121951219512</v>
      </c>
      <c r="I5" s="125">
        <f t="shared" ref="I5:I15" si="0">IF(E5="X",((G5*10)/SUM($G$5:$G$15)),0)</f>
        <v>1.2195121951219512</v>
      </c>
    </row>
    <row r="6" spans="1:9" ht="47.25" customHeight="1">
      <c r="A6" s="52">
        <v>2</v>
      </c>
      <c r="B6" s="122" t="s">
        <v>273</v>
      </c>
      <c r="C6" s="122"/>
      <c r="D6" s="123"/>
      <c r="E6" s="123" t="s">
        <v>63</v>
      </c>
      <c r="F6" s="123"/>
      <c r="G6" s="123">
        <v>10</v>
      </c>
      <c r="H6" s="124">
        <f t="shared" ref="H6:H15" si="1">(G6*10)/SUM($G$5:$G$15)</f>
        <v>1.2195121951219512</v>
      </c>
      <c r="I6" s="125">
        <f t="shared" si="0"/>
        <v>1.2195121951219512</v>
      </c>
    </row>
    <row r="7" spans="1:9" ht="70.5" customHeight="1">
      <c r="A7" s="52">
        <v>3</v>
      </c>
      <c r="B7" s="122" t="s">
        <v>274</v>
      </c>
      <c r="C7" s="122"/>
      <c r="D7" s="123"/>
      <c r="E7" s="123" t="s">
        <v>63</v>
      </c>
      <c r="F7" s="123"/>
      <c r="G7" s="123">
        <v>6</v>
      </c>
      <c r="H7" s="124">
        <f t="shared" si="1"/>
        <v>0.73170731707317072</v>
      </c>
      <c r="I7" s="125">
        <f t="shared" si="0"/>
        <v>0.73170731707317072</v>
      </c>
    </row>
    <row r="8" spans="1:9" ht="59.25" customHeight="1">
      <c r="A8" s="52">
        <v>4</v>
      </c>
      <c r="B8" s="122" t="s">
        <v>275</v>
      </c>
      <c r="C8" s="122"/>
      <c r="D8" s="123"/>
      <c r="E8" s="123" t="s">
        <v>63</v>
      </c>
      <c r="F8" s="123"/>
      <c r="G8" s="123">
        <v>6</v>
      </c>
      <c r="H8" s="124">
        <f t="shared" si="1"/>
        <v>0.73170731707317072</v>
      </c>
      <c r="I8" s="125">
        <f t="shared" si="0"/>
        <v>0.73170731707317072</v>
      </c>
    </row>
    <row r="9" spans="1:9" ht="59.25" customHeight="1">
      <c r="A9" s="52">
        <v>5</v>
      </c>
      <c r="B9" s="122" t="s">
        <v>276</v>
      </c>
      <c r="C9" s="122"/>
      <c r="D9" s="123"/>
      <c r="E9" s="123" t="s">
        <v>63</v>
      </c>
      <c r="F9" s="123"/>
      <c r="G9" s="123">
        <v>10</v>
      </c>
      <c r="H9" s="124">
        <f t="shared" si="1"/>
        <v>1.2195121951219512</v>
      </c>
      <c r="I9" s="125">
        <f t="shared" si="0"/>
        <v>1.2195121951219512</v>
      </c>
    </row>
    <row r="10" spans="1:9" ht="58.5" customHeight="1">
      <c r="A10" s="52">
        <v>6</v>
      </c>
      <c r="B10" s="122" t="s">
        <v>277</v>
      </c>
      <c r="C10" s="122"/>
      <c r="D10" s="123"/>
      <c r="E10" s="123" t="s">
        <v>63</v>
      </c>
      <c r="F10" s="123"/>
      <c r="G10" s="123">
        <v>6</v>
      </c>
      <c r="H10" s="124">
        <f t="shared" si="1"/>
        <v>0.73170731707317072</v>
      </c>
      <c r="I10" s="125">
        <f t="shared" si="0"/>
        <v>0.73170731707317072</v>
      </c>
    </row>
    <row r="11" spans="1:9" ht="72" customHeight="1">
      <c r="A11" s="52">
        <v>7</v>
      </c>
      <c r="B11" s="122" t="s">
        <v>278</v>
      </c>
      <c r="C11" s="122"/>
      <c r="D11" s="123"/>
      <c r="E11" s="123" t="s">
        <v>63</v>
      </c>
      <c r="F11" s="123"/>
      <c r="G11" s="123">
        <v>10</v>
      </c>
      <c r="H11" s="124">
        <f t="shared" si="1"/>
        <v>1.2195121951219512</v>
      </c>
      <c r="I11" s="125">
        <f t="shared" si="0"/>
        <v>1.2195121951219512</v>
      </c>
    </row>
    <row r="12" spans="1:9" ht="47.25" customHeight="1">
      <c r="A12" s="52">
        <v>8</v>
      </c>
      <c r="B12" s="122" t="s">
        <v>279</v>
      </c>
      <c r="C12" s="122"/>
      <c r="D12" s="123"/>
      <c r="E12" s="123" t="s">
        <v>63</v>
      </c>
      <c r="F12" s="123"/>
      <c r="G12" s="123">
        <v>10</v>
      </c>
      <c r="H12" s="124">
        <f t="shared" si="1"/>
        <v>1.2195121951219512</v>
      </c>
      <c r="I12" s="125">
        <f t="shared" si="0"/>
        <v>1.2195121951219512</v>
      </c>
    </row>
    <row r="13" spans="1:9" ht="48" customHeight="1">
      <c r="A13" s="52">
        <v>9</v>
      </c>
      <c r="B13" s="122" t="s">
        <v>280</v>
      </c>
      <c r="C13" s="122"/>
      <c r="D13" s="123"/>
      <c r="E13" s="123" t="s">
        <v>63</v>
      </c>
      <c r="F13" s="123"/>
      <c r="G13" s="123">
        <v>6</v>
      </c>
      <c r="H13" s="124">
        <f t="shared" si="1"/>
        <v>0.73170731707317072</v>
      </c>
      <c r="I13" s="125">
        <f t="shared" si="0"/>
        <v>0.73170731707317072</v>
      </c>
    </row>
    <row r="14" spans="1:9" ht="47.25" customHeight="1">
      <c r="A14" s="52">
        <v>10</v>
      </c>
      <c r="B14" s="122" t="s">
        <v>281</v>
      </c>
      <c r="C14" s="122"/>
      <c r="D14" s="123"/>
      <c r="E14" s="123" t="s">
        <v>63</v>
      </c>
      <c r="F14" s="123"/>
      <c r="G14" s="123">
        <v>6</v>
      </c>
      <c r="H14" s="124">
        <f t="shared" si="1"/>
        <v>0.73170731707317072</v>
      </c>
      <c r="I14" s="125">
        <f t="shared" si="0"/>
        <v>0.73170731707317072</v>
      </c>
    </row>
    <row r="15" spans="1:9" ht="45" customHeight="1">
      <c r="A15" s="52">
        <v>11</v>
      </c>
      <c r="B15" s="122" t="s">
        <v>282</v>
      </c>
      <c r="C15" s="122"/>
      <c r="D15" s="123"/>
      <c r="E15" s="123" t="s">
        <v>63</v>
      </c>
      <c r="F15" s="123"/>
      <c r="G15" s="123">
        <v>2</v>
      </c>
      <c r="H15" s="124">
        <f t="shared" si="1"/>
        <v>0.24390243902439024</v>
      </c>
      <c r="I15" s="125">
        <f t="shared" si="0"/>
        <v>0.24390243902439024</v>
      </c>
    </row>
    <row r="16" spans="1:9" ht="15.75" customHeight="1">
      <c r="A16" s="83" t="s">
        <v>71</v>
      </c>
      <c r="B16" s="83"/>
      <c r="C16" s="83"/>
      <c r="D16" s="83"/>
      <c r="E16" s="83"/>
      <c r="F16" s="83"/>
      <c r="G16" s="83"/>
      <c r="H16" s="28">
        <f>SUM(H5:H15)</f>
        <v>10.000000000000002</v>
      </c>
      <c r="I16" s="20">
        <f>SUM(I5:I15)</f>
        <v>10.000000000000002</v>
      </c>
    </row>
  </sheetData>
  <mergeCells count="19">
    <mergeCell ref="B13:C13"/>
    <mergeCell ref="B14:C14"/>
    <mergeCell ref="B15:C15"/>
    <mergeCell ref="A16:G16"/>
    <mergeCell ref="B7:C7"/>
    <mergeCell ref="B8:C8"/>
    <mergeCell ref="B9:C9"/>
    <mergeCell ref="B10:C10"/>
    <mergeCell ref="B11:C11"/>
    <mergeCell ref="A1:B1"/>
    <mergeCell ref="A2:B2"/>
    <mergeCell ref="C1:I1"/>
    <mergeCell ref="C2:I2"/>
    <mergeCell ref="B12:C12"/>
    <mergeCell ref="D3:I3"/>
    <mergeCell ref="A3:B3"/>
    <mergeCell ref="B4:C4"/>
    <mergeCell ref="B5:C5"/>
    <mergeCell ref="B6:C6"/>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C0844-1CA5-4F1F-BD15-80C70BF35A72}">
  <sheetPr>
    <tabColor rgb="FFFFC000"/>
  </sheetPr>
  <dimension ref="A1:J14"/>
  <sheetViews>
    <sheetView workbookViewId="0">
      <selection activeCell="B5" sqref="A1:J14"/>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42</v>
      </c>
      <c r="D2" s="74"/>
      <c r="E2" s="74"/>
      <c r="F2" s="74"/>
      <c r="G2" s="74"/>
      <c r="H2" s="74"/>
      <c r="I2" s="74"/>
      <c r="J2" s="75"/>
    </row>
    <row r="3" spans="1:10" ht="45">
      <c r="A3" s="70" t="s">
        <v>81</v>
      </c>
      <c r="B3" s="70"/>
      <c r="C3" s="18" t="s">
        <v>82</v>
      </c>
      <c r="D3" s="55" t="s">
        <v>83</v>
      </c>
      <c r="E3" s="122">
        <v>570</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34.5" customHeight="1">
      <c r="A5" s="52">
        <v>1</v>
      </c>
      <c r="B5" s="122" t="s">
        <v>84</v>
      </c>
      <c r="C5" s="122"/>
      <c r="D5" s="122"/>
      <c r="E5" s="123"/>
      <c r="F5" s="123" t="s">
        <v>63</v>
      </c>
      <c r="G5" s="123"/>
      <c r="H5" s="123">
        <v>10</v>
      </c>
      <c r="I5" s="124">
        <f>(H5*10)/SUM($H$5:$H$13)</f>
        <v>1.3513513513513513</v>
      </c>
      <c r="J5" s="125">
        <f>IF(F5="X",((H5*10)/SUM($H$5:$H$13)),0)</f>
        <v>1.3513513513513513</v>
      </c>
    </row>
    <row r="6" spans="1:10" ht="21" customHeight="1">
      <c r="A6" s="52">
        <v>2</v>
      </c>
      <c r="B6" s="122" t="s">
        <v>85</v>
      </c>
      <c r="C6" s="122"/>
      <c r="D6" s="122"/>
      <c r="E6" s="123"/>
      <c r="F6" s="123" t="s">
        <v>63</v>
      </c>
      <c r="G6" s="123"/>
      <c r="H6" s="123">
        <v>10</v>
      </c>
      <c r="I6" s="124">
        <f t="shared" ref="I6:I13" si="0">(H6*10)/SUM($H$5:$H$13)</f>
        <v>1.3513513513513513</v>
      </c>
      <c r="J6" s="125">
        <f t="shared" ref="J6:J13" si="1">IF(F6="X",((H6*10)/SUM($H$5:$H$13)),0)</f>
        <v>1.3513513513513513</v>
      </c>
    </row>
    <row r="7" spans="1:10" ht="33" customHeight="1">
      <c r="A7" s="52">
        <v>3</v>
      </c>
      <c r="B7" s="122" t="s">
        <v>86</v>
      </c>
      <c r="C7" s="122"/>
      <c r="D7" s="122"/>
      <c r="E7" s="123"/>
      <c r="F7" s="123" t="s">
        <v>63</v>
      </c>
      <c r="G7" s="123"/>
      <c r="H7" s="123">
        <v>6</v>
      </c>
      <c r="I7" s="124">
        <f t="shared" si="0"/>
        <v>0.81081081081081086</v>
      </c>
      <c r="J7" s="125">
        <f t="shared" si="1"/>
        <v>0.81081081081081086</v>
      </c>
    </row>
    <row r="8" spans="1:10" ht="60" customHeight="1">
      <c r="A8" s="52">
        <v>4</v>
      </c>
      <c r="B8" s="122" t="s">
        <v>87</v>
      </c>
      <c r="C8" s="122"/>
      <c r="D8" s="122"/>
      <c r="E8" s="123"/>
      <c r="F8" s="123" t="s">
        <v>63</v>
      </c>
      <c r="G8" s="123"/>
      <c r="H8" s="123">
        <v>10</v>
      </c>
      <c r="I8" s="124">
        <f t="shared" si="0"/>
        <v>1.3513513513513513</v>
      </c>
      <c r="J8" s="125">
        <f t="shared" si="1"/>
        <v>1.3513513513513513</v>
      </c>
    </row>
    <row r="9" spans="1:10" ht="33" customHeight="1">
      <c r="A9" s="52">
        <v>5</v>
      </c>
      <c r="B9" s="122" t="s">
        <v>88</v>
      </c>
      <c r="C9" s="122"/>
      <c r="D9" s="122"/>
      <c r="E9" s="123"/>
      <c r="F9" s="123" t="s">
        <v>63</v>
      </c>
      <c r="G9" s="123"/>
      <c r="H9" s="123">
        <v>6</v>
      </c>
      <c r="I9" s="124">
        <f t="shared" si="0"/>
        <v>0.81081081081081086</v>
      </c>
      <c r="J9" s="125">
        <f t="shared" si="1"/>
        <v>0.81081081081081086</v>
      </c>
    </row>
    <row r="10" spans="1:10" ht="34.5" customHeight="1">
      <c r="A10" s="52">
        <v>6</v>
      </c>
      <c r="B10" s="122" t="s">
        <v>89</v>
      </c>
      <c r="C10" s="122"/>
      <c r="D10" s="122"/>
      <c r="E10" s="123"/>
      <c r="F10" s="123" t="s">
        <v>63</v>
      </c>
      <c r="G10" s="123"/>
      <c r="H10" s="123">
        <v>6</v>
      </c>
      <c r="I10" s="124">
        <f t="shared" si="0"/>
        <v>0.81081081081081086</v>
      </c>
      <c r="J10" s="125">
        <f t="shared" si="1"/>
        <v>0.81081081081081086</v>
      </c>
    </row>
    <row r="11" spans="1:10" ht="74.25" customHeight="1">
      <c r="A11" s="52">
        <v>7</v>
      </c>
      <c r="B11" s="122" t="s">
        <v>90</v>
      </c>
      <c r="C11" s="122"/>
      <c r="D11" s="122"/>
      <c r="E11" s="123"/>
      <c r="F11" s="123" t="s">
        <v>63</v>
      </c>
      <c r="G11" s="123"/>
      <c r="H11" s="123">
        <v>10</v>
      </c>
      <c r="I11" s="124">
        <f t="shared" si="0"/>
        <v>1.3513513513513513</v>
      </c>
      <c r="J11" s="125">
        <f>IF(F11="X",((H11*10)/SUM($H$5:$H$13)),0)</f>
        <v>1.3513513513513513</v>
      </c>
    </row>
    <row r="12" spans="1:10" ht="32.25" customHeight="1">
      <c r="A12" s="52">
        <v>8</v>
      </c>
      <c r="B12" s="122" t="s">
        <v>91</v>
      </c>
      <c r="C12" s="122"/>
      <c r="D12" s="122"/>
      <c r="E12" s="123"/>
      <c r="F12" s="123" t="s">
        <v>63</v>
      </c>
      <c r="G12" s="123"/>
      <c r="H12" s="123">
        <v>10</v>
      </c>
      <c r="I12" s="124">
        <f t="shared" si="0"/>
        <v>1.3513513513513513</v>
      </c>
      <c r="J12" s="125">
        <f t="shared" si="1"/>
        <v>1.3513513513513513</v>
      </c>
    </row>
    <row r="13" spans="1:10" ht="51" customHeight="1">
      <c r="A13" s="52">
        <v>9</v>
      </c>
      <c r="B13" s="122" t="s">
        <v>92</v>
      </c>
      <c r="C13" s="122"/>
      <c r="D13" s="122"/>
      <c r="E13" s="123"/>
      <c r="F13" s="123" t="s">
        <v>63</v>
      </c>
      <c r="G13" s="123"/>
      <c r="H13" s="123">
        <v>6</v>
      </c>
      <c r="I13" s="124">
        <f t="shared" si="0"/>
        <v>0.81081081081081086</v>
      </c>
      <c r="J13" s="125">
        <f t="shared" si="1"/>
        <v>0.81081081081081086</v>
      </c>
    </row>
    <row r="14" spans="1:10" ht="15" customHeight="1">
      <c r="A14" s="71" t="s">
        <v>71</v>
      </c>
      <c r="B14" s="72"/>
      <c r="C14" s="72"/>
      <c r="D14" s="72"/>
      <c r="E14" s="72"/>
      <c r="F14" s="72"/>
      <c r="G14" s="72"/>
      <c r="H14" s="72"/>
      <c r="I14" s="29">
        <f>SUM(I5:I13)</f>
        <v>9.9999999999999982</v>
      </c>
      <c r="J14" s="19">
        <f>SUM(J5:J13)</f>
        <v>9.9999999999999982</v>
      </c>
    </row>
  </sheetData>
  <mergeCells count="17">
    <mergeCell ref="A14:H14"/>
    <mergeCell ref="A3:B3"/>
    <mergeCell ref="B4:D4"/>
    <mergeCell ref="B11:D11"/>
    <mergeCell ref="B12:D12"/>
    <mergeCell ref="E3:J3"/>
    <mergeCell ref="B13:D13"/>
    <mergeCell ref="B5:D5"/>
    <mergeCell ref="B6:D6"/>
    <mergeCell ref="B7:D7"/>
    <mergeCell ref="B8:D8"/>
    <mergeCell ref="B9:D9"/>
    <mergeCell ref="B10:D10"/>
    <mergeCell ref="A1:B1"/>
    <mergeCell ref="A2:B2"/>
    <mergeCell ref="C1:J1"/>
    <mergeCell ref="C2:J2"/>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4EDCA-B3CE-4A64-86CF-D5888AD4CE81}">
  <sheetPr>
    <tabColor rgb="FFFFC000"/>
  </sheetPr>
  <dimension ref="A1:J20"/>
  <sheetViews>
    <sheetView workbookViewId="0">
      <selection activeCell="B7" sqref="A1:J20"/>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42</v>
      </c>
      <c r="D2" s="74"/>
      <c r="E2" s="74"/>
      <c r="F2" s="74"/>
      <c r="G2" s="74"/>
      <c r="H2" s="74"/>
      <c r="I2" s="74"/>
      <c r="J2" s="75"/>
    </row>
    <row r="3" spans="1:10" ht="45">
      <c r="A3" s="70" t="s">
        <v>81</v>
      </c>
      <c r="B3" s="70"/>
      <c r="C3" s="18" t="s">
        <v>93</v>
      </c>
      <c r="D3" s="55" t="s">
        <v>239</v>
      </c>
      <c r="E3" s="122" t="s">
        <v>240</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31.5" customHeight="1">
      <c r="A5" s="52">
        <v>1</v>
      </c>
      <c r="B5" s="122" t="s">
        <v>241</v>
      </c>
      <c r="C5" s="122"/>
      <c r="D5" s="122"/>
      <c r="E5" s="123"/>
      <c r="F5" s="123" t="s">
        <v>63</v>
      </c>
      <c r="G5" s="123"/>
      <c r="H5" s="123">
        <v>10</v>
      </c>
      <c r="I5" s="124">
        <f>(H5*10)/SUM($H$5:$H$19)</f>
        <v>0.94339622641509435</v>
      </c>
      <c r="J5" s="125">
        <f>IF(F5="X",((H5*10)/SUM($H$5:$H$19)),0)</f>
        <v>0.94339622641509435</v>
      </c>
    </row>
    <row r="6" spans="1:10" ht="34.5" customHeight="1">
      <c r="A6" s="52">
        <v>2</v>
      </c>
      <c r="B6" s="122" t="s">
        <v>242</v>
      </c>
      <c r="C6" s="122"/>
      <c r="D6" s="122"/>
      <c r="E6" s="123"/>
      <c r="F6" s="123" t="s">
        <v>63</v>
      </c>
      <c r="G6" s="123"/>
      <c r="H6" s="123">
        <v>6</v>
      </c>
      <c r="I6" s="124">
        <f t="shared" ref="I6:I19" si="0">(H6*10)/SUM($H$5:$H$19)</f>
        <v>0.56603773584905659</v>
      </c>
      <c r="J6" s="125">
        <f t="shared" ref="J6:J19" si="1">IF(F6="X",((H6*10)/SUM($H$5:$H$19)),0)</f>
        <v>0.56603773584905659</v>
      </c>
    </row>
    <row r="7" spans="1:10" ht="33.75" customHeight="1">
      <c r="A7" s="52">
        <v>3</v>
      </c>
      <c r="B7" s="122" t="s">
        <v>243</v>
      </c>
      <c r="C7" s="122"/>
      <c r="D7" s="122"/>
      <c r="E7" s="123"/>
      <c r="F7" s="123" t="s">
        <v>63</v>
      </c>
      <c r="G7" s="123"/>
      <c r="H7" s="123">
        <v>2</v>
      </c>
      <c r="I7" s="124">
        <f t="shared" si="0"/>
        <v>0.18867924528301888</v>
      </c>
      <c r="J7" s="125">
        <f t="shared" si="1"/>
        <v>0.18867924528301888</v>
      </c>
    </row>
    <row r="8" spans="1:10" ht="31.5" customHeight="1">
      <c r="A8" s="52">
        <v>4</v>
      </c>
      <c r="B8" s="122" t="s">
        <v>244</v>
      </c>
      <c r="C8" s="122"/>
      <c r="D8" s="122"/>
      <c r="E8" s="123"/>
      <c r="F8" s="123" t="s">
        <v>63</v>
      </c>
      <c r="G8" s="123"/>
      <c r="H8" s="123">
        <v>6</v>
      </c>
      <c r="I8" s="124">
        <f t="shared" si="0"/>
        <v>0.56603773584905659</v>
      </c>
      <c r="J8" s="125">
        <f t="shared" si="1"/>
        <v>0.56603773584905659</v>
      </c>
    </row>
    <row r="9" spans="1:10" ht="47.25" customHeight="1">
      <c r="A9" s="52">
        <v>5</v>
      </c>
      <c r="B9" s="122" t="s">
        <v>245</v>
      </c>
      <c r="C9" s="122"/>
      <c r="D9" s="122"/>
      <c r="E9" s="123"/>
      <c r="F9" s="123" t="s">
        <v>63</v>
      </c>
      <c r="G9" s="123"/>
      <c r="H9" s="123">
        <v>10</v>
      </c>
      <c r="I9" s="124">
        <f t="shared" si="0"/>
        <v>0.94339622641509435</v>
      </c>
      <c r="J9" s="125">
        <f t="shared" si="1"/>
        <v>0.94339622641509435</v>
      </c>
    </row>
    <row r="10" spans="1:10" ht="58.5" customHeight="1">
      <c r="A10" s="52">
        <v>6</v>
      </c>
      <c r="B10" s="122" t="s">
        <v>246</v>
      </c>
      <c r="C10" s="122"/>
      <c r="D10" s="122"/>
      <c r="E10" s="123"/>
      <c r="F10" s="123" t="s">
        <v>63</v>
      </c>
      <c r="G10" s="123"/>
      <c r="H10" s="123">
        <v>10</v>
      </c>
      <c r="I10" s="124">
        <f t="shared" si="0"/>
        <v>0.94339622641509435</v>
      </c>
      <c r="J10" s="125">
        <f t="shared" si="1"/>
        <v>0.94339622641509435</v>
      </c>
    </row>
    <row r="11" spans="1:10" ht="31.5" customHeight="1">
      <c r="A11" s="52">
        <v>7</v>
      </c>
      <c r="B11" s="122" t="s">
        <v>247</v>
      </c>
      <c r="C11" s="122"/>
      <c r="D11" s="122"/>
      <c r="E11" s="123" t="s">
        <v>63</v>
      </c>
      <c r="F11" s="123"/>
      <c r="G11" s="123"/>
      <c r="H11" s="123">
        <v>10</v>
      </c>
      <c r="I11" s="124">
        <f t="shared" si="0"/>
        <v>0.94339622641509435</v>
      </c>
      <c r="J11" s="125">
        <f t="shared" si="1"/>
        <v>0</v>
      </c>
    </row>
    <row r="12" spans="1:10" ht="35.25" customHeight="1">
      <c r="A12" s="52">
        <v>8</v>
      </c>
      <c r="B12" s="122" t="s">
        <v>248</v>
      </c>
      <c r="C12" s="122"/>
      <c r="D12" s="122"/>
      <c r="E12" s="123"/>
      <c r="F12" s="123" t="s">
        <v>63</v>
      </c>
      <c r="G12" s="123"/>
      <c r="H12" s="123">
        <v>10</v>
      </c>
      <c r="I12" s="124">
        <f t="shared" si="0"/>
        <v>0.94339622641509435</v>
      </c>
      <c r="J12" s="125">
        <f t="shared" si="1"/>
        <v>0.94339622641509435</v>
      </c>
    </row>
    <row r="13" spans="1:10" ht="50.25" customHeight="1">
      <c r="A13" s="52">
        <v>9</v>
      </c>
      <c r="B13" s="122" t="s">
        <v>249</v>
      </c>
      <c r="C13" s="122"/>
      <c r="D13" s="122"/>
      <c r="E13" s="123"/>
      <c r="F13" s="123" t="s">
        <v>63</v>
      </c>
      <c r="G13" s="123"/>
      <c r="H13" s="123">
        <v>6</v>
      </c>
      <c r="I13" s="124">
        <f t="shared" si="0"/>
        <v>0.56603773584905659</v>
      </c>
      <c r="J13" s="125">
        <f t="shared" si="1"/>
        <v>0.56603773584905659</v>
      </c>
    </row>
    <row r="14" spans="1:10" ht="48" customHeight="1">
      <c r="A14" s="52">
        <v>10</v>
      </c>
      <c r="B14" s="122" t="s">
        <v>250</v>
      </c>
      <c r="C14" s="122"/>
      <c r="D14" s="122"/>
      <c r="E14" s="123"/>
      <c r="F14" s="123" t="s">
        <v>63</v>
      </c>
      <c r="G14" s="123"/>
      <c r="H14" s="123">
        <v>10</v>
      </c>
      <c r="I14" s="124">
        <f t="shared" si="0"/>
        <v>0.94339622641509435</v>
      </c>
      <c r="J14" s="125">
        <f t="shared" si="1"/>
        <v>0.94339622641509435</v>
      </c>
    </row>
    <row r="15" spans="1:10" ht="66.75" customHeight="1">
      <c r="A15" s="52">
        <v>11</v>
      </c>
      <c r="B15" s="122" t="s">
        <v>251</v>
      </c>
      <c r="C15" s="122"/>
      <c r="D15" s="122"/>
      <c r="E15" s="123"/>
      <c r="F15" s="123" t="s">
        <v>63</v>
      </c>
      <c r="G15" s="123"/>
      <c r="H15" s="123">
        <v>6</v>
      </c>
      <c r="I15" s="124">
        <f t="shared" si="0"/>
        <v>0.56603773584905659</v>
      </c>
      <c r="J15" s="125">
        <f t="shared" si="1"/>
        <v>0.56603773584905659</v>
      </c>
    </row>
    <row r="16" spans="1:10" ht="62.25" customHeight="1">
      <c r="A16" s="52">
        <v>12</v>
      </c>
      <c r="B16" s="122" t="s">
        <v>252</v>
      </c>
      <c r="C16" s="122"/>
      <c r="D16" s="122"/>
      <c r="E16" s="123"/>
      <c r="F16" s="123" t="s">
        <v>63</v>
      </c>
      <c r="G16" s="123"/>
      <c r="H16" s="123">
        <v>6</v>
      </c>
      <c r="I16" s="124">
        <f t="shared" si="0"/>
        <v>0.56603773584905659</v>
      </c>
      <c r="J16" s="125">
        <f t="shared" si="1"/>
        <v>0.56603773584905659</v>
      </c>
    </row>
    <row r="17" spans="1:10" ht="62.25" customHeight="1">
      <c r="A17" s="52">
        <v>13</v>
      </c>
      <c r="B17" s="122" t="s">
        <v>253</v>
      </c>
      <c r="C17" s="122"/>
      <c r="D17" s="122"/>
      <c r="E17" s="123"/>
      <c r="F17" s="123" t="s">
        <v>63</v>
      </c>
      <c r="G17" s="123"/>
      <c r="H17" s="123">
        <v>6</v>
      </c>
      <c r="I17" s="124">
        <f t="shared" si="0"/>
        <v>0.56603773584905659</v>
      </c>
      <c r="J17" s="125">
        <f t="shared" si="1"/>
        <v>0.56603773584905659</v>
      </c>
    </row>
    <row r="18" spans="1:10" ht="75.75" customHeight="1">
      <c r="A18" s="52">
        <v>14</v>
      </c>
      <c r="B18" s="122" t="s">
        <v>254</v>
      </c>
      <c r="C18" s="122"/>
      <c r="D18" s="122"/>
      <c r="E18" s="123"/>
      <c r="F18" s="123" t="s">
        <v>63</v>
      </c>
      <c r="G18" s="123"/>
      <c r="H18" s="123">
        <v>2</v>
      </c>
      <c r="I18" s="124">
        <f t="shared" si="0"/>
        <v>0.18867924528301888</v>
      </c>
      <c r="J18" s="125">
        <f t="shared" si="1"/>
        <v>0.18867924528301888</v>
      </c>
    </row>
    <row r="19" spans="1:10" ht="47.25" customHeight="1">
      <c r="A19" s="52">
        <v>15</v>
      </c>
      <c r="B19" s="122" t="s">
        <v>255</v>
      </c>
      <c r="C19" s="122"/>
      <c r="D19" s="122"/>
      <c r="E19" s="123"/>
      <c r="F19" s="123" t="s">
        <v>63</v>
      </c>
      <c r="G19" s="123"/>
      <c r="H19" s="123">
        <v>6</v>
      </c>
      <c r="I19" s="124">
        <f t="shared" si="0"/>
        <v>0.56603773584905659</v>
      </c>
      <c r="J19" s="125">
        <f t="shared" si="1"/>
        <v>0.56603773584905659</v>
      </c>
    </row>
    <row r="20" spans="1:10" ht="15" customHeight="1">
      <c r="A20" s="83" t="s">
        <v>71</v>
      </c>
      <c r="B20" s="83"/>
      <c r="C20" s="83"/>
      <c r="D20" s="83"/>
      <c r="E20" s="83"/>
      <c r="F20" s="83"/>
      <c r="G20" s="83"/>
      <c r="H20" s="83"/>
      <c r="I20" s="28">
        <f>SUM(I5:I19)</f>
        <v>10</v>
      </c>
      <c r="J20" s="19">
        <f>SUM(J5:J19)</f>
        <v>9.0566037735849072</v>
      </c>
    </row>
  </sheetData>
  <mergeCells count="23">
    <mergeCell ref="A20:H20"/>
    <mergeCell ref="B10:D10"/>
    <mergeCell ref="B19:D19"/>
    <mergeCell ref="B8:D8"/>
    <mergeCell ref="B9:D9"/>
    <mergeCell ref="B17:D17"/>
    <mergeCell ref="B18:D18"/>
    <mergeCell ref="B15:D15"/>
    <mergeCell ref="B16:D16"/>
    <mergeCell ref="B4:D4"/>
    <mergeCell ref="B5:D5"/>
    <mergeCell ref="B6:D6"/>
    <mergeCell ref="B7:D7"/>
    <mergeCell ref="B14:D14"/>
    <mergeCell ref="B11:D11"/>
    <mergeCell ref="B12:D12"/>
    <mergeCell ref="B13:D13"/>
    <mergeCell ref="A1:B1"/>
    <mergeCell ref="A2:B2"/>
    <mergeCell ref="C1:J1"/>
    <mergeCell ref="C2:J2"/>
    <mergeCell ref="E3:J3"/>
    <mergeCell ref="A3:B3"/>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AF303-536A-4791-A553-3597E18AA5FF}">
  <sheetPr>
    <tabColor rgb="FFFFC000"/>
  </sheetPr>
  <dimension ref="A1:J15"/>
  <sheetViews>
    <sheetView workbookViewId="0">
      <selection activeCell="B8" sqref="A1:J15"/>
    </sheetView>
  </sheetViews>
  <sheetFormatPr defaultColWidth="11.42578125" defaultRowHeight="14.25"/>
  <cols>
    <col min="1" max="1" width="4.7109375" style="23"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42</v>
      </c>
      <c r="D2" s="74"/>
      <c r="E2" s="74"/>
      <c r="F2" s="74"/>
      <c r="G2" s="74"/>
      <c r="H2" s="74"/>
      <c r="I2" s="74"/>
      <c r="J2" s="75"/>
    </row>
    <row r="3" spans="1:10" ht="45">
      <c r="A3" s="70" t="s">
        <v>81</v>
      </c>
      <c r="B3" s="70"/>
      <c r="C3" s="18" t="s">
        <v>93</v>
      </c>
      <c r="D3" s="55" t="s">
        <v>94</v>
      </c>
      <c r="E3" s="122" t="s">
        <v>95</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33" customHeight="1">
      <c r="A5" s="52">
        <v>1</v>
      </c>
      <c r="B5" s="122" t="s">
        <v>97</v>
      </c>
      <c r="C5" s="122"/>
      <c r="D5" s="122"/>
      <c r="E5" s="123"/>
      <c r="F5" s="123" t="s">
        <v>63</v>
      </c>
      <c r="G5" s="123"/>
      <c r="H5" s="123">
        <v>10</v>
      </c>
      <c r="I5" s="124">
        <f>(H5*10)/SUM($H$5:$H$14)</f>
        <v>1.9230769230769231</v>
      </c>
      <c r="J5" s="125">
        <f>IF(F5="X",((H5*10)/SUM($H$5:$H$14)),0)</f>
        <v>1.9230769230769231</v>
      </c>
    </row>
    <row r="6" spans="1:10" ht="47.25" customHeight="1">
      <c r="A6" s="52">
        <v>2</v>
      </c>
      <c r="B6" s="122" t="s">
        <v>98</v>
      </c>
      <c r="C6" s="122"/>
      <c r="D6" s="122"/>
      <c r="E6" s="123"/>
      <c r="F6" s="123" t="s">
        <v>63</v>
      </c>
      <c r="G6" s="123"/>
      <c r="H6" s="123">
        <v>2</v>
      </c>
      <c r="I6" s="124">
        <f t="shared" ref="I6:I14" si="0">(H6*10)/SUM($H$5:$H$14)</f>
        <v>0.38461538461538464</v>
      </c>
      <c r="J6" s="125">
        <f t="shared" ref="J6:J14" si="1">IF(F6="X",((H6*10)/SUM($H$5:$H$14)),0)</f>
        <v>0.38461538461538464</v>
      </c>
    </row>
    <row r="7" spans="1:10" ht="33" customHeight="1">
      <c r="A7" s="52">
        <v>3</v>
      </c>
      <c r="B7" s="122" t="s">
        <v>99</v>
      </c>
      <c r="C7" s="122"/>
      <c r="D7" s="122"/>
      <c r="E7" s="123"/>
      <c r="F7" s="123" t="s">
        <v>63</v>
      </c>
      <c r="G7" s="123"/>
      <c r="H7" s="123">
        <v>6</v>
      </c>
      <c r="I7" s="124">
        <f t="shared" si="0"/>
        <v>1.1538461538461537</v>
      </c>
      <c r="J7" s="125">
        <f t="shared" si="1"/>
        <v>1.1538461538461537</v>
      </c>
    </row>
    <row r="8" spans="1:10" ht="18" customHeight="1">
      <c r="A8" s="52">
        <v>4</v>
      </c>
      <c r="B8" s="122" t="s">
        <v>100</v>
      </c>
      <c r="C8" s="122"/>
      <c r="D8" s="122"/>
      <c r="E8" s="123"/>
      <c r="F8" s="123" t="s">
        <v>63</v>
      </c>
      <c r="G8" s="123"/>
      <c r="H8" s="123">
        <v>6</v>
      </c>
      <c r="I8" s="124">
        <f t="shared" si="0"/>
        <v>1.1538461538461537</v>
      </c>
      <c r="J8" s="125">
        <f t="shared" si="1"/>
        <v>1.1538461538461537</v>
      </c>
    </row>
    <row r="9" spans="1:10" ht="30" customHeight="1">
      <c r="A9" s="52">
        <v>5</v>
      </c>
      <c r="B9" s="122" t="s">
        <v>101</v>
      </c>
      <c r="C9" s="122"/>
      <c r="D9" s="122"/>
      <c r="E9" s="123"/>
      <c r="F9" s="123" t="s">
        <v>63</v>
      </c>
      <c r="G9" s="123"/>
      <c r="H9" s="123">
        <v>10</v>
      </c>
      <c r="I9" s="124">
        <f t="shared" si="0"/>
        <v>1.9230769230769231</v>
      </c>
      <c r="J9" s="125">
        <f t="shared" si="1"/>
        <v>1.9230769230769231</v>
      </c>
    </row>
    <row r="10" spans="1:10" ht="47.25" customHeight="1">
      <c r="A10" s="52">
        <v>6</v>
      </c>
      <c r="B10" s="122" t="s">
        <v>102</v>
      </c>
      <c r="C10" s="122"/>
      <c r="D10" s="122"/>
      <c r="E10" s="123"/>
      <c r="F10" s="123" t="s">
        <v>63</v>
      </c>
      <c r="G10" s="123"/>
      <c r="H10" s="123">
        <v>6</v>
      </c>
      <c r="I10" s="124">
        <f t="shared" si="0"/>
        <v>1.1538461538461537</v>
      </c>
      <c r="J10" s="125">
        <f t="shared" si="1"/>
        <v>1.1538461538461537</v>
      </c>
    </row>
    <row r="11" spans="1:10" ht="47.25" customHeight="1">
      <c r="A11" s="52">
        <v>7</v>
      </c>
      <c r="B11" s="122" t="s">
        <v>103</v>
      </c>
      <c r="C11" s="122"/>
      <c r="D11" s="122"/>
      <c r="E11" s="123"/>
      <c r="F11" s="123" t="s">
        <v>63</v>
      </c>
      <c r="G11" s="123"/>
      <c r="H11" s="123">
        <v>2</v>
      </c>
      <c r="I11" s="124">
        <f t="shared" si="0"/>
        <v>0.38461538461538464</v>
      </c>
      <c r="J11" s="125">
        <f t="shared" si="1"/>
        <v>0.38461538461538464</v>
      </c>
    </row>
    <row r="12" spans="1:10" ht="47.25" customHeight="1">
      <c r="A12" s="52">
        <v>8</v>
      </c>
      <c r="B12" s="122" t="s">
        <v>104</v>
      </c>
      <c r="C12" s="122"/>
      <c r="D12" s="122"/>
      <c r="E12" s="123" t="s">
        <v>63</v>
      </c>
      <c r="F12" s="123"/>
      <c r="G12" s="123"/>
      <c r="H12" s="123">
        <v>6</v>
      </c>
      <c r="I12" s="124">
        <f t="shared" si="0"/>
        <v>1.1538461538461537</v>
      </c>
      <c r="J12" s="125">
        <f t="shared" si="1"/>
        <v>0</v>
      </c>
    </row>
    <row r="13" spans="1:10" ht="35.25" customHeight="1">
      <c r="A13" s="52">
        <v>9</v>
      </c>
      <c r="B13" s="122" t="s">
        <v>105</v>
      </c>
      <c r="C13" s="122"/>
      <c r="D13" s="122"/>
      <c r="E13" s="123"/>
      <c r="F13" s="123" t="s">
        <v>63</v>
      </c>
      <c r="G13" s="123"/>
      <c r="H13" s="123">
        <v>2</v>
      </c>
      <c r="I13" s="124">
        <f t="shared" si="0"/>
        <v>0.38461538461538464</v>
      </c>
      <c r="J13" s="125">
        <f t="shared" si="1"/>
        <v>0.38461538461538464</v>
      </c>
    </row>
    <row r="14" spans="1:10" ht="33.75" customHeight="1">
      <c r="A14" s="52">
        <v>10</v>
      </c>
      <c r="B14" s="122" t="s">
        <v>106</v>
      </c>
      <c r="C14" s="122"/>
      <c r="D14" s="122"/>
      <c r="E14" s="123" t="s">
        <v>63</v>
      </c>
      <c r="F14" s="123"/>
      <c r="G14" s="123"/>
      <c r="H14" s="123">
        <v>2</v>
      </c>
      <c r="I14" s="126">
        <f t="shared" si="0"/>
        <v>0.38461538461538464</v>
      </c>
      <c r="J14" s="125">
        <f t="shared" si="1"/>
        <v>0</v>
      </c>
    </row>
    <row r="15" spans="1:10" ht="15" customHeight="1">
      <c r="A15" s="71" t="s">
        <v>71</v>
      </c>
      <c r="B15" s="72"/>
      <c r="C15" s="72"/>
      <c r="D15" s="72"/>
      <c r="E15" s="72"/>
      <c r="F15" s="72"/>
      <c r="G15" s="72"/>
      <c r="H15" s="82"/>
      <c r="I15" s="28">
        <f>SUM(I5:I14)</f>
        <v>10</v>
      </c>
      <c r="J15" s="30">
        <f>SUM(J5:J14)</f>
        <v>8.4615384615384617</v>
      </c>
    </row>
  </sheetData>
  <mergeCells count="18">
    <mergeCell ref="B11:D11"/>
    <mergeCell ref="B12:D12"/>
    <mergeCell ref="B13:D13"/>
    <mergeCell ref="B14:D14"/>
    <mergeCell ref="A15:H15"/>
    <mergeCell ref="B10:D10"/>
    <mergeCell ref="A3:B3"/>
    <mergeCell ref="B4:D4"/>
    <mergeCell ref="B5:D5"/>
    <mergeCell ref="B6:D6"/>
    <mergeCell ref="B7:D7"/>
    <mergeCell ref="B8:D8"/>
    <mergeCell ref="B9:D9"/>
    <mergeCell ref="A1:B1"/>
    <mergeCell ref="A2:B2"/>
    <mergeCell ref="C1:J1"/>
    <mergeCell ref="C2:J2"/>
    <mergeCell ref="E3:J3"/>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B312B-4758-44E1-8FC7-96E34B6D8613}">
  <sheetPr>
    <tabColor rgb="FFFFC000"/>
  </sheetPr>
  <dimension ref="A1:J17"/>
  <sheetViews>
    <sheetView workbookViewId="0">
      <selection activeCell="B7" sqref="A1:J17"/>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42</v>
      </c>
      <c r="D2" s="74"/>
      <c r="E2" s="74"/>
      <c r="F2" s="74"/>
      <c r="G2" s="74"/>
      <c r="H2" s="74"/>
      <c r="I2" s="74"/>
      <c r="J2" s="75"/>
    </row>
    <row r="3" spans="1:10" ht="45">
      <c r="A3" s="70" t="s">
        <v>81</v>
      </c>
      <c r="B3" s="70"/>
      <c r="C3" s="18" t="s">
        <v>93</v>
      </c>
      <c r="D3" s="55" t="s">
        <v>107</v>
      </c>
      <c r="E3" s="122" t="s">
        <v>108</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8" customHeight="1">
      <c r="A5" s="52">
        <v>1</v>
      </c>
      <c r="B5" s="122" t="s">
        <v>109</v>
      </c>
      <c r="C5" s="122"/>
      <c r="D5" s="122"/>
      <c r="E5" s="123" t="s">
        <v>63</v>
      </c>
      <c r="F5" s="123"/>
      <c r="G5" s="123"/>
      <c r="H5" s="123">
        <v>2</v>
      </c>
      <c r="I5" s="124">
        <f t="shared" ref="I5:I10" si="0">(H5*10)/SUM($H$5:$H$16)</f>
        <v>0.33333333333333331</v>
      </c>
      <c r="J5" s="125">
        <f>IF(F5="X",((H5*10)/SUM($H$5:$H$16)),0)</f>
        <v>0</v>
      </c>
    </row>
    <row r="6" spans="1:10" ht="46.5" customHeight="1">
      <c r="A6" s="52">
        <v>2</v>
      </c>
      <c r="B6" s="122" t="s">
        <v>110</v>
      </c>
      <c r="C6" s="122"/>
      <c r="D6" s="122"/>
      <c r="E6" s="123"/>
      <c r="F6" s="123" t="s">
        <v>63</v>
      </c>
      <c r="G6" s="123"/>
      <c r="H6" s="123">
        <v>6</v>
      </c>
      <c r="I6" s="124">
        <f t="shared" si="0"/>
        <v>1</v>
      </c>
      <c r="J6" s="125">
        <f t="shared" ref="J6:J15" si="1">IF(F6="X",((H6*10)/SUM($H$5:$H$16)),0)</f>
        <v>1</v>
      </c>
    </row>
    <row r="7" spans="1:10" ht="62.25" customHeight="1">
      <c r="A7" s="52">
        <v>3</v>
      </c>
      <c r="B7" s="122" t="s">
        <v>111</v>
      </c>
      <c r="C7" s="122"/>
      <c r="D7" s="122"/>
      <c r="E7" s="123"/>
      <c r="F7" s="123" t="s">
        <v>63</v>
      </c>
      <c r="G7" s="123"/>
      <c r="H7" s="123">
        <v>10</v>
      </c>
      <c r="I7" s="124">
        <f t="shared" si="0"/>
        <v>1.6666666666666667</v>
      </c>
      <c r="J7" s="125">
        <f t="shared" si="1"/>
        <v>1.6666666666666667</v>
      </c>
    </row>
    <row r="8" spans="1:10" ht="48" customHeight="1">
      <c r="A8" s="52">
        <v>4</v>
      </c>
      <c r="B8" s="122" t="s">
        <v>112</v>
      </c>
      <c r="C8" s="122"/>
      <c r="D8" s="122"/>
      <c r="E8" s="123"/>
      <c r="F8" s="123" t="s">
        <v>63</v>
      </c>
      <c r="G8" s="123"/>
      <c r="H8" s="123">
        <v>10</v>
      </c>
      <c r="I8" s="124">
        <f t="shared" si="0"/>
        <v>1.6666666666666667</v>
      </c>
      <c r="J8" s="125">
        <f t="shared" si="1"/>
        <v>1.6666666666666667</v>
      </c>
    </row>
    <row r="9" spans="1:10" ht="36" customHeight="1">
      <c r="A9" s="52">
        <v>5</v>
      </c>
      <c r="B9" s="122" t="s">
        <v>113</v>
      </c>
      <c r="C9" s="122"/>
      <c r="D9" s="122"/>
      <c r="E9" s="123"/>
      <c r="F9" s="123" t="s">
        <v>63</v>
      </c>
      <c r="G9" s="123"/>
      <c r="H9" s="123">
        <v>10</v>
      </c>
      <c r="I9" s="124">
        <f t="shared" si="0"/>
        <v>1.6666666666666667</v>
      </c>
      <c r="J9" s="125">
        <f t="shared" si="1"/>
        <v>1.6666666666666667</v>
      </c>
    </row>
    <row r="10" spans="1:10" ht="47.25" customHeight="1">
      <c r="A10" s="52">
        <v>6</v>
      </c>
      <c r="B10" s="122" t="s">
        <v>114</v>
      </c>
      <c r="C10" s="122"/>
      <c r="D10" s="122"/>
      <c r="E10" s="123"/>
      <c r="F10" s="123" t="s">
        <v>63</v>
      </c>
      <c r="G10" s="123"/>
      <c r="H10" s="123">
        <v>2</v>
      </c>
      <c r="I10" s="124">
        <f t="shared" si="0"/>
        <v>0.33333333333333331</v>
      </c>
      <c r="J10" s="125">
        <f t="shared" si="1"/>
        <v>0.33333333333333331</v>
      </c>
    </row>
    <row r="11" spans="1:10" ht="59.25" customHeight="1">
      <c r="A11" s="52">
        <v>7</v>
      </c>
      <c r="B11" s="122" t="s">
        <v>115</v>
      </c>
      <c r="C11" s="122"/>
      <c r="D11" s="122"/>
      <c r="E11" s="123" t="s">
        <v>63</v>
      </c>
      <c r="F11" s="123"/>
      <c r="G11" s="123"/>
      <c r="H11" s="123">
        <v>2</v>
      </c>
      <c r="I11" s="124">
        <f t="shared" ref="I11:I16" si="2">(H11*10)/SUM($H$5:$H$16)</f>
        <v>0.33333333333333331</v>
      </c>
      <c r="J11" s="125">
        <f t="shared" si="1"/>
        <v>0</v>
      </c>
    </row>
    <row r="12" spans="1:10" ht="47.25" customHeight="1">
      <c r="A12" s="52">
        <v>8</v>
      </c>
      <c r="B12" s="122" t="s">
        <v>116</v>
      </c>
      <c r="C12" s="122"/>
      <c r="D12" s="122"/>
      <c r="E12" s="123"/>
      <c r="F12" s="123" t="s">
        <v>63</v>
      </c>
      <c r="G12" s="123"/>
      <c r="H12" s="123">
        <v>6</v>
      </c>
      <c r="I12" s="124">
        <f t="shared" si="2"/>
        <v>1</v>
      </c>
      <c r="J12" s="125">
        <f t="shared" si="1"/>
        <v>1</v>
      </c>
    </row>
    <row r="13" spans="1:10" ht="33.75" customHeight="1">
      <c r="A13" s="52">
        <v>9</v>
      </c>
      <c r="B13" s="122" t="s">
        <v>117</v>
      </c>
      <c r="C13" s="122"/>
      <c r="D13" s="122"/>
      <c r="E13" s="123"/>
      <c r="F13" s="123" t="s">
        <v>63</v>
      </c>
      <c r="G13" s="123"/>
      <c r="H13" s="123">
        <v>6</v>
      </c>
      <c r="I13" s="124">
        <f t="shared" si="2"/>
        <v>1</v>
      </c>
      <c r="J13" s="125">
        <f t="shared" si="1"/>
        <v>1</v>
      </c>
    </row>
    <row r="14" spans="1:10" ht="33" customHeight="1">
      <c r="A14" s="52">
        <v>10</v>
      </c>
      <c r="B14" s="122" t="s">
        <v>118</v>
      </c>
      <c r="C14" s="122"/>
      <c r="D14" s="122"/>
      <c r="E14" s="123"/>
      <c r="F14" s="123" t="s">
        <v>63</v>
      </c>
      <c r="G14" s="123"/>
      <c r="H14" s="123">
        <v>2</v>
      </c>
      <c r="I14" s="124">
        <f t="shared" si="2"/>
        <v>0.33333333333333331</v>
      </c>
      <c r="J14" s="125">
        <f t="shared" si="1"/>
        <v>0.33333333333333331</v>
      </c>
    </row>
    <row r="15" spans="1:10" ht="31.5" customHeight="1">
      <c r="A15" s="52">
        <v>11</v>
      </c>
      <c r="B15" s="122" t="s">
        <v>119</v>
      </c>
      <c r="C15" s="122"/>
      <c r="D15" s="122"/>
      <c r="E15" s="123"/>
      <c r="F15" s="123" t="s">
        <v>63</v>
      </c>
      <c r="G15" s="123"/>
      <c r="H15" s="123">
        <v>2</v>
      </c>
      <c r="I15" s="124">
        <f t="shared" si="2"/>
        <v>0.33333333333333331</v>
      </c>
      <c r="J15" s="125">
        <f t="shared" si="1"/>
        <v>0.33333333333333331</v>
      </c>
    </row>
    <row r="16" spans="1:10" ht="58.5" customHeight="1">
      <c r="A16" s="52">
        <v>12</v>
      </c>
      <c r="B16" s="122" t="s">
        <v>120</v>
      </c>
      <c r="C16" s="122"/>
      <c r="D16" s="122"/>
      <c r="E16" s="123"/>
      <c r="F16" s="123" t="s">
        <v>63</v>
      </c>
      <c r="G16" s="123"/>
      <c r="H16" s="123">
        <v>2</v>
      </c>
      <c r="I16" s="124">
        <f t="shared" si="2"/>
        <v>0.33333333333333331</v>
      </c>
      <c r="J16" s="125">
        <f>IF(F16="X",((H16*10)/SUM($H$5:$H$16)),0)</f>
        <v>0.33333333333333331</v>
      </c>
    </row>
    <row r="17" spans="1:10" ht="15" customHeight="1">
      <c r="A17" s="83" t="s">
        <v>71</v>
      </c>
      <c r="B17" s="83"/>
      <c r="C17" s="83"/>
      <c r="D17" s="83"/>
      <c r="E17" s="83"/>
      <c r="F17" s="83"/>
      <c r="G17" s="83"/>
      <c r="H17" s="83"/>
      <c r="I17" s="28">
        <f>SUM(I5:I16)</f>
        <v>10.000000000000002</v>
      </c>
      <c r="J17" s="19">
        <f>SUM(J5:J16)</f>
        <v>9.3333333333333357</v>
      </c>
    </row>
  </sheetData>
  <mergeCells count="20">
    <mergeCell ref="A17:H17"/>
    <mergeCell ref="B10:D10"/>
    <mergeCell ref="A3:B3"/>
    <mergeCell ref="B4:D4"/>
    <mergeCell ref="B5:D5"/>
    <mergeCell ref="B6:D6"/>
    <mergeCell ref="B7:D7"/>
    <mergeCell ref="B8:D8"/>
    <mergeCell ref="B9:D9"/>
    <mergeCell ref="E3:J3"/>
    <mergeCell ref="B11:D11"/>
    <mergeCell ref="B12:D12"/>
    <mergeCell ref="B13:D13"/>
    <mergeCell ref="B14:D14"/>
    <mergeCell ref="B15:D15"/>
    <mergeCell ref="A1:B1"/>
    <mergeCell ref="A2:B2"/>
    <mergeCell ref="C1:J1"/>
    <mergeCell ref="C2:J2"/>
    <mergeCell ref="B16:D16"/>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295AD-9A80-4743-B119-15C8D16EDF8B}">
  <sheetPr>
    <tabColor rgb="FFFFC000"/>
  </sheetPr>
  <dimension ref="A1:J17"/>
  <sheetViews>
    <sheetView workbookViewId="0">
      <selection activeCell="B7" sqref="A1:J17"/>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42</v>
      </c>
      <c r="D2" s="74"/>
      <c r="E2" s="74"/>
      <c r="F2" s="74"/>
      <c r="G2" s="74"/>
      <c r="H2" s="74"/>
      <c r="I2" s="74"/>
      <c r="J2" s="75"/>
    </row>
    <row r="3" spans="1:10" ht="45">
      <c r="A3" s="70" t="s">
        <v>81</v>
      </c>
      <c r="B3" s="70"/>
      <c r="C3" s="18" t="s">
        <v>93</v>
      </c>
      <c r="D3" s="55" t="s">
        <v>121</v>
      </c>
      <c r="E3" s="122" t="s">
        <v>122</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36" customHeight="1">
      <c r="A5" s="52">
        <v>1</v>
      </c>
      <c r="B5" s="122" t="s">
        <v>124</v>
      </c>
      <c r="C5" s="122"/>
      <c r="D5" s="122"/>
      <c r="E5" s="123"/>
      <c r="F5" s="123" t="s">
        <v>63</v>
      </c>
      <c r="G5" s="123"/>
      <c r="H5" s="123">
        <v>6</v>
      </c>
      <c r="I5" s="124">
        <f>(H5*10)/SUM($H$5:$H$16)</f>
        <v>1.0714285714285714</v>
      </c>
      <c r="J5" s="125">
        <f>IF(F5="X",((H5*10)/SUM($H$5:$H$16)),0)</f>
        <v>1.0714285714285714</v>
      </c>
    </row>
    <row r="6" spans="1:10" ht="31.5" customHeight="1">
      <c r="A6" s="52">
        <v>2</v>
      </c>
      <c r="B6" s="122" t="s">
        <v>125</v>
      </c>
      <c r="C6" s="122"/>
      <c r="D6" s="122"/>
      <c r="E6" s="123"/>
      <c r="F6" s="123" t="s">
        <v>63</v>
      </c>
      <c r="G6" s="123"/>
      <c r="H6" s="123">
        <v>2</v>
      </c>
      <c r="I6" s="124">
        <f t="shared" ref="I6:I16" si="0">(H6*10)/SUM($H$5:$H$16)</f>
        <v>0.35714285714285715</v>
      </c>
      <c r="J6" s="125">
        <f t="shared" ref="J6:J16" si="1">IF(F6="X",((H6*10)/SUM($H$5:$H$16)),0)</f>
        <v>0.35714285714285715</v>
      </c>
    </row>
    <row r="7" spans="1:10" ht="35.25" customHeight="1">
      <c r="A7" s="52">
        <v>3</v>
      </c>
      <c r="B7" s="122" t="s">
        <v>126</v>
      </c>
      <c r="C7" s="122"/>
      <c r="D7" s="122"/>
      <c r="E7" s="123"/>
      <c r="F7" s="123" t="s">
        <v>63</v>
      </c>
      <c r="G7" s="123"/>
      <c r="H7" s="123">
        <v>2</v>
      </c>
      <c r="I7" s="124">
        <f t="shared" si="0"/>
        <v>0.35714285714285715</v>
      </c>
      <c r="J7" s="125">
        <f t="shared" si="1"/>
        <v>0.35714285714285715</v>
      </c>
    </row>
    <row r="8" spans="1:10" ht="75.75" customHeight="1">
      <c r="A8" s="52">
        <v>4</v>
      </c>
      <c r="B8" s="122" t="s">
        <v>127</v>
      </c>
      <c r="C8" s="122"/>
      <c r="D8" s="122"/>
      <c r="E8" s="123"/>
      <c r="F8" s="123" t="s">
        <v>63</v>
      </c>
      <c r="G8" s="123"/>
      <c r="H8" s="123">
        <v>6</v>
      </c>
      <c r="I8" s="124">
        <f t="shared" si="0"/>
        <v>1.0714285714285714</v>
      </c>
      <c r="J8" s="125">
        <f t="shared" si="1"/>
        <v>1.0714285714285714</v>
      </c>
    </row>
    <row r="9" spans="1:10" ht="59.25" customHeight="1">
      <c r="A9" s="52">
        <v>5</v>
      </c>
      <c r="B9" s="122" t="s">
        <v>128</v>
      </c>
      <c r="C9" s="122"/>
      <c r="D9" s="122"/>
      <c r="E9" s="123"/>
      <c r="F9" s="123" t="s">
        <v>63</v>
      </c>
      <c r="G9" s="123"/>
      <c r="H9" s="123">
        <v>10</v>
      </c>
      <c r="I9" s="124">
        <f t="shared" si="0"/>
        <v>1.7857142857142858</v>
      </c>
      <c r="J9" s="125">
        <f>IF(F9="X",((H9*10)/SUM($H$5:$H$16)),0)</f>
        <v>1.7857142857142858</v>
      </c>
    </row>
    <row r="10" spans="1:10" ht="90.75" customHeight="1">
      <c r="A10" s="52">
        <v>6</v>
      </c>
      <c r="B10" s="122" t="s">
        <v>129</v>
      </c>
      <c r="C10" s="122"/>
      <c r="D10" s="122"/>
      <c r="E10" s="123" t="s">
        <v>63</v>
      </c>
      <c r="F10" s="123"/>
      <c r="G10" s="123"/>
      <c r="H10" s="123">
        <v>6</v>
      </c>
      <c r="I10" s="124">
        <f t="shared" si="0"/>
        <v>1.0714285714285714</v>
      </c>
      <c r="J10" s="125">
        <f t="shared" si="1"/>
        <v>0</v>
      </c>
    </row>
    <row r="11" spans="1:10" ht="45.75" customHeight="1">
      <c r="A11" s="52">
        <v>7</v>
      </c>
      <c r="B11" s="122" t="s">
        <v>130</v>
      </c>
      <c r="C11" s="122"/>
      <c r="D11" s="122"/>
      <c r="E11" s="123"/>
      <c r="F11" s="123" t="s">
        <v>63</v>
      </c>
      <c r="G11" s="123"/>
      <c r="H11" s="123">
        <v>6</v>
      </c>
      <c r="I11" s="124">
        <f t="shared" si="0"/>
        <v>1.0714285714285714</v>
      </c>
      <c r="J11" s="125">
        <f t="shared" si="1"/>
        <v>1.0714285714285714</v>
      </c>
    </row>
    <row r="12" spans="1:10" ht="31.5" customHeight="1">
      <c r="A12" s="52">
        <v>8</v>
      </c>
      <c r="B12" s="122" t="s">
        <v>131</v>
      </c>
      <c r="C12" s="122"/>
      <c r="D12" s="122"/>
      <c r="E12" s="123" t="s">
        <v>63</v>
      </c>
      <c r="F12" s="123"/>
      <c r="G12" s="123"/>
      <c r="H12" s="123">
        <v>2</v>
      </c>
      <c r="I12" s="124">
        <f t="shared" si="0"/>
        <v>0.35714285714285715</v>
      </c>
      <c r="J12" s="125">
        <f t="shared" si="1"/>
        <v>0</v>
      </c>
    </row>
    <row r="13" spans="1:10" ht="33.75" customHeight="1">
      <c r="A13" s="52">
        <v>9</v>
      </c>
      <c r="B13" s="122" t="s">
        <v>132</v>
      </c>
      <c r="C13" s="122"/>
      <c r="D13" s="122"/>
      <c r="E13" s="123"/>
      <c r="F13" s="123" t="s">
        <v>63</v>
      </c>
      <c r="G13" s="123"/>
      <c r="H13" s="123">
        <v>2</v>
      </c>
      <c r="I13" s="124">
        <f t="shared" si="0"/>
        <v>0.35714285714285715</v>
      </c>
      <c r="J13" s="125">
        <f t="shared" si="1"/>
        <v>0.35714285714285715</v>
      </c>
    </row>
    <row r="14" spans="1:10" ht="35.25" customHeight="1">
      <c r="A14" s="52">
        <v>10</v>
      </c>
      <c r="B14" s="122" t="s">
        <v>133</v>
      </c>
      <c r="C14" s="122"/>
      <c r="D14" s="122"/>
      <c r="E14" s="123" t="s">
        <v>63</v>
      </c>
      <c r="F14" s="123"/>
      <c r="G14" s="123"/>
      <c r="H14" s="123">
        <v>2</v>
      </c>
      <c r="I14" s="124">
        <f t="shared" si="0"/>
        <v>0.35714285714285715</v>
      </c>
      <c r="J14" s="125">
        <f t="shared" si="1"/>
        <v>0</v>
      </c>
    </row>
    <row r="15" spans="1:10" ht="37.5" customHeight="1">
      <c r="A15" s="52">
        <v>11</v>
      </c>
      <c r="B15" s="122" t="s">
        <v>134</v>
      </c>
      <c r="C15" s="122"/>
      <c r="D15" s="122"/>
      <c r="E15" s="123" t="s">
        <v>63</v>
      </c>
      <c r="F15" s="123"/>
      <c r="G15" s="123"/>
      <c r="H15" s="123">
        <v>6</v>
      </c>
      <c r="I15" s="124">
        <f t="shared" si="0"/>
        <v>1.0714285714285714</v>
      </c>
      <c r="J15" s="125">
        <f t="shared" si="1"/>
        <v>0</v>
      </c>
    </row>
    <row r="16" spans="1:10" ht="61.5" customHeight="1">
      <c r="A16" s="52">
        <v>12</v>
      </c>
      <c r="B16" s="122" t="s">
        <v>135</v>
      </c>
      <c r="C16" s="122"/>
      <c r="D16" s="122"/>
      <c r="E16" s="123"/>
      <c r="F16" s="123" t="s">
        <v>63</v>
      </c>
      <c r="G16" s="123"/>
      <c r="H16" s="123">
        <v>6</v>
      </c>
      <c r="I16" s="124">
        <f t="shared" si="0"/>
        <v>1.0714285714285714</v>
      </c>
      <c r="J16" s="125">
        <f t="shared" si="1"/>
        <v>1.0714285714285714</v>
      </c>
    </row>
    <row r="17" spans="1:10" ht="15" customHeight="1">
      <c r="A17" s="83" t="s">
        <v>71</v>
      </c>
      <c r="B17" s="83"/>
      <c r="C17" s="83"/>
      <c r="D17" s="83"/>
      <c r="E17" s="83"/>
      <c r="F17" s="83"/>
      <c r="G17" s="83"/>
      <c r="H17" s="83"/>
      <c r="I17" s="28">
        <f>SUM(I5:I16)</f>
        <v>9.9999999999999982</v>
      </c>
      <c r="J17" s="19">
        <f>SUM(J5:J16)</f>
        <v>7.1428571428571423</v>
      </c>
    </row>
  </sheetData>
  <mergeCells count="20">
    <mergeCell ref="A17:H17"/>
    <mergeCell ref="B10:D10"/>
    <mergeCell ref="A3:B3"/>
    <mergeCell ref="B4:D4"/>
    <mergeCell ref="B5:D5"/>
    <mergeCell ref="B6:D6"/>
    <mergeCell ref="B7:D7"/>
    <mergeCell ref="B8:D8"/>
    <mergeCell ref="B9:D9"/>
    <mergeCell ref="E3:J3"/>
    <mergeCell ref="B11:D11"/>
    <mergeCell ref="B12:D12"/>
    <mergeCell ref="B13:D13"/>
    <mergeCell ref="B14:D14"/>
    <mergeCell ref="B15:D15"/>
    <mergeCell ref="A1:B1"/>
    <mergeCell ref="A2:B2"/>
    <mergeCell ref="C1:J1"/>
    <mergeCell ref="C2:J2"/>
    <mergeCell ref="B16:D16"/>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05BD0-5A21-40B8-A314-381F068A54EA}">
  <sheetPr>
    <tabColor rgb="FFFFC000"/>
  </sheetPr>
  <dimension ref="A1:J13"/>
  <sheetViews>
    <sheetView workbookViewId="0">
      <selection activeCell="B7" sqref="A1:J13"/>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94" t="s">
        <v>51</v>
      </c>
      <c r="B1" s="94"/>
      <c r="C1" s="95" t="s">
        <v>52</v>
      </c>
      <c r="D1" s="95"/>
      <c r="E1" s="95"/>
      <c r="F1" s="95"/>
      <c r="G1" s="95"/>
      <c r="H1" s="95"/>
      <c r="I1" s="95"/>
      <c r="J1" s="95"/>
    </row>
    <row r="2" spans="1:10" ht="15">
      <c r="A2" s="94" t="s">
        <v>0</v>
      </c>
      <c r="B2" s="94"/>
      <c r="C2" s="95" t="s">
        <v>42</v>
      </c>
      <c r="D2" s="95"/>
      <c r="E2" s="95"/>
      <c r="F2" s="95"/>
      <c r="G2" s="95"/>
      <c r="H2" s="95"/>
      <c r="I2" s="95"/>
      <c r="J2" s="95"/>
    </row>
    <row r="3" spans="1:10" ht="45">
      <c r="A3" s="94" t="s">
        <v>81</v>
      </c>
      <c r="B3" s="94"/>
      <c r="C3" s="58" t="s">
        <v>93</v>
      </c>
      <c r="D3" s="59" t="s">
        <v>136</v>
      </c>
      <c r="E3" s="131" t="s">
        <v>137</v>
      </c>
      <c r="F3" s="131"/>
      <c r="G3" s="131"/>
      <c r="H3" s="131"/>
      <c r="I3" s="131"/>
      <c r="J3" s="131"/>
    </row>
    <row r="4" spans="1:10" ht="60">
      <c r="A4" s="60" t="s">
        <v>55</v>
      </c>
      <c r="B4" s="94" t="s">
        <v>56</v>
      </c>
      <c r="C4" s="94"/>
      <c r="D4" s="94"/>
      <c r="E4" s="60" t="s">
        <v>24</v>
      </c>
      <c r="F4" s="60" t="s">
        <v>57</v>
      </c>
      <c r="G4" s="60" t="s">
        <v>58</v>
      </c>
      <c r="H4" s="60" t="s">
        <v>59</v>
      </c>
      <c r="I4" s="60" t="s">
        <v>60</v>
      </c>
      <c r="J4" s="60" t="s">
        <v>61</v>
      </c>
    </row>
    <row r="5" spans="1:10" ht="47.25" customHeight="1">
      <c r="A5" s="60">
        <v>1</v>
      </c>
      <c r="B5" s="131" t="s">
        <v>138</v>
      </c>
      <c r="C5" s="131"/>
      <c r="D5" s="131"/>
      <c r="E5" s="132"/>
      <c r="F5" s="132" t="s">
        <v>63</v>
      </c>
      <c r="G5" s="132"/>
      <c r="H5" s="132">
        <v>6</v>
      </c>
      <c r="I5" s="133">
        <f>(H5*10)/SUM($H$5:$H$12)</f>
        <v>1.25</v>
      </c>
      <c r="J5" s="134">
        <f>IF(F5="X",((H5*10)/SUM($H$5:$H$12)),0)</f>
        <v>1.25</v>
      </c>
    </row>
    <row r="6" spans="1:10" ht="47.25" customHeight="1">
      <c r="A6" s="60">
        <v>2</v>
      </c>
      <c r="B6" s="131" t="s">
        <v>139</v>
      </c>
      <c r="C6" s="131"/>
      <c r="D6" s="131"/>
      <c r="E6" s="132"/>
      <c r="F6" s="132" t="s">
        <v>63</v>
      </c>
      <c r="G6" s="132"/>
      <c r="H6" s="132">
        <v>6</v>
      </c>
      <c r="I6" s="133">
        <f t="shared" ref="I6:I12" si="0">(H6*10)/SUM($H$5:$H$12)</f>
        <v>1.25</v>
      </c>
      <c r="J6" s="134">
        <f t="shared" ref="J6:J12" si="1">IF(F6="X",((H6*10)/SUM($H$5:$H$12)),0)</f>
        <v>1.25</v>
      </c>
    </row>
    <row r="7" spans="1:10" ht="63" customHeight="1">
      <c r="A7" s="60">
        <v>3</v>
      </c>
      <c r="B7" s="131" t="s">
        <v>140</v>
      </c>
      <c r="C7" s="131"/>
      <c r="D7" s="131"/>
      <c r="E7" s="132"/>
      <c r="F7" s="132" t="s">
        <v>63</v>
      </c>
      <c r="G7" s="132"/>
      <c r="H7" s="132">
        <v>6</v>
      </c>
      <c r="I7" s="133">
        <f t="shared" si="0"/>
        <v>1.25</v>
      </c>
      <c r="J7" s="134">
        <f t="shared" si="1"/>
        <v>1.25</v>
      </c>
    </row>
    <row r="8" spans="1:10" ht="31.5" customHeight="1">
      <c r="A8" s="60">
        <v>4</v>
      </c>
      <c r="B8" s="131" t="s">
        <v>141</v>
      </c>
      <c r="C8" s="131"/>
      <c r="D8" s="131"/>
      <c r="E8" s="132"/>
      <c r="F8" s="132" t="s">
        <v>63</v>
      </c>
      <c r="G8" s="132"/>
      <c r="H8" s="132">
        <v>2</v>
      </c>
      <c r="I8" s="133">
        <f t="shared" si="0"/>
        <v>0.41666666666666669</v>
      </c>
      <c r="J8" s="134">
        <f t="shared" si="1"/>
        <v>0.41666666666666669</v>
      </c>
    </row>
    <row r="9" spans="1:10" ht="31.5" customHeight="1">
      <c r="A9" s="60">
        <v>5</v>
      </c>
      <c r="B9" s="131" t="s">
        <v>142</v>
      </c>
      <c r="C9" s="131"/>
      <c r="D9" s="131"/>
      <c r="E9" s="132"/>
      <c r="F9" s="132" t="s">
        <v>63</v>
      </c>
      <c r="G9" s="132"/>
      <c r="H9" s="132">
        <v>10</v>
      </c>
      <c r="I9" s="133">
        <f t="shared" si="0"/>
        <v>2.0833333333333335</v>
      </c>
      <c r="J9" s="134">
        <f t="shared" si="1"/>
        <v>2.0833333333333335</v>
      </c>
    </row>
    <row r="10" spans="1:10" ht="48.75" customHeight="1">
      <c r="A10" s="60">
        <v>6</v>
      </c>
      <c r="B10" s="131" t="s">
        <v>143</v>
      </c>
      <c r="C10" s="131"/>
      <c r="D10" s="131"/>
      <c r="E10" s="132"/>
      <c r="F10" s="132" t="s">
        <v>63</v>
      </c>
      <c r="G10" s="132"/>
      <c r="H10" s="132">
        <v>10</v>
      </c>
      <c r="I10" s="133">
        <f t="shared" si="0"/>
        <v>2.0833333333333335</v>
      </c>
      <c r="J10" s="134">
        <f t="shared" si="1"/>
        <v>2.0833333333333335</v>
      </c>
    </row>
    <row r="11" spans="1:10" ht="47.25" customHeight="1">
      <c r="A11" s="60">
        <v>7</v>
      </c>
      <c r="B11" s="131" t="s">
        <v>144</v>
      </c>
      <c r="C11" s="131"/>
      <c r="D11" s="131"/>
      <c r="E11" s="132"/>
      <c r="F11" s="132" t="s">
        <v>63</v>
      </c>
      <c r="G11" s="132"/>
      <c r="H11" s="132">
        <v>6</v>
      </c>
      <c r="I11" s="133">
        <f t="shared" si="0"/>
        <v>1.25</v>
      </c>
      <c r="J11" s="134">
        <f t="shared" si="1"/>
        <v>1.25</v>
      </c>
    </row>
    <row r="12" spans="1:10" ht="47.25" customHeight="1">
      <c r="A12" s="60">
        <v>8</v>
      </c>
      <c r="B12" s="131" t="s">
        <v>145</v>
      </c>
      <c r="C12" s="131"/>
      <c r="D12" s="131"/>
      <c r="E12" s="132"/>
      <c r="F12" s="132" t="s">
        <v>63</v>
      </c>
      <c r="G12" s="132"/>
      <c r="H12" s="132">
        <v>2</v>
      </c>
      <c r="I12" s="133">
        <f t="shared" si="0"/>
        <v>0.41666666666666669</v>
      </c>
      <c r="J12" s="134">
        <f t="shared" si="1"/>
        <v>0.41666666666666669</v>
      </c>
    </row>
    <row r="13" spans="1:10" ht="15" customHeight="1">
      <c r="A13" s="96" t="s">
        <v>71</v>
      </c>
      <c r="B13" s="96"/>
      <c r="C13" s="96"/>
      <c r="D13" s="96"/>
      <c r="E13" s="96"/>
      <c r="F13" s="96"/>
      <c r="G13" s="96"/>
      <c r="H13" s="96"/>
      <c r="I13" s="61">
        <f>SUM(I5:I12)</f>
        <v>10</v>
      </c>
      <c r="J13" s="62">
        <f>SUM(J5:J12)</f>
        <v>10</v>
      </c>
    </row>
  </sheetData>
  <mergeCells count="16">
    <mergeCell ref="A13:H13"/>
    <mergeCell ref="A3:B3"/>
    <mergeCell ref="B4:D4"/>
    <mergeCell ref="B11:D11"/>
    <mergeCell ref="B12:D12"/>
    <mergeCell ref="E3:J3"/>
    <mergeCell ref="B5:D5"/>
    <mergeCell ref="B6:D6"/>
    <mergeCell ref="B7:D7"/>
    <mergeCell ref="B8:D8"/>
    <mergeCell ref="B9:D9"/>
    <mergeCell ref="A1:B1"/>
    <mergeCell ref="A2:B2"/>
    <mergeCell ref="C1:J1"/>
    <mergeCell ref="C2:J2"/>
    <mergeCell ref="B10:D10"/>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9A64E-65A7-4E22-86F2-A435429AB0A7}">
  <sheetPr>
    <tabColor rgb="FFFFC000"/>
  </sheetPr>
  <dimension ref="A1:J17"/>
  <sheetViews>
    <sheetView workbookViewId="0">
      <selection activeCell="B7" sqref="A1:J17"/>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42</v>
      </c>
      <c r="D2" s="74"/>
      <c r="E2" s="74"/>
      <c r="F2" s="74"/>
      <c r="G2" s="74"/>
      <c r="H2" s="74"/>
      <c r="I2" s="74"/>
      <c r="J2" s="75"/>
    </row>
    <row r="3" spans="1:10" ht="45">
      <c r="A3" s="70" t="s">
        <v>81</v>
      </c>
      <c r="B3" s="70"/>
      <c r="C3" s="18" t="s">
        <v>93</v>
      </c>
      <c r="D3" s="55" t="s">
        <v>146</v>
      </c>
      <c r="E3" s="122" t="s">
        <v>147</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7.25" customHeight="1">
      <c r="A5" s="52">
        <v>1</v>
      </c>
      <c r="B5" s="122" t="s">
        <v>148</v>
      </c>
      <c r="C5" s="122"/>
      <c r="D5" s="122"/>
      <c r="E5" s="123"/>
      <c r="F5" s="123" t="s">
        <v>63</v>
      </c>
      <c r="G5" s="123"/>
      <c r="H5" s="123">
        <v>10</v>
      </c>
      <c r="I5" s="124">
        <f>(H5*10)/SUM($H$5:$H$16)</f>
        <v>1.6666666666666667</v>
      </c>
      <c r="J5" s="125">
        <f>IF(F5="X",((H5*10)/SUM($H$5:$H$16)),0)</f>
        <v>1.6666666666666667</v>
      </c>
    </row>
    <row r="6" spans="1:10" ht="63" customHeight="1">
      <c r="A6" s="52">
        <v>2</v>
      </c>
      <c r="B6" s="122" t="s">
        <v>149</v>
      </c>
      <c r="C6" s="122"/>
      <c r="D6" s="122"/>
      <c r="E6" s="123"/>
      <c r="F6" s="123" t="s">
        <v>63</v>
      </c>
      <c r="G6" s="123"/>
      <c r="H6" s="123">
        <v>10</v>
      </c>
      <c r="I6" s="124">
        <f t="shared" ref="I6:I16" si="0">(H6*10)/SUM($H$5:$H$16)</f>
        <v>1.6666666666666667</v>
      </c>
      <c r="J6" s="125">
        <f t="shared" ref="J6:J16" si="1">IF(F6="X",((H6*10)/SUM($H$5:$H$16)),0)</f>
        <v>1.6666666666666667</v>
      </c>
    </row>
    <row r="7" spans="1:10" ht="31.5" customHeight="1">
      <c r="A7" s="52">
        <v>3</v>
      </c>
      <c r="B7" s="122" t="s">
        <v>150</v>
      </c>
      <c r="C7" s="122"/>
      <c r="D7" s="122"/>
      <c r="E7" s="123"/>
      <c r="F7" s="123" t="s">
        <v>63</v>
      </c>
      <c r="G7" s="123"/>
      <c r="H7" s="123">
        <v>6</v>
      </c>
      <c r="I7" s="124">
        <f t="shared" si="0"/>
        <v>1</v>
      </c>
      <c r="J7" s="125">
        <f t="shared" si="1"/>
        <v>1</v>
      </c>
    </row>
    <row r="8" spans="1:10" ht="59.25" customHeight="1">
      <c r="A8" s="52">
        <v>4</v>
      </c>
      <c r="B8" s="122" t="s">
        <v>151</v>
      </c>
      <c r="C8" s="122"/>
      <c r="D8" s="122"/>
      <c r="E8" s="123"/>
      <c r="F8" s="123" t="s">
        <v>63</v>
      </c>
      <c r="G8" s="123"/>
      <c r="H8" s="123">
        <v>6</v>
      </c>
      <c r="I8" s="124">
        <f t="shared" si="0"/>
        <v>1</v>
      </c>
      <c r="J8" s="125">
        <f t="shared" si="1"/>
        <v>1</v>
      </c>
    </row>
    <row r="9" spans="1:10" ht="91.5" customHeight="1">
      <c r="A9" s="52">
        <v>5</v>
      </c>
      <c r="B9" s="122" t="s">
        <v>152</v>
      </c>
      <c r="C9" s="122"/>
      <c r="D9" s="122"/>
      <c r="E9" s="123"/>
      <c r="F9" s="123" t="s">
        <v>63</v>
      </c>
      <c r="G9" s="123"/>
      <c r="H9" s="123">
        <v>6</v>
      </c>
      <c r="I9" s="124">
        <f t="shared" si="0"/>
        <v>1</v>
      </c>
      <c r="J9" s="125">
        <f t="shared" si="1"/>
        <v>1</v>
      </c>
    </row>
    <row r="10" spans="1:10" ht="47.25" customHeight="1">
      <c r="A10" s="52">
        <v>6</v>
      </c>
      <c r="B10" s="122" t="s">
        <v>153</v>
      </c>
      <c r="C10" s="122"/>
      <c r="D10" s="122"/>
      <c r="E10" s="123"/>
      <c r="F10" s="123" t="s">
        <v>63</v>
      </c>
      <c r="G10" s="123"/>
      <c r="H10" s="123">
        <v>6</v>
      </c>
      <c r="I10" s="124">
        <f t="shared" si="0"/>
        <v>1</v>
      </c>
      <c r="J10" s="125">
        <f t="shared" si="1"/>
        <v>1</v>
      </c>
    </row>
    <row r="11" spans="1:10" ht="47.25" customHeight="1">
      <c r="A11" s="52">
        <v>7</v>
      </c>
      <c r="B11" s="122" t="s">
        <v>154</v>
      </c>
      <c r="C11" s="122"/>
      <c r="D11" s="122"/>
      <c r="E11" s="123"/>
      <c r="F11" s="123" t="s">
        <v>63</v>
      </c>
      <c r="G11" s="123"/>
      <c r="H11" s="123">
        <v>2</v>
      </c>
      <c r="I11" s="124">
        <f t="shared" si="0"/>
        <v>0.33333333333333331</v>
      </c>
      <c r="J11" s="125">
        <f t="shared" si="1"/>
        <v>0.33333333333333331</v>
      </c>
    </row>
    <row r="12" spans="1:10" ht="59.25" customHeight="1">
      <c r="A12" s="52">
        <v>8</v>
      </c>
      <c r="B12" s="122" t="s">
        <v>155</v>
      </c>
      <c r="C12" s="122"/>
      <c r="D12" s="122"/>
      <c r="E12" s="123"/>
      <c r="F12" s="123"/>
      <c r="G12" s="123" t="s">
        <v>63</v>
      </c>
      <c r="H12" s="123">
        <v>2</v>
      </c>
      <c r="I12" s="124">
        <f t="shared" si="0"/>
        <v>0.33333333333333331</v>
      </c>
      <c r="J12" s="125">
        <f t="shared" si="1"/>
        <v>0</v>
      </c>
    </row>
    <row r="13" spans="1:10" ht="63" customHeight="1">
      <c r="A13" s="52">
        <v>9</v>
      </c>
      <c r="B13" s="122" t="s">
        <v>156</v>
      </c>
      <c r="C13" s="122"/>
      <c r="D13" s="122"/>
      <c r="E13" s="123"/>
      <c r="F13" s="123" t="s">
        <v>63</v>
      </c>
      <c r="G13" s="123"/>
      <c r="H13" s="123">
        <v>6</v>
      </c>
      <c r="I13" s="124">
        <f t="shared" si="0"/>
        <v>1</v>
      </c>
      <c r="J13" s="125">
        <f t="shared" si="1"/>
        <v>1</v>
      </c>
    </row>
    <row r="14" spans="1:10" ht="47.25" customHeight="1">
      <c r="A14" s="52">
        <v>10</v>
      </c>
      <c r="B14" s="122" t="s">
        <v>157</v>
      </c>
      <c r="C14" s="122"/>
      <c r="D14" s="122"/>
      <c r="E14" s="123" t="s">
        <v>63</v>
      </c>
      <c r="F14" s="123"/>
      <c r="G14" s="123"/>
      <c r="H14" s="123">
        <v>2</v>
      </c>
      <c r="I14" s="124">
        <f t="shared" si="0"/>
        <v>0.33333333333333331</v>
      </c>
      <c r="J14" s="125">
        <f t="shared" si="1"/>
        <v>0</v>
      </c>
    </row>
    <row r="15" spans="1:10" ht="47.25" customHeight="1">
      <c r="A15" s="52">
        <v>11</v>
      </c>
      <c r="B15" s="122" t="s">
        <v>158</v>
      </c>
      <c r="C15" s="122"/>
      <c r="D15" s="122"/>
      <c r="E15" s="123"/>
      <c r="F15" s="123" t="s">
        <v>63</v>
      </c>
      <c r="G15" s="123"/>
      <c r="H15" s="123">
        <v>2</v>
      </c>
      <c r="I15" s="124">
        <f t="shared" si="0"/>
        <v>0.33333333333333331</v>
      </c>
      <c r="J15" s="125">
        <f t="shared" si="1"/>
        <v>0.33333333333333331</v>
      </c>
    </row>
    <row r="16" spans="1:10" ht="31.5" customHeight="1">
      <c r="A16" s="52">
        <v>12</v>
      </c>
      <c r="B16" s="122" t="s">
        <v>159</v>
      </c>
      <c r="C16" s="122"/>
      <c r="D16" s="122"/>
      <c r="E16" s="123" t="s">
        <v>63</v>
      </c>
      <c r="F16" s="123"/>
      <c r="G16" s="123"/>
      <c r="H16" s="123">
        <v>2</v>
      </c>
      <c r="I16" s="124">
        <f t="shared" si="0"/>
        <v>0.33333333333333331</v>
      </c>
      <c r="J16" s="125">
        <f t="shared" si="1"/>
        <v>0</v>
      </c>
    </row>
    <row r="17" spans="1:10" ht="15" customHeight="1">
      <c r="A17" s="83" t="s">
        <v>71</v>
      </c>
      <c r="B17" s="83"/>
      <c r="C17" s="83"/>
      <c r="D17" s="83"/>
      <c r="E17" s="83"/>
      <c r="F17" s="83"/>
      <c r="G17" s="83"/>
      <c r="H17" s="83"/>
      <c r="I17" s="28">
        <f>SUM(I5:I16)</f>
        <v>10.000000000000002</v>
      </c>
      <c r="J17" s="19">
        <f>SUM(J5:J16)</f>
        <v>9.0000000000000018</v>
      </c>
    </row>
  </sheetData>
  <mergeCells count="20">
    <mergeCell ref="A17:H17"/>
    <mergeCell ref="B10:D10"/>
    <mergeCell ref="A3:B3"/>
    <mergeCell ref="B4:D4"/>
    <mergeCell ref="B5:D5"/>
    <mergeCell ref="B6:D6"/>
    <mergeCell ref="B7:D7"/>
    <mergeCell ref="B8:D8"/>
    <mergeCell ref="B9:D9"/>
    <mergeCell ref="E3:J3"/>
    <mergeCell ref="B11:D11"/>
    <mergeCell ref="B12:D12"/>
    <mergeCell ref="B13:D13"/>
    <mergeCell ref="B14:D14"/>
    <mergeCell ref="B15:D15"/>
    <mergeCell ref="A1:B1"/>
    <mergeCell ref="A2:B2"/>
    <mergeCell ref="C1:J1"/>
    <mergeCell ref="C2:J2"/>
    <mergeCell ref="B16:D16"/>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707DF-83BA-4457-B64D-9445C5205568}">
  <sheetPr>
    <tabColor rgb="FFFFC000"/>
  </sheetPr>
  <dimension ref="A1:J19"/>
  <sheetViews>
    <sheetView workbookViewId="0">
      <selection activeCell="B7" sqref="A1:J19"/>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42</v>
      </c>
      <c r="D2" s="74"/>
      <c r="E2" s="74"/>
      <c r="F2" s="74"/>
      <c r="G2" s="74"/>
      <c r="H2" s="74"/>
      <c r="I2" s="74"/>
      <c r="J2" s="75"/>
    </row>
    <row r="3" spans="1:10" ht="45">
      <c r="A3" s="70" t="s">
        <v>81</v>
      </c>
      <c r="B3" s="70"/>
      <c r="C3" s="18" t="s">
        <v>93</v>
      </c>
      <c r="D3" s="55" t="s">
        <v>160</v>
      </c>
      <c r="E3" s="122" t="s">
        <v>161</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31.5" customHeight="1">
      <c r="A5" s="52">
        <v>1</v>
      </c>
      <c r="B5" s="122" t="s">
        <v>162</v>
      </c>
      <c r="C5" s="122"/>
      <c r="D5" s="122"/>
      <c r="E5" s="123"/>
      <c r="F5" s="123" t="s">
        <v>63</v>
      </c>
      <c r="G5" s="123"/>
      <c r="H5" s="123">
        <v>6</v>
      </c>
      <c r="I5" s="124">
        <f>(H5*10)/SUM($H$5:$H$18)</f>
        <v>0.83333333333333337</v>
      </c>
      <c r="J5" s="125">
        <f>IF(F5="X",((H5*10)/SUM($H$5:$H$18)),0)</f>
        <v>0.83333333333333337</v>
      </c>
    </row>
    <row r="6" spans="1:10" ht="47.25" customHeight="1">
      <c r="A6" s="52">
        <v>2</v>
      </c>
      <c r="B6" s="122" t="s">
        <v>163</v>
      </c>
      <c r="C6" s="122"/>
      <c r="D6" s="122"/>
      <c r="E6" s="123"/>
      <c r="F6" s="123"/>
      <c r="G6" s="123" t="s">
        <v>63</v>
      </c>
      <c r="H6" s="123">
        <v>6</v>
      </c>
      <c r="I6" s="124">
        <f t="shared" ref="I6:I18" si="0">(H6*10)/SUM($H$5:$H$18)</f>
        <v>0.83333333333333337</v>
      </c>
      <c r="J6" s="125">
        <f t="shared" ref="J6:J18" si="1">IF(F6="X",((H6*10)/SUM($H$5:$H$18)),0)</f>
        <v>0</v>
      </c>
    </row>
    <row r="7" spans="1:10" ht="63" customHeight="1">
      <c r="A7" s="52">
        <v>3</v>
      </c>
      <c r="B7" s="122" t="s">
        <v>164</v>
      </c>
      <c r="C7" s="122"/>
      <c r="D7" s="122"/>
      <c r="E7" s="123"/>
      <c r="F7" s="123"/>
      <c r="G7" s="123" t="s">
        <v>63</v>
      </c>
      <c r="H7" s="123">
        <v>2</v>
      </c>
      <c r="I7" s="124">
        <f t="shared" si="0"/>
        <v>0.27777777777777779</v>
      </c>
      <c r="J7" s="125">
        <f t="shared" si="1"/>
        <v>0</v>
      </c>
    </row>
    <row r="8" spans="1:10" ht="47.25" customHeight="1">
      <c r="A8" s="52">
        <v>4</v>
      </c>
      <c r="B8" s="122" t="s">
        <v>165</v>
      </c>
      <c r="C8" s="122"/>
      <c r="D8" s="122"/>
      <c r="E8" s="123"/>
      <c r="F8" s="123"/>
      <c r="G8" s="123" t="s">
        <v>63</v>
      </c>
      <c r="H8" s="123">
        <v>10</v>
      </c>
      <c r="I8" s="124">
        <f t="shared" si="0"/>
        <v>1.3888888888888888</v>
      </c>
      <c r="J8" s="125">
        <f t="shared" si="1"/>
        <v>0</v>
      </c>
    </row>
    <row r="9" spans="1:10" ht="63" customHeight="1">
      <c r="A9" s="52">
        <v>5</v>
      </c>
      <c r="B9" s="122" t="s">
        <v>166</v>
      </c>
      <c r="C9" s="122"/>
      <c r="D9" s="122"/>
      <c r="E9" s="123"/>
      <c r="F9" s="123" t="s">
        <v>63</v>
      </c>
      <c r="G9" s="123"/>
      <c r="H9" s="123">
        <v>6</v>
      </c>
      <c r="I9" s="124">
        <f t="shared" si="0"/>
        <v>0.83333333333333337</v>
      </c>
      <c r="J9" s="125">
        <f t="shared" si="1"/>
        <v>0.83333333333333337</v>
      </c>
    </row>
    <row r="10" spans="1:10" ht="63" customHeight="1">
      <c r="A10" s="52">
        <v>6</v>
      </c>
      <c r="B10" s="122" t="s">
        <v>167</v>
      </c>
      <c r="C10" s="122"/>
      <c r="D10" s="122"/>
      <c r="E10" s="123"/>
      <c r="F10" s="123" t="s">
        <v>63</v>
      </c>
      <c r="G10" s="123"/>
      <c r="H10" s="123">
        <v>6</v>
      </c>
      <c r="I10" s="124">
        <f t="shared" si="0"/>
        <v>0.83333333333333337</v>
      </c>
      <c r="J10" s="125">
        <f t="shared" si="1"/>
        <v>0.83333333333333337</v>
      </c>
    </row>
    <row r="11" spans="1:10" ht="31.5" customHeight="1">
      <c r="A11" s="52">
        <v>7</v>
      </c>
      <c r="B11" s="122" t="s">
        <v>168</v>
      </c>
      <c r="C11" s="122"/>
      <c r="D11" s="122"/>
      <c r="E11" s="123"/>
      <c r="F11" s="123" t="s">
        <v>63</v>
      </c>
      <c r="G11" s="123"/>
      <c r="H11" s="123">
        <v>6</v>
      </c>
      <c r="I11" s="124">
        <f t="shared" si="0"/>
        <v>0.83333333333333337</v>
      </c>
      <c r="J11" s="125">
        <f t="shared" si="1"/>
        <v>0.83333333333333337</v>
      </c>
    </row>
    <row r="12" spans="1:10" ht="47.25" customHeight="1">
      <c r="A12" s="52">
        <v>8</v>
      </c>
      <c r="B12" s="122" t="s">
        <v>169</v>
      </c>
      <c r="C12" s="122"/>
      <c r="D12" s="122"/>
      <c r="E12" s="123"/>
      <c r="F12" s="123" t="s">
        <v>63</v>
      </c>
      <c r="G12" s="123"/>
      <c r="H12" s="123">
        <v>6</v>
      </c>
      <c r="I12" s="124">
        <f t="shared" si="0"/>
        <v>0.83333333333333337</v>
      </c>
      <c r="J12" s="125">
        <f t="shared" si="1"/>
        <v>0.83333333333333337</v>
      </c>
    </row>
    <row r="13" spans="1:10" ht="31.5" customHeight="1">
      <c r="A13" s="52">
        <v>9</v>
      </c>
      <c r="B13" s="122" t="s">
        <v>170</v>
      </c>
      <c r="C13" s="122"/>
      <c r="D13" s="122"/>
      <c r="E13" s="123" t="s">
        <v>63</v>
      </c>
      <c r="F13" s="123"/>
      <c r="G13" s="123"/>
      <c r="H13" s="123">
        <v>6</v>
      </c>
      <c r="I13" s="124">
        <f t="shared" si="0"/>
        <v>0.83333333333333337</v>
      </c>
      <c r="J13" s="125">
        <f t="shared" si="1"/>
        <v>0</v>
      </c>
    </row>
    <row r="14" spans="1:10" ht="63" customHeight="1">
      <c r="A14" s="52">
        <v>10</v>
      </c>
      <c r="B14" s="122" t="s">
        <v>171</v>
      </c>
      <c r="C14" s="122"/>
      <c r="D14" s="122"/>
      <c r="E14" s="123"/>
      <c r="F14" s="123" t="s">
        <v>63</v>
      </c>
      <c r="G14" s="123"/>
      <c r="H14" s="123">
        <v>6</v>
      </c>
      <c r="I14" s="124">
        <f t="shared" si="0"/>
        <v>0.83333333333333337</v>
      </c>
      <c r="J14" s="125">
        <f t="shared" si="1"/>
        <v>0.83333333333333337</v>
      </c>
    </row>
    <row r="15" spans="1:10" ht="15">
      <c r="A15" s="52">
        <v>11</v>
      </c>
      <c r="B15" s="122" t="s">
        <v>172</v>
      </c>
      <c r="C15" s="122"/>
      <c r="D15" s="122"/>
      <c r="E15" s="123"/>
      <c r="F15" s="123" t="s">
        <v>63</v>
      </c>
      <c r="G15" s="123"/>
      <c r="H15" s="123">
        <v>2</v>
      </c>
      <c r="I15" s="124">
        <f t="shared" si="0"/>
        <v>0.27777777777777779</v>
      </c>
      <c r="J15" s="125">
        <f t="shared" si="1"/>
        <v>0.27777777777777779</v>
      </c>
    </row>
    <row r="16" spans="1:10" ht="47.25" customHeight="1">
      <c r="A16" s="52">
        <v>12</v>
      </c>
      <c r="B16" s="122" t="s">
        <v>173</v>
      </c>
      <c r="C16" s="122"/>
      <c r="D16" s="122"/>
      <c r="E16" s="123"/>
      <c r="F16" s="123"/>
      <c r="G16" s="123" t="s">
        <v>63</v>
      </c>
      <c r="H16" s="123">
        <v>2</v>
      </c>
      <c r="I16" s="124">
        <f t="shared" si="0"/>
        <v>0.27777777777777779</v>
      </c>
      <c r="J16" s="125">
        <f t="shared" si="1"/>
        <v>0</v>
      </c>
    </row>
    <row r="17" spans="1:10" ht="59.25" customHeight="1">
      <c r="A17" s="52">
        <v>13</v>
      </c>
      <c r="B17" s="122" t="s">
        <v>174</v>
      </c>
      <c r="C17" s="122"/>
      <c r="D17" s="122"/>
      <c r="E17" s="123"/>
      <c r="F17" s="123" t="s">
        <v>63</v>
      </c>
      <c r="G17" s="123"/>
      <c r="H17" s="123">
        <v>6</v>
      </c>
      <c r="I17" s="124">
        <f t="shared" si="0"/>
        <v>0.83333333333333337</v>
      </c>
      <c r="J17" s="125">
        <f t="shared" si="1"/>
        <v>0.83333333333333337</v>
      </c>
    </row>
    <row r="18" spans="1:10" ht="78.75" customHeight="1">
      <c r="A18" s="52">
        <v>14</v>
      </c>
      <c r="B18" s="122" t="s">
        <v>175</v>
      </c>
      <c r="C18" s="122"/>
      <c r="D18" s="122"/>
      <c r="E18" s="123"/>
      <c r="F18" s="123"/>
      <c r="G18" s="123" t="s">
        <v>63</v>
      </c>
      <c r="H18" s="123">
        <v>2</v>
      </c>
      <c r="I18" s="124">
        <f t="shared" si="0"/>
        <v>0.27777777777777779</v>
      </c>
      <c r="J18" s="125">
        <f t="shared" si="1"/>
        <v>0</v>
      </c>
    </row>
    <row r="19" spans="1:10" ht="15" customHeight="1">
      <c r="A19" s="83" t="s">
        <v>71</v>
      </c>
      <c r="B19" s="83"/>
      <c r="C19" s="83"/>
      <c r="D19" s="83"/>
      <c r="E19" s="83"/>
      <c r="F19" s="83"/>
      <c r="G19" s="83"/>
      <c r="H19" s="83"/>
      <c r="I19" s="28">
        <f>SUM(I5:I18)</f>
        <v>10.000000000000002</v>
      </c>
      <c r="J19" s="19">
        <f>SUM(J5:J18)</f>
        <v>6.1111111111111107</v>
      </c>
    </row>
  </sheetData>
  <mergeCells count="22">
    <mergeCell ref="B15:D15"/>
    <mergeCell ref="B16:D16"/>
    <mergeCell ref="A19:H19"/>
    <mergeCell ref="E3:J3"/>
    <mergeCell ref="B17:D17"/>
    <mergeCell ref="B18:D18"/>
    <mergeCell ref="B11:D11"/>
    <mergeCell ref="B12:D12"/>
    <mergeCell ref="B10:D10"/>
    <mergeCell ref="A3:B3"/>
    <mergeCell ref="B4:D4"/>
    <mergeCell ref="B5:D5"/>
    <mergeCell ref="B6:D6"/>
    <mergeCell ref="B7:D7"/>
    <mergeCell ref="B8:D8"/>
    <mergeCell ref="B9:D9"/>
    <mergeCell ref="B13:D13"/>
    <mergeCell ref="B14:D14"/>
    <mergeCell ref="A1:B1"/>
    <mergeCell ref="A2:B2"/>
    <mergeCell ref="C1:J1"/>
    <mergeCell ref="C2:J2"/>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887A5-9D2A-4ACD-A086-436F2AEA1E4E}">
  <sheetPr>
    <tabColor rgb="FFFFC000"/>
  </sheetPr>
  <dimension ref="A1:J15"/>
  <sheetViews>
    <sheetView workbookViewId="0">
      <selection activeCell="B6" sqref="A1:J15"/>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42</v>
      </c>
      <c r="D2" s="74"/>
      <c r="E2" s="74"/>
      <c r="F2" s="74"/>
      <c r="G2" s="74"/>
      <c r="H2" s="74"/>
      <c r="I2" s="74"/>
      <c r="J2" s="75"/>
    </row>
    <row r="3" spans="1:10" ht="90">
      <c r="A3" s="70" t="s">
        <v>81</v>
      </c>
      <c r="B3" s="70"/>
      <c r="C3" s="18" t="s">
        <v>93</v>
      </c>
      <c r="D3" s="55" t="s">
        <v>176</v>
      </c>
      <c r="E3" s="122" t="s">
        <v>177</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7.25" customHeight="1">
      <c r="A5" s="52">
        <v>1</v>
      </c>
      <c r="B5" s="122" t="s">
        <v>178</v>
      </c>
      <c r="C5" s="122"/>
      <c r="D5" s="122"/>
      <c r="E5" s="55"/>
      <c r="F5" s="123" t="s">
        <v>63</v>
      </c>
      <c r="G5" s="55"/>
      <c r="H5" s="123">
        <v>10</v>
      </c>
      <c r="I5" s="124">
        <f>(H5*10)/SUM($H$5:$H$14)</f>
        <v>1.9230769230769231</v>
      </c>
      <c r="J5" s="125">
        <f>IF(F5="X",((H5*10)/SUM($H$5:$H$14)),0)</f>
        <v>1.9230769230769231</v>
      </c>
    </row>
    <row r="6" spans="1:10" ht="35.25" customHeight="1">
      <c r="A6" s="52">
        <v>2</v>
      </c>
      <c r="B6" s="122" t="s">
        <v>179</v>
      </c>
      <c r="C6" s="122"/>
      <c r="D6" s="122"/>
      <c r="E6" s="123"/>
      <c r="F6" s="123" t="s">
        <v>63</v>
      </c>
      <c r="G6" s="123"/>
      <c r="H6" s="123">
        <v>6</v>
      </c>
      <c r="I6" s="124">
        <f t="shared" ref="I6:I14" si="0">(H6*10)/SUM($H$5:$H$14)</f>
        <v>1.1538461538461537</v>
      </c>
      <c r="J6" s="125">
        <f t="shared" ref="J6:J14" si="1">IF(F6="X",((H6*10)/SUM($H$5:$H$14)),0)</f>
        <v>1.1538461538461537</v>
      </c>
    </row>
    <row r="7" spans="1:10" ht="35.25" customHeight="1">
      <c r="A7" s="52">
        <v>3</v>
      </c>
      <c r="B7" s="122" t="s">
        <v>180</v>
      </c>
      <c r="C7" s="122"/>
      <c r="D7" s="122"/>
      <c r="E7" s="123"/>
      <c r="F7" s="123" t="s">
        <v>63</v>
      </c>
      <c r="G7" s="123"/>
      <c r="H7" s="123">
        <v>6</v>
      </c>
      <c r="I7" s="124">
        <f t="shared" si="0"/>
        <v>1.1538461538461537</v>
      </c>
      <c r="J7" s="125">
        <f t="shared" si="1"/>
        <v>1.1538461538461537</v>
      </c>
    </row>
    <row r="8" spans="1:10" ht="31.5" customHeight="1">
      <c r="A8" s="52">
        <v>4</v>
      </c>
      <c r="B8" s="122" t="s">
        <v>181</v>
      </c>
      <c r="C8" s="122"/>
      <c r="D8" s="122"/>
      <c r="E8" s="123"/>
      <c r="F8" s="123" t="s">
        <v>63</v>
      </c>
      <c r="G8" s="123"/>
      <c r="H8" s="123">
        <v>10</v>
      </c>
      <c r="I8" s="124">
        <f t="shared" si="0"/>
        <v>1.9230769230769231</v>
      </c>
      <c r="J8" s="125">
        <f t="shared" si="1"/>
        <v>1.9230769230769231</v>
      </c>
    </row>
    <row r="9" spans="1:10" ht="31.5" customHeight="1">
      <c r="A9" s="52">
        <v>5</v>
      </c>
      <c r="B9" s="122" t="s">
        <v>182</v>
      </c>
      <c r="C9" s="122"/>
      <c r="D9" s="122"/>
      <c r="E9" s="123" t="s">
        <v>63</v>
      </c>
      <c r="F9" s="123"/>
      <c r="G9" s="123"/>
      <c r="H9" s="123">
        <v>2</v>
      </c>
      <c r="I9" s="124">
        <f t="shared" si="0"/>
        <v>0.38461538461538464</v>
      </c>
      <c r="J9" s="125">
        <f t="shared" si="1"/>
        <v>0</v>
      </c>
    </row>
    <row r="10" spans="1:10" ht="58.5" customHeight="1">
      <c r="A10" s="52">
        <v>6</v>
      </c>
      <c r="B10" s="122" t="s">
        <v>183</v>
      </c>
      <c r="C10" s="122"/>
      <c r="D10" s="122"/>
      <c r="E10" s="123"/>
      <c r="F10" s="123" t="s">
        <v>63</v>
      </c>
      <c r="G10" s="123"/>
      <c r="H10" s="123">
        <v>6</v>
      </c>
      <c r="I10" s="124">
        <f t="shared" si="0"/>
        <v>1.1538461538461537</v>
      </c>
      <c r="J10" s="125">
        <f t="shared" si="1"/>
        <v>1.1538461538461537</v>
      </c>
    </row>
    <row r="11" spans="1:10" ht="31.5" customHeight="1">
      <c r="A11" s="52">
        <v>7</v>
      </c>
      <c r="B11" s="122" t="s">
        <v>184</v>
      </c>
      <c r="C11" s="122"/>
      <c r="D11" s="122"/>
      <c r="E11" s="123"/>
      <c r="F11" s="123" t="s">
        <v>63</v>
      </c>
      <c r="G11" s="123"/>
      <c r="H11" s="123">
        <v>2</v>
      </c>
      <c r="I11" s="124">
        <f t="shared" si="0"/>
        <v>0.38461538461538464</v>
      </c>
      <c r="J11" s="125">
        <f t="shared" si="1"/>
        <v>0.38461538461538464</v>
      </c>
    </row>
    <row r="12" spans="1:10" ht="43.5" customHeight="1">
      <c r="A12" s="52">
        <v>8</v>
      </c>
      <c r="B12" s="122" t="s">
        <v>185</v>
      </c>
      <c r="C12" s="122"/>
      <c r="D12" s="122"/>
      <c r="E12" s="123"/>
      <c r="F12" s="123" t="s">
        <v>63</v>
      </c>
      <c r="G12" s="123"/>
      <c r="H12" s="123">
        <v>2</v>
      </c>
      <c r="I12" s="124">
        <f t="shared" si="0"/>
        <v>0.38461538461538464</v>
      </c>
      <c r="J12" s="125">
        <f t="shared" si="1"/>
        <v>0.38461538461538464</v>
      </c>
    </row>
    <row r="13" spans="1:10" ht="31.5" customHeight="1">
      <c r="A13" s="52">
        <v>9</v>
      </c>
      <c r="B13" s="122" t="s">
        <v>186</v>
      </c>
      <c r="C13" s="122"/>
      <c r="D13" s="122"/>
      <c r="E13" s="123"/>
      <c r="F13" s="123" t="s">
        <v>63</v>
      </c>
      <c r="G13" s="123"/>
      <c r="H13" s="123">
        <v>2</v>
      </c>
      <c r="I13" s="124">
        <f t="shared" si="0"/>
        <v>0.38461538461538464</v>
      </c>
      <c r="J13" s="125">
        <f t="shared" si="1"/>
        <v>0.38461538461538464</v>
      </c>
    </row>
    <row r="14" spans="1:10" ht="45.75" customHeight="1">
      <c r="A14" s="52">
        <v>10</v>
      </c>
      <c r="B14" s="122" t="s">
        <v>187</v>
      </c>
      <c r="C14" s="122"/>
      <c r="D14" s="122"/>
      <c r="E14" s="123"/>
      <c r="F14" s="123" t="s">
        <v>63</v>
      </c>
      <c r="G14" s="123"/>
      <c r="H14" s="123">
        <v>6</v>
      </c>
      <c r="I14" s="124">
        <f t="shared" si="0"/>
        <v>1.1538461538461537</v>
      </c>
      <c r="J14" s="125">
        <f t="shared" si="1"/>
        <v>1.1538461538461537</v>
      </c>
    </row>
    <row r="15" spans="1:10" ht="15" customHeight="1">
      <c r="A15" s="83" t="s">
        <v>71</v>
      </c>
      <c r="B15" s="83"/>
      <c r="C15" s="83"/>
      <c r="D15" s="83"/>
      <c r="E15" s="83"/>
      <c r="F15" s="83"/>
      <c r="G15" s="83"/>
      <c r="H15" s="83"/>
      <c r="I15" s="28">
        <f>SUM(I5:I14)</f>
        <v>10</v>
      </c>
      <c r="J15" s="19">
        <f>SUM(J5:J14)</f>
        <v>9.615384615384615</v>
      </c>
    </row>
  </sheetData>
  <mergeCells count="18">
    <mergeCell ref="B11:D11"/>
    <mergeCell ref="B12:D12"/>
    <mergeCell ref="B13:D13"/>
    <mergeCell ref="B14:D14"/>
    <mergeCell ref="A15:H15"/>
    <mergeCell ref="B10:D10"/>
    <mergeCell ref="A3:B3"/>
    <mergeCell ref="B4:D4"/>
    <mergeCell ref="B5:D5"/>
    <mergeCell ref="B6:D6"/>
    <mergeCell ref="B7:D7"/>
    <mergeCell ref="B8:D8"/>
    <mergeCell ref="B9:D9"/>
    <mergeCell ref="A1:B1"/>
    <mergeCell ref="A2:B2"/>
    <mergeCell ref="C1:J1"/>
    <mergeCell ref="C2:J2"/>
    <mergeCell ref="E3:J3"/>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04DF0-9A32-4BCB-AA11-3DBF39E9300A}">
  <sheetPr>
    <tabColor rgb="FFFFC000"/>
  </sheetPr>
  <dimension ref="A1:J15"/>
  <sheetViews>
    <sheetView workbookViewId="0">
      <selection activeCell="B6" sqref="A1:J15"/>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89" t="s">
        <v>51</v>
      </c>
      <c r="B1" s="89"/>
      <c r="C1" s="90" t="s">
        <v>52</v>
      </c>
      <c r="D1" s="91"/>
      <c r="E1" s="91"/>
      <c r="F1" s="91"/>
      <c r="G1" s="91"/>
      <c r="H1" s="91"/>
      <c r="I1" s="91"/>
      <c r="J1" s="92"/>
    </row>
    <row r="2" spans="1:10" ht="15">
      <c r="A2" s="89" t="s">
        <v>0</v>
      </c>
      <c r="B2" s="89"/>
      <c r="C2" s="90" t="s">
        <v>42</v>
      </c>
      <c r="D2" s="91"/>
      <c r="E2" s="91"/>
      <c r="F2" s="91"/>
      <c r="G2" s="91"/>
      <c r="H2" s="91"/>
      <c r="I2" s="91"/>
      <c r="J2" s="92"/>
    </row>
    <row r="3" spans="1:10" ht="90">
      <c r="A3" s="89" t="s">
        <v>81</v>
      </c>
      <c r="B3" s="89"/>
      <c r="C3" s="17" t="s">
        <v>93</v>
      </c>
      <c r="D3" s="8" t="s">
        <v>188</v>
      </c>
      <c r="E3" s="135" t="s">
        <v>189</v>
      </c>
      <c r="F3" s="136"/>
      <c r="G3" s="136"/>
      <c r="H3" s="136"/>
      <c r="I3" s="136"/>
      <c r="J3" s="137"/>
    </row>
    <row r="4" spans="1:10" ht="60">
      <c r="A4" s="56" t="s">
        <v>55</v>
      </c>
      <c r="B4" s="89" t="s">
        <v>56</v>
      </c>
      <c r="C4" s="89"/>
      <c r="D4" s="89"/>
      <c r="E4" s="56" t="s">
        <v>24</v>
      </c>
      <c r="F4" s="56" t="s">
        <v>57</v>
      </c>
      <c r="G4" s="56" t="s">
        <v>58</v>
      </c>
      <c r="H4" s="56" t="s">
        <v>59</v>
      </c>
      <c r="I4" s="31" t="s">
        <v>60</v>
      </c>
      <c r="J4" s="52" t="s">
        <v>61</v>
      </c>
    </row>
    <row r="5" spans="1:10" ht="47.25" customHeight="1">
      <c r="A5" s="56">
        <v>1</v>
      </c>
      <c r="B5" s="129" t="s">
        <v>190</v>
      </c>
      <c r="C5" s="129"/>
      <c r="D5" s="129"/>
      <c r="E5" s="114"/>
      <c r="F5" s="114" t="s">
        <v>63</v>
      </c>
      <c r="G5" s="114"/>
      <c r="H5" s="114">
        <v>6</v>
      </c>
      <c r="I5" s="130">
        <f>(H5*10)/SUM($H$5:$H$14)</f>
        <v>1.5</v>
      </c>
      <c r="J5" s="125">
        <f>IF(F5="X",((H5*10)/SUM($H$5:$H$14)),0)</f>
        <v>1.5</v>
      </c>
    </row>
    <row r="6" spans="1:10" ht="44.25" customHeight="1">
      <c r="A6" s="56">
        <v>2</v>
      </c>
      <c r="B6" s="129" t="s">
        <v>191</v>
      </c>
      <c r="C6" s="129"/>
      <c r="D6" s="129"/>
      <c r="E6" s="114"/>
      <c r="F6" s="114" t="s">
        <v>63</v>
      </c>
      <c r="G6" s="114"/>
      <c r="H6" s="114">
        <v>6</v>
      </c>
      <c r="I6" s="130">
        <f t="shared" ref="I6:I14" si="0">(H6*10)/SUM($H$5:$H$14)</f>
        <v>1.5</v>
      </c>
      <c r="J6" s="125">
        <f t="shared" ref="J6:J14" si="1">IF(F6="X",((H6*10)/SUM($H$5:$H$14)),0)</f>
        <v>1.5</v>
      </c>
    </row>
    <row r="7" spans="1:10" ht="43.5" customHeight="1">
      <c r="A7" s="56">
        <v>3</v>
      </c>
      <c r="B7" s="129" t="s">
        <v>192</v>
      </c>
      <c r="C7" s="129"/>
      <c r="D7" s="129"/>
      <c r="E7" s="114" t="s">
        <v>63</v>
      </c>
      <c r="F7" s="114"/>
      <c r="G7" s="114"/>
      <c r="H7" s="114">
        <v>2</v>
      </c>
      <c r="I7" s="130">
        <f t="shared" si="0"/>
        <v>0.5</v>
      </c>
      <c r="J7" s="125">
        <f t="shared" si="1"/>
        <v>0</v>
      </c>
    </row>
    <row r="8" spans="1:10" ht="15">
      <c r="A8" s="56">
        <v>4</v>
      </c>
      <c r="B8" s="129" t="s">
        <v>193</v>
      </c>
      <c r="C8" s="129"/>
      <c r="D8" s="129"/>
      <c r="E8" s="114"/>
      <c r="F8" s="114" t="s">
        <v>63</v>
      </c>
      <c r="G8" s="114"/>
      <c r="H8" s="114">
        <v>2</v>
      </c>
      <c r="I8" s="130">
        <f t="shared" si="0"/>
        <v>0.5</v>
      </c>
      <c r="J8" s="125">
        <f t="shared" si="1"/>
        <v>0.5</v>
      </c>
    </row>
    <row r="9" spans="1:10" ht="31.5" customHeight="1">
      <c r="A9" s="56">
        <v>5</v>
      </c>
      <c r="B9" s="129" t="s">
        <v>194</v>
      </c>
      <c r="C9" s="129"/>
      <c r="D9" s="129"/>
      <c r="E9" s="114"/>
      <c r="F9" s="114" t="s">
        <v>63</v>
      </c>
      <c r="G9" s="114"/>
      <c r="H9" s="114">
        <v>2</v>
      </c>
      <c r="I9" s="130">
        <f t="shared" si="0"/>
        <v>0.5</v>
      </c>
      <c r="J9" s="125">
        <f t="shared" si="1"/>
        <v>0.5</v>
      </c>
    </row>
    <row r="10" spans="1:10" ht="42.75" customHeight="1">
      <c r="A10" s="56">
        <v>6</v>
      </c>
      <c r="B10" s="129" t="s">
        <v>195</v>
      </c>
      <c r="C10" s="129"/>
      <c r="D10" s="129"/>
      <c r="E10" s="114"/>
      <c r="F10" s="114" t="s">
        <v>63</v>
      </c>
      <c r="G10" s="114"/>
      <c r="H10" s="114">
        <v>2</v>
      </c>
      <c r="I10" s="130">
        <f t="shared" si="0"/>
        <v>0.5</v>
      </c>
      <c r="J10" s="125">
        <f t="shared" si="1"/>
        <v>0.5</v>
      </c>
    </row>
    <row r="11" spans="1:10" ht="29.25" customHeight="1">
      <c r="A11" s="56">
        <v>7</v>
      </c>
      <c r="B11" s="129" t="s">
        <v>196</v>
      </c>
      <c r="C11" s="129"/>
      <c r="D11" s="129"/>
      <c r="E11" s="114"/>
      <c r="F11" s="114" t="s">
        <v>63</v>
      </c>
      <c r="G11" s="114"/>
      <c r="H11" s="114">
        <v>6</v>
      </c>
      <c r="I11" s="130">
        <f t="shared" si="0"/>
        <v>1.5</v>
      </c>
      <c r="J11" s="125">
        <f t="shared" si="1"/>
        <v>1.5</v>
      </c>
    </row>
    <row r="12" spans="1:10" ht="44.25" customHeight="1">
      <c r="A12" s="56">
        <v>8</v>
      </c>
      <c r="B12" s="129" t="s">
        <v>197</v>
      </c>
      <c r="C12" s="129"/>
      <c r="D12" s="129"/>
      <c r="E12" s="114" t="s">
        <v>63</v>
      </c>
      <c r="F12" s="114"/>
      <c r="G12" s="114"/>
      <c r="H12" s="114">
        <v>6</v>
      </c>
      <c r="I12" s="130">
        <f t="shared" si="0"/>
        <v>1.5</v>
      </c>
      <c r="J12" s="125">
        <f t="shared" si="1"/>
        <v>0</v>
      </c>
    </row>
    <row r="13" spans="1:10" ht="31.5" customHeight="1">
      <c r="A13" s="56">
        <v>9</v>
      </c>
      <c r="B13" s="129" t="s">
        <v>198</v>
      </c>
      <c r="C13" s="129"/>
      <c r="D13" s="129"/>
      <c r="E13" s="114"/>
      <c r="F13" s="114" t="s">
        <v>63</v>
      </c>
      <c r="G13" s="114"/>
      <c r="H13" s="114">
        <v>2</v>
      </c>
      <c r="I13" s="130">
        <f t="shared" si="0"/>
        <v>0.5</v>
      </c>
      <c r="J13" s="125">
        <f t="shared" si="1"/>
        <v>0.5</v>
      </c>
    </row>
    <row r="14" spans="1:10" ht="60" customHeight="1">
      <c r="A14" s="56">
        <v>10</v>
      </c>
      <c r="B14" s="129" t="s">
        <v>199</v>
      </c>
      <c r="C14" s="129"/>
      <c r="D14" s="129"/>
      <c r="E14" s="114" t="s">
        <v>63</v>
      </c>
      <c r="F14" s="114"/>
      <c r="G14" s="114"/>
      <c r="H14" s="114">
        <v>6</v>
      </c>
      <c r="I14" s="130">
        <f t="shared" si="0"/>
        <v>1.5</v>
      </c>
      <c r="J14" s="125">
        <f t="shared" si="1"/>
        <v>0</v>
      </c>
    </row>
    <row r="15" spans="1:10" ht="15" customHeight="1">
      <c r="A15" s="93" t="s">
        <v>71</v>
      </c>
      <c r="B15" s="93"/>
      <c r="C15" s="93"/>
      <c r="D15" s="93"/>
      <c r="E15" s="93"/>
      <c r="F15" s="93"/>
      <c r="G15" s="93"/>
      <c r="H15" s="93"/>
      <c r="I15" s="32">
        <f>SUM(I5:I14)</f>
        <v>10</v>
      </c>
      <c r="J15" s="15">
        <f>SUM(J5:J14)</f>
        <v>6.5</v>
      </c>
    </row>
  </sheetData>
  <mergeCells count="18">
    <mergeCell ref="B11:D11"/>
    <mergeCell ref="B12:D12"/>
    <mergeCell ref="B13:D13"/>
    <mergeCell ref="B14:D14"/>
    <mergeCell ref="A15:H15"/>
    <mergeCell ref="B10:D10"/>
    <mergeCell ref="A3:B3"/>
    <mergeCell ref="B4:D4"/>
    <mergeCell ref="B5:D5"/>
    <mergeCell ref="B6:D6"/>
    <mergeCell ref="B7:D7"/>
    <mergeCell ref="B8:D8"/>
    <mergeCell ref="B9:D9"/>
    <mergeCell ref="A1:B1"/>
    <mergeCell ref="A2:B2"/>
    <mergeCell ref="C1:J1"/>
    <mergeCell ref="C2:J2"/>
    <mergeCell ref="E3:J3"/>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142AF-209F-487A-86FF-9E1A10E3202B}">
  <sheetPr>
    <tabColor rgb="FFFFC000"/>
  </sheetPr>
  <dimension ref="A1:J20"/>
  <sheetViews>
    <sheetView workbookViewId="0">
      <selection activeCell="B6" sqref="A1:J20"/>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42</v>
      </c>
      <c r="D2" s="74"/>
      <c r="E2" s="74"/>
      <c r="F2" s="74"/>
      <c r="G2" s="74"/>
      <c r="H2" s="74"/>
      <c r="I2" s="74"/>
      <c r="J2" s="75"/>
    </row>
    <row r="3" spans="1:10" ht="30">
      <c r="A3" s="70" t="s">
        <v>81</v>
      </c>
      <c r="B3" s="70"/>
      <c r="C3" s="18" t="s">
        <v>200</v>
      </c>
      <c r="D3" s="55" t="s">
        <v>201</v>
      </c>
      <c r="E3" s="122" t="s">
        <v>202</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7.25" customHeight="1">
      <c r="A5" s="52">
        <v>1</v>
      </c>
      <c r="B5" s="122" t="s">
        <v>203</v>
      </c>
      <c r="C5" s="122"/>
      <c r="D5" s="122"/>
      <c r="E5" s="123"/>
      <c r="F5" s="123" t="s">
        <v>63</v>
      </c>
      <c r="G5" s="123"/>
      <c r="H5" s="123">
        <v>10</v>
      </c>
      <c r="I5" s="124">
        <f>(H5*10)/SUM($H$5:$H$19)</f>
        <v>1.3513513513513513</v>
      </c>
      <c r="J5" s="125">
        <f>IF(F5="X",((H5*10)/SUM($H$5:$H$19)),0)</f>
        <v>1.3513513513513513</v>
      </c>
    </row>
    <row r="6" spans="1:10" ht="47.25" customHeight="1">
      <c r="A6" s="52">
        <v>2</v>
      </c>
      <c r="B6" s="122" t="s">
        <v>204</v>
      </c>
      <c r="C6" s="122"/>
      <c r="D6" s="122"/>
      <c r="E6" s="123"/>
      <c r="F6" s="123" t="s">
        <v>63</v>
      </c>
      <c r="G6" s="123"/>
      <c r="H6" s="123">
        <v>6</v>
      </c>
      <c r="I6" s="124">
        <f t="shared" ref="I6:I19" si="0">(H6*10)/SUM($H$5:$H$19)</f>
        <v>0.81081081081081086</v>
      </c>
      <c r="J6" s="125">
        <f t="shared" ref="J6:J19" si="1">IF(F6="X",((H6*10)/SUM($H$5:$H$19)),0)</f>
        <v>0.81081081081081086</v>
      </c>
    </row>
    <row r="7" spans="1:10" ht="31.5" customHeight="1">
      <c r="A7" s="52">
        <v>3</v>
      </c>
      <c r="B7" s="122" t="s">
        <v>205</v>
      </c>
      <c r="C7" s="122"/>
      <c r="D7" s="122"/>
      <c r="E7" s="123"/>
      <c r="F7" s="123" t="s">
        <v>63</v>
      </c>
      <c r="G7" s="123"/>
      <c r="H7" s="123">
        <v>10</v>
      </c>
      <c r="I7" s="124">
        <f t="shared" si="0"/>
        <v>1.3513513513513513</v>
      </c>
      <c r="J7" s="125">
        <f t="shared" si="1"/>
        <v>1.3513513513513513</v>
      </c>
    </row>
    <row r="8" spans="1:10" ht="47.25" customHeight="1">
      <c r="A8" s="52">
        <v>4</v>
      </c>
      <c r="B8" s="122" t="s">
        <v>206</v>
      </c>
      <c r="C8" s="122"/>
      <c r="D8" s="122"/>
      <c r="E8" s="123"/>
      <c r="F8" s="123" t="s">
        <v>63</v>
      </c>
      <c r="G8" s="123"/>
      <c r="H8" s="123">
        <v>10</v>
      </c>
      <c r="I8" s="124">
        <f t="shared" si="0"/>
        <v>1.3513513513513513</v>
      </c>
      <c r="J8" s="125">
        <f t="shared" si="1"/>
        <v>1.3513513513513513</v>
      </c>
    </row>
    <row r="9" spans="1:10" ht="47.25" customHeight="1">
      <c r="A9" s="52">
        <v>5</v>
      </c>
      <c r="B9" s="122" t="s">
        <v>207</v>
      </c>
      <c r="C9" s="122"/>
      <c r="D9" s="122"/>
      <c r="E9" s="123"/>
      <c r="F9" s="123" t="s">
        <v>63</v>
      </c>
      <c r="G9" s="123"/>
      <c r="H9" s="123">
        <v>6</v>
      </c>
      <c r="I9" s="124">
        <f t="shared" si="0"/>
        <v>0.81081081081081086</v>
      </c>
      <c r="J9" s="125">
        <f t="shared" si="1"/>
        <v>0.81081081081081086</v>
      </c>
    </row>
    <row r="10" spans="1:10" ht="31.5" customHeight="1">
      <c r="A10" s="52">
        <v>6</v>
      </c>
      <c r="B10" s="122" t="s">
        <v>208</v>
      </c>
      <c r="C10" s="122"/>
      <c r="D10" s="122"/>
      <c r="E10" s="123"/>
      <c r="F10" s="123" t="s">
        <v>63</v>
      </c>
      <c r="G10" s="123"/>
      <c r="H10" s="123">
        <v>2</v>
      </c>
      <c r="I10" s="124">
        <f t="shared" si="0"/>
        <v>0.27027027027027029</v>
      </c>
      <c r="J10" s="125">
        <f t="shared" si="1"/>
        <v>0.27027027027027029</v>
      </c>
    </row>
    <row r="11" spans="1:10" ht="47.25" customHeight="1">
      <c r="A11" s="52">
        <v>7</v>
      </c>
      <c r="B11" s="122" t="s">
        <v>209</v>
      </c>
      <c r="C11" s="122"/>
      <c r="D11" s="122"/>
      <c r="E11" s="123"/>
      <c r="F11" s="123" t="s">
        <v>63</v>
      </c>
      <c r="G11" s="123"/>
      <c r="H11" s="123">
        <v>6</v>
      </c>
      <c r="I11" s="124">
        <f t="shared" si="0"/>
        <v>0.81081081081081086</v>
      </c>
      <c r="J11" s="125">
        <f t="shared" si="1"/>
        <v>0.81081081081081086</v>
      </c>
    </row>
    <row r="12" spans="1:10" ht="47.25" customHeight="1">
      <c r="A12" s="52">
        <v>8</v>
      </c>
      <c r="B12" s="122" t="s">
        <v>210</v>
      </c>
      <c r="C12" s="122"/>
      <c r="D12" s="122"/>
      <c r="E12" s="123" t="s">
        <v>63</v>
      </c>
      <c r="F12" s="123"/>
      <c r="G12" s="123"/>
      <c r="H12" s="123">
        <v>2</v>
      </c>
      <c r="I12" s="124">
        <f t="shared" si="0"/>
        <v>0.27027027027027029</v>
      </c>
      <c r="J12" s="125">
        <f t="shared" si="1"/>
        <v>0</v>
      </c>
    </row>
    <row r="13" spans="1:10" ht="45" customHeight="1">
      <c r="A13" s="52">
        <v>9</v>
      </c>
      <c r="B13" s="122" t="s">
        <v>211</v>
      </c>
      <c r="C13" s="122"/>
      <c r="D13" s="122"/>
      <c r="E13" s="123"/>
      <c r="F13" s="123" t="s">
        <v>63</v>
      </c>
      <c r="G13" s="123"/>
      <c r="H13" s="123">
        <v>2</v>
      </c>
      <c r="I13" s="124">
        <f t="shared" si="0"/>
        <v>0.27027027027027029</v>
      </c>
      <c r="J13" s="125">
        <f t="shared" si="1"/>
        <v>0.27027027027027029</v>
      </c>
    </row>
    <row r="14" spans="1:10" ht="31.5" customHeight="1">
      <c r="A14" s="52">
        <v>10</v>
      </c>
      <c r="B14" s="122" t="s">
        <v>212</v>
      </c>
      <c r="C14" s="122"/>
      <c r="D14" s="122"/>
      <c r="E14" s="123"/>
      <c r="F14" s="123" t="s">
        <v>63</v>
      </c>
      <c r="G14" s="123"/>
      <c r="H14" s="123">
        <v>2</v>
      </c>
      <c r="I14" s="124">
        <f t="shared" si="0"/>
        <v>0.27027027027027029</v>
      </c>
      <c r="J14" s="125">
        <f t="shared" si="1"/>
        <v>0.27027027027027029</v>
      </c>
    </row>
    <row r="15" spans="1:10" ht="43.5" customHeight="1">
      <c r="A15" s="52">
        <v>11</v>
      </c>
      <c r="B15" s="122" t="s">
        <v>213</v>
      </c>
      <c r="C15" s="122"/>
      <c r="D15" s="122"/>
      <c r="E15" s="123"/>
      <c r="F15" s="123" t="s">
        <v>63</v>
      </c>
      <c r="G15" s="123"/>
      <c r="H15" s="123">
        <v>2</v>
      </c>
      <c r="I15" s="124">
        <f t="shared" si="0"/>
        <v>0.27027027027027029</v>
      </c>
      <c r="J15" s="125">
        <f t="shared" si="1"/>
        <v>0.27027027027027029</v>
      </c>
    </row>
    <row r="16" spans="1:10" ht="31.5" customHeight="1">
      <c r="A16" s="52">
        <v>12</v>
      </c>
      <c r="B16" s="122" t="s">
        <v>214</v>
      </c>
      <c r="C16" s="122"/>
      <c r="D16" s="122"/>
      <c r="E16" s="123"/>
      <c r="F16" s="123" t="s">
        <v>63</v>
      </c>
      <c r="G16" s="123"/>
      <c r="H16" s="123">
        <v>6</v>
      </c>
      <c r="I16" s="124">
        <f t="shared" si="0"/>
        <v>0.81081081081081086</v>
      </c>
      <c r="J16" s="125">
        <f t="shared" si="1"/>
        <v>0.81081081081081086</v>
      </c>
    </row>
    <row r="17" spans="1:10" ht="47.25" customHeight="1">
      <c r="A17" s="52">
        <v>13</v>
      </c>
      <c r="B17" s="122" t="s">
        <v>215</v>
      </c>
      <c r="C17" s="122"/>
      <c r="D17" s="122"/>
      <c r="E17" s="123"/>
      <c r="F17" s="123" t="s">
        <v>63</v>
      </c>
      <c r="G17" s="123"/>
      <c r="H17" s="123">
        <v>6</v>
      </c>
      <c r="I17" s="124">
        <f t="shared" si="0"/>
        <v>0.81081081081081086</v>
      </c>
      <c r="J17" s="125">
        <f t="shared" si="1"/>
        <v>0.81081081081081086</v>
      </c>
    </row>
    <row r="18" spans="1:10" ht="31.5" customHeight="1">
      <c r="A18" s="52">
        <v>14</v>
      </c>
      <c r="B18" s="122" t="s">
        <v>216</v>
      </c>
      <c r="C18" s="122"/>
      <c r="D18" s="122"/>
      <c r="E18" s="123" t="s">
        <v>63</v>
      </c>
      <c r="F18" s="123"/>
      <c r="G18" s="123"/>
      <c r="H18" s="123">
        <v>2</v>
      </c>
      <c r="I18" s="124">
        <f t="shared" si="0"/>
        <v>0.27027027027027029</v>
      </c>
      <c r="J18" s="125">
        <f t="shared" si="1"/>
        <v>0</v>
      </c>
    </row>
    <row r="19" spans="1:10" ht="47.25" customHeight="1">
      <c r="A19" s="52">
        <v>15</v>
      </c>
      <c r="B19" s="122" t="s">
        <v>217</v>
      </c>
      <c r="C19" s="122"/>
      <c r="D19" s="122"/>
      <c r="E19" s="123"/>
      <c r="F19" s="123" t="s">
        <v>63</v>
      </c>
      <c r="G19" s="123"/>
      <c r="H19" s="123">
        <v>2</v>
      </c>
      <c r="I19" s="124">
        <f t="shared" si="0"/>
        <v>0.27027027027027029</v>
      </c>
      <c r="J19" s="125">
        <f t="shared" si="1"/>
        <v>0.27027027027027029</v>
      </c>
    </row>
    <row r="20" spans="1:10" ht="15" customHeight="1">
      <c r="A20" s="83" t="s">
        <v>71</v>
      </c>
      <c r="B20" s="83"/>
      <c r="C20" s="83"/>
      <c r="D20" s="83"/>
      <c r="E20" s="83"/>
      <c r="F20" s="83"/>
      <c r="G20" s="83"/>
      <c r="H20" s="83"/>
      <c r="I20" s="28">
        <f>SUM(I5:I19)</f>
        <v>9.9999999999999982</v>
      </c>
      <c r="J20" s="19">
        <f>SUM(J5:J19)</f>
        <v>9.4594594594594579</v>
      </c>
    </row>
  </sheetData>
  <mergeCells count="23">
    <mergeCell ref="A20:H20"/>
    <mergeCell ref="B10:D10"/>
    <mergeCell ref="B19:D19"/>
    <mergeCell ref="B8:D8"/>
    <mergeCell ref="B9:D9"/>
    <mergeCell ref="B17:D17"/>
    <mergeCell ref="B18:D18"/>
    <mergeCell ref="B15:D15"/>
    <mergeCell ref="B16:D16"/>
    <mergeCell ref="B4:D4"/>
    <mergeCell ref="B5:D5"/>
    <mergeCell ref="B6:D6"/>
    <mergeCell ref="B7:D7"/>
    <mergeCell ref="B14:D14"/>
    <mergeCell ref="B11:D11"/>
    <mergeCell ref="B12:D12"/>
    <mergeCell ref="B13:D13"/>
    <mergeCell ref="A1:B1"/>
    <mergeCell ref="A2:B2"/>
    <mergeCell ref="C1:J1"/>
    <mergeCell ref="C2:J2"/>
    <mergeCell ref="E3:J3"/>
    <mergeCell ref="A3:B3"/>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18D1C-E98B-416F-8D4A-B05806D9AC2B}">
  <sheetPr>
    <tabColor rgb="FFFFC000"/>
  </sheetPr>
  <dimension ref="A1:I15"/>
  <sheetViews>
    <sheetView workbookViewId="0">
      <selection activeCell="B7" sqref="A1:I15"/>
    </sheetView>
  </sheetViews>
  <sheetFormatPr defaultColWidth="11.42578125" defaultRowHeight="14.25"/>
  <cols>
    <col min="1" max="1" width="4.7109375" style="21" customWidth="1"/>
    <col min="2" max="3" width="17.7109375" style="21" customWidth="1"/>
    <col min="4" max="5" width="4.855468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52</v>
      </c>
      <c r="D1" s="120"/>
      <c r="E1" s="120"/>
      <c r="F1" s="120"/>
      <c r="G1" s="120"/>
      <c r="H1" s="120"/>
      <c r="I1" s="121"/>
    </row>
    <row r="2" spans="1:9" ht="15">
      <c r="A2" s="70" t="s">
        <v>0</v>
      </c>
      <c r="B2" s="70"/>
      <c r="C2" s="84" t="s">
        <v>42</v>
      </c>
      <c r="D2" s="120"/>
      <c r="E2" s="120"/>
      <c r="F2" s="120"/>
      <c r="G2" s="120"/>
      <c r="H2" s="120"/>
      <c r="I2" s="121"/>
    </row>
    <row r="3" spans="1:9" ht="15">
      <c r="A3" s="70" t="s">
        <v>218</v>
      </c>
      <c r="B3" s="70"/>
      <c r="C3" s="55" t="s">
        <v>219</v>
      </c>
      <c r="D3" s="122">
        <v>130</v>
      </c>
      <c r="E3" s="122"/>
      <c r="F3" s="122"/>
      <c r="G3" s="122"/>
      <c r="H3" s="122"/>
      <c r="I3" s="122"/>
    </row>
    <row r="4" spans="1:9" ht="60">
      <c r="A4" s="52" t="s">
        <v>55</v>
      </c>
      <c r="B4" s="70" t="s">
        <v>56</v>
      </c>
      <c r="C4" s="70"/>
      <c r="D4" s="52" t="s">
        <v>24</v>
      </c>
      <c r="E4" s="52" t="s">
        <v>57</v>
      </c>
      <c r="F4" s="52" t="s">
        <v>58</v>
      </c>
      <c r="G4" s="52" t="s">
        <v>59</v>
      </c>
      <c r="H4" s="52" t="s">
        <v>60</v>
      </c>
      <c r="I4" s="52" t="s">
        <v>61</v>
      </c>
    </row>
    <row r="5" spans="1:9" ht="42.75" customHeight="1">
      <c r="A5" s="52">
        <v>1</v>
      </c>
      <c r="B5" s="122" t="s">
        <v>220</v>
      </c>
      <c r="C5" s="122"/>
      <c r="D5" s="123"/>
      <c r="E5" s="123" t="s">
        <v>63</v>
      </c>
      <c r="F5" s="123"/>
      <c r="G5" s="123">
        <v>10</v>
      </c>
      <c r="H5" s="124">
        <f>(G5*10)/SUM($G$5:$G$14)</f>
        <v>1.0869565217391304</v>
      </c>
      <c r="I5" s="125">
        <f>IF(E5="X",((G5*10)/SUM($G$5:$G$14)),0)</f>
        <v>1.0869565217391304</v>
      </c>
    </row>
    <row r="6" spans="1:9" ht="45" customHeight="1">
      <c r="A6" s="52">
        <v>2</v>
      </c>
      <c r="B6" s="122" t="s">
        <v>221</v>
      </c>
      <c r="C6" s="122"/>
      <c r="D6" s="123"/>
      <c r="E6" s="123" t="s">
        <v>63</v>
      </c>
      <c r="F6" s="123"/>
      <c r="G6" s="123">
        <v>6</v>
      </c>
      <c r="H6" s="124">
        <f t="shared" ref="H6:H14" si="0">(G6*10)/SUM($G$5:$G$14)</f>
        <v>0.65217391304347827</v>
      </c>
      <c r="I6" s="125">
        <f t="shared" ref="I6:I14" si="1">IF(E6="X",((G6*10)/SUM($G$5:$G$14)),0)</f>
        <v>0.65217391304347827</v>
      </c>
    </row>
    <row r="7" spans="1:9" ht="31.5" customHeight="1">
      <c r="A7" s="52">
        <v>3</v>
      </c>
      <c r="B7" s="122" t="s">
        <v>222</v>
      </c>
      <c r="C7" s="122"/>
      <c r="D7" s="123"/>
      <c r="E7" s="123" t="s">
        <v>63</v>
      </c>
      <c r="F7" s="123"/>
      <c r="G7" s="123">
        <v>6</v>
      </c>
      <c r="H7" s="124">
        <f t="shared" si="0"/>
        <v>0.65217391304347827</v>
      </c>
      <c r="I7" s="125">
        <f t="shared" si="1"/>
        <v>0.65217391304347827</v>
      </c>
    </row>
    <row r="8" spans="1:9" ht="58.5" customHeight="1">
      <c r="A8" s="52">
        <v>4</v>
      </c>
      <c r="B8" s="122" t="s">
        <v>223</v>
      </c>
      <c r="C8" s="122"/>
      <c r="D8" s="123"/>
      <c r="E8" s="123" t="s">
        <v>63</v>
      </c>
      <c r="F8" s="123"/>
      <c r="G8" s="123">
        <v>10</v>
      </c>
      <c r="H8" s="124">
        <f t="shared" si="0"/>
        <v>1.0869565217391304</v>
      </c>
      <c r="I8" s="125">
        <f t="shared" si="1"/>
        <v>1.0869565217391304</v>
      </c>
    </row>
    <row r="9" spans="1:9" ht="47.25" customHeight="1">
      <c r="A9" s="52">
        <v>5</v>
      </c>
      <c r="B9" s="122" t="s">
        <v>224</v>
      </c>
      <c r="C9" s="122"/>
      <c r="D9" s="123"/>
      <c r="E9" s="123" t="s">
        <v>63</v>
      </c>
      <c r="F9" s="123"/>
      <c r="G9" s="123">
        <v>10</v>
      </c>
      <c r="H9" s="124">
        <f t="shared" si="0"/>
        <v>1.0869565217391304</v>
      </c>
      <c r="I9" s="125">
        <f t="shared" si="1"/>
        <v>1.0869565217391304</v>
      </c>
    </row>
    <row r="10" spans="1:9" ht="63" customHeight="1">
      <c r="A10" s="52">
        <v>6</v>
      </c>
      <c r="B10" s="122" t="s">
        <v>225</v>
      </c>
      <c r="C10" s="122"/>
      <c r="D10" s="123"/>
      <c r="E10" s="123" t="s">
        <v>63</v>
      </c>
      <c r="F10" s="123"/>
      <c r="G10" s="123">
        <v>10</v>
      </c>
      <c r="H10" s="124">
        <f t="shared" si="0"/>
        <v>1.0869565217391304</v>
      </c>
      <c r="I10" s="125">
        <f t="shared" si="1"/>
        <v>1.0869565217391304</v>
      </c>
    </row>
    <row r="11" spans="1:9" ht="47.25" customHeight="1">
      <c r="A11" s="52">
        <v>7</v>
      </c>
      <c r="B11" s="122" t="s">
        <v>226</v>
      </c>
      <c r="C11" s="122"/>
      <c r="D11" s="123"/>
      <c r="E11" s="123" t="s">
        <v>63</v>
      </c>
      <c r="F11" s="123"/>
      <c r="G11" s="123">
        <v>10</v>
      </c>
      <c r="H11" s="124">
        <f t="shared" si="0"/>
        <v>1.0869565217391304</v>
      </c>
      <c r="I11" s="125">
        <f t="shared" si="1"/>
        <v>1.0869565217391304</v>
      </c>
    </row>
    <row r="12" spans="1:9" ht="47.25" customHeight="1">
      <c r="A12" s="52">
        <v>8</v>
      </c>
      <c r="B12" s="122" t="s">
        <v>227</v>
      </c>
      <c r="C12" s="122"/>
      <c r="D12" s="123"/>
      <c r="E12" s="123" t="s">
        <v>63</v>
      </c>
      <c r="F12" s="123"/>
      <c r="G12" s="123">
        <v>10</v>
      </c>
      <c r="H12" s="124">
        <f t="shared" si="0"/>
        <v>1.0869565217391304</v>
      </c>
      <c r="I12" s="125">
        <f t="shared" si="1"/>
        <v>1.0869565217391304</v>
      </c>
    </row>
    <row r="13" spans="1:9" ht="47.25" customHeight="1">
      <c r="A13" s="52">
        <v>9</v>
      </c>
      <c r="B13" s="122" t="s">
        <v>228</v>
      </c>
      <c r="C13" s="122"/>
      <c r="D13" s="123"/>
      <c r="E13" s="123" t="s">
        <v>63</v>
      </c>
      <c r="F13" s="123"/>
      <c r="G13" s="123">
        <v>10</v>
      </c>
      <c r="H13" s="124">
        <f t="shared" si="0"/>
        <v>1.0869565217391304</v>
      </c>
      <c r="I13" s="125">
        <f t="shared" si="1"/>
        <v>1.0869565217391304</v>
      </c>
    </row>
    <row r="14" spans="1:9" ht="63" customHeight="1">
      <c r="A14" s="52">
        <v>10</v>
      </c>
      <c r="B14" s="122" t="s">
        <v>229</v>
      </c>
      <c r="C14" s="122"/>
      <c r="D14" s="123"/>
      <c r="E14" s="123" t="s">
        <v>63</v>
      </c>
      <c r="F14" s="123"/>
      <c r="G14" s="123">
        <v>10</v>
      </c>
      <c r="H14" s="124">
        <f t="shared" si="0"/>
        <v>1.0869565217391304</v>
      </c>
      <c r="I14" s="125">
        <f t="shared" si="1"/>
        <v>1.0869565217391304</v>
      </c>
    </row>
    <row r="15" spans="1:9" ht="15.75" customHeight="1">
      <c r="A15" s="83" t="s">
        <v>71</v>
      </c>
      <c r="B15" s="83"/>
      <c r="C15" s="83"/>
      <c r="D15" s="83"/>
      <c r="E15" s="83"/>
      <c r="F15" s="83"/>
      <c r="G15" s="83"/>
      <c r="H15" s="28">
        <f>SUM(H5:H14)</f>
        <v>10.000000000000002</v>
      </c>
      <c r="I15" s="20">
        <f>SUM(I5:I14)</f>
        <v>10.000000000000002</v>
      </c>
    </row>
  </sheetData>
  <mergeCells count="18">
    <mergeCell ref="B11:C11"/>
    <mergeCell ref="B12:C12"/>
    <mergeCell ref="B13:C13"/>
    <mergeCell ref="B14:C14"/>
    <mergeCell ref="A15:G15"/>
    <mergeCell ref="B10:C10"/>
    <mergeCell ref="A3:B3"/>
    <mergeCell ref="B4:C4"/>
    <mergeCell ref="B5:C5"/>
    <mergeCell ref="B6:C6"/>
    <mergeCell ref="B7:C7"/>
    <mergeCell ref="B8:C8"/>
    <mergeCell ref="B9:C9"/>
    <mergeCell ref="A1:B1"/>
    <mergeCell ref="A2:B2"/>
    <mergeCell ref="C1:I1"/>
    <mergeCell ref="C2:I2"/>
    <mergeCell ref="D3:I3"/>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DE1F-4543-462A-A10A-23B656324007}">
  <sheetPr>
    <tabColor rgb="FF00B050"/>
  </sheetPr>
  <dimension ref="A1:I13"/>
  <sheetViews>
    <sheetView workbookViewId="0">
      <selection activeCell="B7" sqref="A1:I13"/>
    </sheetView>
  </sheetViews>
  <sheetFormatPr defaultColWidth="11.42578125" defaultRowHeight="14.25"/>
  <cols>
    <col min="1" max="1" width="4.7109375" style="21" customWidth="1"/>
    <col min="2" max="3" width="17.7109375" style="21" customWidth="1"/>
    <col min="4" max="5" width="4.855468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52</v>
      </c>
      <c r="D1" s="120"/>
      <c r="E1" s="120"/>
      <c r="F1" s="120"/>
      <c r="G1" s="120"/>
      <c r="H1" s="120"/>
      <c r="I1" s="121"/>
    </row>
    <row r="2" spans="1:9" ht="15">
      <c r="A2" s="70" t="s">
        <v>0</v>
      </c>
      <c r="B2" s="70"/>
      <c r="C2" s="84" t="s">
        <v>44</v>
      </c>
      <c r="D2" s="120"/>
      <c r="E2" s="120"/>
      <c r="F2" s="120"/>
      <c r="G2" s="120"/>
      <c r="H2" s="120"/>
      <c r="I2" s="121"/>
    </row>
    <row r="3" spans="1:9" ht="15">
      <c r="A3" s="70" t="s">
        <v>53</v>
      </c>
      <c r="B3" s="70"/>
      <c r="C3" s="55" t="s">
        <v>54</v>
      </c>
      <c r="D3" s="122">
        <v>330</v>
      </c>
      <c r="E3" s="122"/>
      <c r="F3" s="122"/>
      <c r="G3" s="122"/>
      <c r="H3" s="122"/>
      <c r="I3" s="122"/>
    </row>
    <row r="4" spans="1:9" ht="60">
      <c r="A4" s="52" t="s">
        <v>55</v>
      </c>
      <c r="B4" s="70" t="s">
        <v>56</v>
      </c>
      <c r="C4" s="70"/>
      <c r="D4" s="52" t="s">
        <v>24</v>
      </c>
      <c r="E4" s="52" t="s">
        <v>57</v>
      </c>
      <c r="F4" s="52" t="s">
        <v>58</v>
      </c>
      <c r="G4" s="52" t="s">
        <v>59</v>
      </c>
      <c r="H4" s="52" t="s">
        <v>60</v>
      </c>
      <c r="I4" s="52" t="s">
        <v>61</v>
      </c>
    </row>
    <row r="5" spans="1:9" ht="47.25" customHeight="1">
      <c r="A5" s="52">
        <v>1</v>
      </c>
      <c r="B5" s="122" t="s">
        <v>62</v>
      </c>
      <c r="C5" s="122"/>
      <c r="D5" s="123"/>
      <c r="E5" s="123" t="s">
        <v>63</v>
      </c>
      <c r="F5" s="123"/>
      <c r="G5" s="123">
        <v>10</v>
      </c>
      <c r="H5" s="124">
        <f>(G5*10)/SUM($G$5:$G$12)</f>
        <v>1.5625</v>
      </c>
      <c r="I5" s="125">
        <f t="shared" ref="I5:I12" si="0">IF(E5="X",((G5*10)/SUM($G$5:$G$12)),0)</f>
        <v>1.5625</v>
      </c>
    </row>
    <row r="6" spans="1:9" ht="63" customHeight="1">
      <c r="A6" s="52">
        <v>2</v>
      </c>
      <c r="B6" s="122" t="s">
        <v>64</v>
      </c>
      <c r="C6" s="122"/>
      <c r="D6" s="123"/>
      <c r="E6" s="123" t="s">
        <v>63</v>
      </c>
      <c r="F6" s="123"/>
      <c r="G6" s="123">
        <v>6</v>
      </c>
      <c r="H6" s="124">
        <f t="shared" ref="H6:H12" si="1">(G6*10)/SUM($G$5:$G$12)</f>
        <v>0.9375</v>
      </c>
      <c r="I6" s="125">
        <f t="shared" si="0"/>
        <v>0.9375</v>
      </c>
    </row>
    <row r="7" spans="1:9" ht="47.25" customHeight="1">
      <c r="A7" s="52">
        <v>3</v>
      </c>
      <c r="B7" s="122" t="s">
        <v>65</v>
      </c>
      <c r="C7" s="122"/>
      <c r="D7" s="123"/>
      <c r="E7" s="123" t="s">
        <v>63</v>
      </c>
      <c r="F7" s="123"/>
      <c r="G7" s="123">
        <v>10</v>
      </c>
      <c r="H7" s="124">
        <f t="shared" si="1"/>
        <v>1.5625</v>
      </c>
      <c r="I7" s="125">
        <f t="shared" si="0"/>
        <v>1.5625</v>
      </c>
    </row>
    <row r="8" spans="1:9" ht="47.25" customHeight="1">
      <c r="A8" s="52">
        <v>4</v>
      </c>
      <c r="B8" s="122" t="s">
        <v>66</v>
      </c>
      <c r="C8" s="122"/>
      <c r="D8" s="123"/>
      <c r="E8" s="123" t="s">
        <v>63</v>
      </c>
      <c r="F8" s="123"/>
      <c r="G8" s="123">
        <v>2</v>
      </c>
      <c r="H8" s="124">
        <f t="shared" si="1"/>
        <v>0.3125</v>
      </c>
      <c r="I8" s="125">
        <f t="shared" si="0"/>
        <v>0.3125</v>
      </c>
    </row>
    <row r="9" spans="1:9" ht="78.75" customHeight="1">
      <c r="A9" s="52">
        <v>5</v>
      </c>
      <c r="B9" s="122" t="s">
        <v>67</v>
      </c>
      <c r="C9" s="122"/>
      <c r="D9" s="123"/>
      <c r="E9" s="123" t="s">
        <v>63</v>
      </c>
      <c r="F9" s="123"/>
      <c r="G9" s="123">
        <v>10</v>
      </c>
      <c r="H9" s="124">
        <f t="shared" si="1"/>
        <v>1.5625</v>
      </c>
      <c r="I9" s="125">
        <f t="shared" si="0"/>
        <v>1.5625</v>
      </c>
    </row>
    <row r="10" spans="1:9" ht="47.25" customHeight="1">
      <c r="A10" s="52">
        <v>6</v>
      </c>
      <c r="B10" s="122" t="s">
        <v>68</v>
      </c>
      <c r="C10" s="122"/>
      <c r="D10" s="123"/>
      <c r="E10" s="123" t="s">
        <v>63</v>
      </c>
      <c r="F10" s="123"/>
      <c r="G10" s="123">
        <v>6</v>
      </c>
      <c r="H10" s="124">
        <f t="shared" si="1"/>
        <v>0.9375</v>
      </c>
      <c r="I10" s="125">
        <f t="shared" si="0"/>
        <v>0.9375</v>
      </c>
    </row>
    <row r="11" spans="1:9" ht="50.25" customHeight="1">
      <c r="A11" s="52">
        <v>7</v>
      </c>
      <c r="B11" s="122" t="s">
        <v>69</v>
      </c>
      <c r="C11" s="122"/>
      <c r="D11" s="123"/>
      <c r="E11" s="123" t="s">
        <v>63</v>
      </c>
      <c r="F11" s="123"/>
      <c r="G11" s="123">
        <v>10</v>
      </c>
      <c r="H11" s="124">
        <f t="shared" si="1"/>
        <v>1.5625</v>
      </c>
      <c r="I11" s="125">
        <f t="shared" si="0"/>
        <v>1.5625</v>
      </c>
    </row>
    <row r="12" spans="1:9" ht="61.5" customHeight="1">
      <c r="A12" s="52">
        <v>8</v>
      </c>
      <c r="B12" s="122" t="s">
        <v>70</v>
      </c>
      <c r="C12" s="122"/>
      <c r="D12" s="123"/>
      <c r="E12" s="123" t="s">
        <v>63</v>
      </c>
      <c r="F12" s="123"/>
      <c r="G12" s="123">
        <v>10</v>
      </c>
      <c r="H12" s="124">
        <f t="shared" si="1"/>
        <v>1.5625</v>
      </c>
      <c r="I12" s="125">
        <f t="shared" si="0"/>
        <v>1.5625</v>
      </c>
    </row>
    <row r="13" spans="1:9" ht="15.75" customHeight="1">
      <c r="A13" s="71" t="s">
        <v>71</v>
      </c>
      <c r="B13" s="72"/>
      <c r="C13" s="72"/>
      <c r="D13" s="72"/>
      <c r="E13" s="72"/>
      <c r="F13" s="72"/>
      <c r="G13" s="72"/>
      <c r="H13" s="29">
        <f>SUM(H5:H12)</f>
        <v>10</v>
      </c>
      <c r="I13" s="20">
        <f>SUM(I5:I12)</f>
        <v>10</v>
      </c>
    </row>
  </sheetData>
  <mergeCells count="16">
    <mergeCell ref="A13:G13"/>
    <mergeCell ref="A3:B3"/>
    <mergeCell ref="B4:C4"/>
    <mergeCell ref="B11:C11"/>
    <mergeCell ref="B12:C12"/>
    <mergeCell ref="D3:I3"/>
    <mergeCell ref="B5:C5"/>
    <mergeCell ref="B6:C6"/>
    <mergeCell ref="B7:C7"/>
    <mergeCell ref="B8:C8"/>
    <mergeCell ref="B9:C9"/>
    <mergeCell ref="A1:B1"/>
    <mergeCell ref="A2:B2"/>
    <mergeCell ref="C1:I1"/>
    <mergeCell ref="C2:I2"/>
    <mergeCell ref="B10:C10"/>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AE153-D06B-41D0-AC0E-53CAB35B5249}">
  <sheetPr>
    <tabColor rgb="FF00B050"/>
  </sheetPr>
  <dimension ref="A1:I13"/>
  <sheetViews>
    <sheetView workbookViewId="0">
      <selection activeCell="B6" sqref="A1:I13"/>
    </sheetView>
  </sheetViews>
  <sheetFormatPr defaultColWidth="11.42578125" defaultRowHeight="14.25"/>
  <cols>
    <col min="1" max="1" width="4.7109375" style="21" customWidth="1"/>
    <col min="2" max="3" width="17.7109375" style="21" customWidth="1"/>
    <col min="4" max="5" width="4.855468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52</v>
      </c>
      <c r="D1" s="120"/>
      <c r="E1" s="120"/>
      <c r="F1" s="120"/>
      <c r="G1" s="120"/>
      <c r="H1" s="120"/>
      <c r="I1" s="121"/>
    </row>
    <row r="2" spans="1:9" ht="15">
      <c r="A2" s="70" t="s">
        <v>0</v>
      </c>
      <c r="B2" s="70"/>
      <c r="C2" s="84" t="s">
        <v>44</v>
      </c>
      <c r="D2" s="120"/>
      <c r="E2" s="120"/>
      <c r="F2" s="120"/>
      <c r="G2" s="120"/>
      <c r="H2" s="120"/>
      <c r="I2" s="121"/>
    </row>
    <row r="3" spans="1:9" ht="15">
      <c r="A3" s="70" t="s">
        <v>53</v>
      </c>
      <c r="B3" s="70"/>
      <c r="C3" s="55" t="s">
        <v>230</v>
      </c>
      <c r="D3" s="122">
        <v>340</v>
      </c>
      <c r="E3" s="122"/>
      <c r="F3" s="122"/>
      <c r="G3" s="122"/>
      <c r="H3" s="122"/>
      <c r="I3" s="122"/>
    </row>
    <row r="4" spans="1:9" ht="60">
      <c r="A4" s="52" t="s">
        <v>55</v>
      </c>
      <c r="B4" s="70" t="s">
        <v>56</v>
      </c>
      <c r="C4" s="70"/>
      <c r="D4" s="52" t="s">
        <v>24</v>
      </c>
      <c r="E4" s="52" t="s">
        <v>57</v>
      </c>
      <c r="F4" s="52" t="s">
        <v>58</v>
      </c>
      <c r="G4" s="52" t="s">
        <v>59</v>
      </c>
      <c r="H4" s="52" t="s">
        <v>60</v>
      </c>
      <c r="I4" s="52" t="s">
        <v>61</v>
      </c>
    </row>
    <row r="5" spans="1:9" ht="57.75" customHeight="1">
      <c r="A5" s="52">
        <v>1</v>
      </c>
      <c r="B5" s="122" t="s">
        <v>231</v>
      </c>
      <c r="C5" s="122"/>
      <c r="D5" s="123"/>
      <c r="E5" s="123" t="s">
        <v>63</v>
      </c>
      <c r="F5" s="123"/>
      <c r="G5" s="123">
        <v>6</v>
      </c>
      <c r="H5" s="124">
        <f>(G5*10)/SUM($G$5:$G$12)</f>
        <v>1</v>
      </c>
      <c r="I5" s="125">
        <f>IF(E5="X",((G5*10)/SUM($G$5:$G$12)),0)</f>
        <v>1</v>
      </c>
    </row>
    <row r="6" spans="1:9" ht="47.25" customHeight="1">
      <c r="A6" s="52">
        <v>2</v>
      </c>
      <c r="B6" s="122" t="s">
        <v>232</v>
      </c>
      <c r="C6" s="122"/>
      <c r="D6" s="123"/>
      <c r="E6" s="123" t="s">
        <v>63</v>
      </c>
      <c r="F6" s="123"/>
      <c r="G6" s="123">
        <v>6</v>
      </c>
      <c r="H6" s="124">
        <f t="shared" ref="H6:H12" si="0">(G6*10)/SUM($G$5:$G$12)</f>
        <v>1</v>
      </c>
      <c r="I6" s="125">
        <f t="shared" ref="I6:I12" si="1">IF(E6="X",((G6*10)/SUM($G$5:$G$12)),0)</f>
        <v>1</v>
      </c>
    </row>
    <row r="7" spans="1:9" ht="41.25" customHeight="1">
      <c r="A7" s="52">
        <v>3</v>
      </c>
      <c r="B7" s="122" t="s">
        <v>233</v>
      </c>
      <c r="C7" s="122"/>
      <c r="D7" s="123"/>
      <c r="E7" s="123" t="s">
        <v>63</v>
      </c>
      <c r="F7" s="123"/>
      <c r="G7" s="123">
        <v>2</v>
      </c>
      <c r="H7" s="124">
        <f t="shared" si="0"/>
        <v>0.33333333333333331</v>
      </c>
      <c r="I7" s="125">
        <f t="shared" si="1"/>
        <v>0.33333333333333331</v>
      </c>
    </row>
    <row r="8" spans="1:9" ht="74.25" customHeight="1">
      <c r="A8" s="52">
        <v>4</v>
      </c>
      <c r="B8" s="122" t="s">
        <v>234</v>
      </c>
      <c r="C8" s="122"/>
      <c r="D8" s="123"/>
      <c r="E8" s="123" t="s">
        <v>63</v>
      </c>
      <c r="F8" s="123"/>
      <c r="G8" s="123">
        <v>6</v>
      </c>
      <c r="H8" s="124">
        <f t="shared" si="0"/>
        <v>1</v>
      </c>
      <c r="I8" s="125">
        <f t="shared" si="1"/>
        <v>1</v>
      </c>
    </row>
    <row r="9" spans="1:9" ht="45" customHeight="1">
      <c r="A9" s="52">
        <v>5</v>
      </c>
      <c r="B9" s="122" t="s">
        <v>235</v>
      </c>
      <c r="C9" s="122"/>
      <c r="D9" s="123"/>
      <c r="E9" s="123" t="s">
        <v>63</v>
      </c>
      <c r="F9" s="123"/>
      <c r="G9" s="123">
        <v>10</v>
      </c>
      <c r="H9" s="124">
        <f t="shared" si="0"/>
        <v>1.6666666666666667</v>
      </c>
      <c r="I9" s="125">
        <f t="shared" si="1"/>
        <v>1.6666666666666667</v>
      </c>
    </row>
    <row r="10" spans="1:9" ht="47.25" customHeight="1">
      <c r="A10" s="52">
        <v>6</v>
      </c>
      <c r="B10" s="122" t="s">
        <v>236</v>
      </c>
      <c r="C10" s="122"/>
      <c r="D10" s="123"/>
      <c r="E10" s="123" t="s">
        <v>63</v>
      </c>
      <c r="F10" s="123"/>
      <c r="G10" s="123">
        <v>10</v>
      </c>
      <c r="H10" s="124">
        <f t="shared" si="0"/>
        <v>1.6666666666666667</v>
      </c>
      <c r="I10" s="125">
        <f t="shared" si="1"/>
        <v>1.6666666666666667</v>
      </c>
    </row>
    <row r="11" spans="1:9" ht="60" customHeight="1">
      <c r="A11" s="52">
        <v>7</v>
      </c>
      <c r="B11" s="122" t="s">
        <v>237</v>
      </c>
      <c r="C11" s="122"/>
      <c r="D11" s="123"/>
      <c r="E11" s="123" t="s">
        <v>63</v>
      </c>
      <c r="F11" s="123"/>
      <c r="G11" s="123">
        <v>10</v>
      </c>
      <c r="H11" s="124">
        <f t="shared" si="0"/>
        <v>1.6666666666666667</v>
      </c>
      <c r="I11" s="125">
        <f t="shared" si="1"/>
        <v>1.6666666666666667</v>
      </c>
    </row>
    <row r="12" spans="1:9" ht="63" customHeight="1">
      <c r="A12" s="52">
        <v>8</v>
      </c>
      <c r="B12" s="122" t="s">
        <v>238</v>
      </c>
      <c r="C12" s="122"/>
      <c r="D12" s="123"/>
      <c r="E12" s="123" t="s">
        <v>63</v>
      </c>
      <c r="F12" s="123"/>
      <c r="G12" s="123">
        <v>10</v>
      </c>
      <c r="H12" s="124">
        <f t="shared" si="0"/>
        <v>1.6666666666666667</v>
      </c>
      <c r="I12" s="125">
        <f t="shared" si="1"/>
        <v>1.6666666666666667</v>
      </c>
    </row>
    <row r="13" spans="1:9" ht="15.75" customHeight="1">
      <c r="A13" s="83" t="s">
        <v>71</v>
      </c>
      <c r="B13" s="83"/>
      <c r="C13" s="83"/>
      <c r="D13" s="83"/>
      <c r="E13" s="83"/>
      <c r="F13" s="83"/>
      <c r="G13" s="83"/>
      <c r="H13" s="28">
        <f>SUM(H5:H12)</f>
        <v>10</v>
      </c>
      <c r="I13" s="20">
        <f>SUM(I5:I12)</f>
        <v>10</v>
      </c>
    </row>
  </sheetData>
  <mergeCells count="16">
    <mergeCell ref="A13:G13"/>
    <mergeCell ref="A3:B3"/>
    <mergeCell ref="B4:C4"/>
    <mergeCell ref="B11:C11"/>
    <mergeCell ref="B12:C12"/>
    <mergeCell ref="D3:I3"/>
    <mergeCell ref="B5:C5"/>
    <mergeCell ref="B6:C6"/>
    <mergeCell ref="B7:C7"/>
    <mergeCell ref="B8:C8"/>
    <mergeCell ref="B9:C9"/>
    <mergeCell ref="A1:B1"/>
    <mergeCell ref="A2:B2"/>
    <mergeCell ref="C1:I1"/>
    <mergeCell ref="C2:I2"/>
    <mergeCell ref="B10:C10"/>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2705D-0C9C-4D13-955D-741D095AA2F3}">
  <sheetPr>
    <tabColor rgb="FF00B050"/>
  </sheetPr>
  <dimension ref="A1:I12"/>
  <sheetViews>
    <sheetView workbookViewId="0">
      <selection activeCell="B7" sqref="A1:I12"/>
    </sheetView>
  </sheetViews>
  <sheetFormatPr defaultColWidth="11.42578125" defaultRowHeight="14.25"/>
  <cols>
    <col min="1" max="1" width="4.7109375" style="21" customWidth="1"/>
    <col min="2" max="3" width="17.7109375" style="21" customWidth="1"/>
    <col min="4" max="5" width="4.855468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52</v>
      </c>
      <c r="D1" s="120"/>
      <c r="E1" s="120"/>
      <c r="F1" s="120"/>
      <c r="G1" s="120"/>
      <c r="H1" s="120"/>
      <c r="I1" s="121"/>
    </row>
    <row r="2" spans="1:9" ht="15">
      <c r="A2" s="70" t="s">
        <v>0</v>
      </c>
      <c r="B2" s="70"/>
      <c r="C2" s="84" t="s">
        <v>44</v>
      </c>
      <c r="D2" s="120"/>
      <c r="E2" s="120"/>
      <c r="F2" s="120"/>
      <c r="G2" s="120"/>
      <c r="H2" s="120"/>
      <c r="I2" s="121"/>
    </row>
    <row r="3" spans="1:9" ht="15">
      <c r="A3" s="70" t="s">
        <v>72</v>
      </c>
      <c r="B3" s="70"/>
      <c r="C3" s="55" t="s">
        <v>73</v>
      </c>
      <c r="D3" s="122">
        <v>380</v>
      </c>
      <c r="E3" s="122"/>
      <c r="F3" s="122"/>
      <c r="G3" s="122"/>
      <c r="H3" s="122"/>
      <c r="I3" s="122"/>
    </row>
    <row r="4" spans="1:9" ht="60">
      <c r="A4" s="52" t="s">
        <v>55</v>
      </c>
      <c r="B4" s="70" t="s">
        <v>56</v>
      </c>
      <c r="C4" s="70"/>
      <c r="D4" s="52" t="s">
        <v>24</v>
      </c>
      <c r="E4" s="52" t="s">
        <v>57</v>
      </c>
      <c r="F4" s="52" t="s">
        <v>58</v>
      </c>
      <c r="G4" s="52" t="s">
        <v>59</v>
      </c>
      <c r="H4" s="52" t="s">
        <v>60</v>
      </c>
      <c r="I4" s="52" t="s">
        <v>61</v>
      </c>
    </row>
    <row r="5" spans="1:9" ht="59.25" customHeight="1">
      <c r="A5" s="52">
        <v>1</v>
      </c>
      <c r="B5" s="122" t="s">
        <v>74</v>
      </c>
      <c r="C5" s="122"/>
      <c r="D5" s="123" t="s">
        <v>63</v>
      </c>
      <c r="E5" s="123"/>
      <c r="F5" s="123"/>
      <c r="G5" s="123">
        <v>2</v>
      </c>
      <c r="H5" s="124">
        <f>(G5*10)/SUM($G$5:$G$11)</f>
        <v>0.52631578947368418</v>
      </c>
      <c r="I5" s="125">
        <f>IF(E5="X",((G5*10)/SUM($G$5:$G$11)),0)</f>
        <v>0</v>
      </c>
    </row>
    <row r="6" spans="1:9" ht="74.25" customHeight="1">
      <c r="A6" s="52">
        <v>2</v>
      </c>
      <c r="B6" s="122" t="s">
        <v>75</v>
      </c>
      <c r="C6" s="122"/>
      <c r="D6" s="123"/>
      <c r="E6" s="123" t="s">
        <v>63</v>
      </c>
      <c r="F6" s="123"/>
      <c r="G6" s="123">
        <v>6</v>
      </c>
      <c r="H6" s="124">
        <f t="shared" ref="H6:H11" si="0">(G6*10)/SUM($G$5:$G$11)</f>
        <v>1.5789473684210527</v>
      </c>
      <c r="I6" s="125">
        <f t="shared" ref="I6:I11" si="1">IF(E6="X",((G6*10)/SUM($G$5:$G$11)),0)</f>
        <v>1.5789473684210527</v>
      </c>
    </row>
    <row r="7" spans="1:9" ht="31.5" customHeight="1">
      <c r="A7" s="52">
        <v>3</v>
      </c>
      <c r="B7" s="122" t="s">
        <v>76</v>
      </c>
      <c r="C7" s="122"/>
      <c r="D7" s="123"/>
      <c r="E7" s="123" t="s">
        <v>63</v>
      </c>
      <c r="F7" s="123"/>
      <c r="G7" s="123">
        <v>10</v>
      </c>
      <c r="H7" s="124">
        <f t="shared" si="0"/>
        <v>2.6315789473684212</v>
      </c>
      <c r="I7" s="125">
        <f t="shared" si="1"/>
        <v>2.6315789473684212</v>
      </c>
    </row>
    <row r="8" spans="1:9" ht="47.25" customHeight="1">
      <c r="A8" s="52">
        <v>4</v>
      </c>
      <c r="B8" s="122" t="s">
        <v>77</v>
      </c>
      <c r="C8" s="122"/>
      <c r="D8" s="123"/>
      <c r="E8" s="123" t="s">
        <v>63</v>
      </c>
      <c r="F8" s="123"/>
      <c r="G8" s="123">
        <v>10</v>
      </c>
      <c r="H8" s="124">
        <f t="shared" si="0"/>
        <v>2.6315789473684212</v>
      </c>
      <c r="I8" s="125">
        <f t="shared" si="1"/>
        <v>2.6315789473684212</v>
      </c>
    </row>
    <row r="9" spans="1:9" ht="47.25" customHeight="1">
      <c r="A9" s="52">
        <v>5</v>
      </c>
      <c r="B9" s="122" t="s">
        <v>78</v>
      </c>
      <c r="C9" s="122"/>
      <c r="D9" s="123"/>
      <c r="E9" s="123" t="s">
        <v>63</v>
      </c>
      <c r="F9" s="123"/>
      <c r="G9" s="123">
        <v>6</v>
      </c>
      <c r="H9" s="124">
        <f t="shared" si="0"/>
        <v>1.5789473684210527</v>
      </c>
      <c r="I9" s="125">
        <f t="shared" si="1"/>
        <v>1.5789473684210527</v>
      </c>
    </row>
    <row r="10" spans="1:9" ht="47.25" customHeight="1">
      <c r="A10" s="52">
        <v>6</v>
      </c>
      <c r="B10" s="122" t="s">
        <v>79</v>
      </c>
      <c r="C10" s="122"/>
      <c r="D10" s="123"/>
      <c r="E10" s="123" t="s">
        <v>63</v>
      </c>
      <c r="F10" s="123"/>
      <c r="G10" s="123">
        <v>2</v>
      </c>
      <c r="H10" s="124">
        <f t="shared" si="0"/>
        <v>0.52631578947368418</v>
      </c>
      <c r="I10" s="125">
        <f t="shared" si="1"/>
        <v>0.52631578947368418</v>
      </c>
    </row>
    <row r="11" spans="1:9" ht="46.5" customHeight="1">
      <c r="A11" s="52">
        <v>7</v>
      </c>
      <c r="B11" s="122" t="s">
        <v>80</v>
      </c>
      <c r="C11" s="122"/>
      <c r="D11" s="123"/>
      <c r="E11" s="123" t="s">
        <v>63</v>
      </c>
      <c r="F11" s="123"/>
      <c r="G11" s="123">
        <v>2</v>
      </c>
      <c r="H11" s="124">
        <f t="shared" si="0"/>
        <v>0.52631578947368418</v>
      </c>
      <c r="I11" s="125">
        <f t="shared" si="1"/>
        <v>0.52631578947368418</v>
      </c>
    </row>
    <row r="12" spans="1:9" ht="15.75" customHeight="1">
      <c r="A12" s="71" t="s">
        <v>71</v>
      </c>
      <c r="B12" s="72"/>
      <c r="C12" s="72"/>
      <c r="D12" s="72"/>
      <c r="E12" s="72"/>
      <c r="F12" s="72"/>
      <c r="G12" s="72"/>
      <c r="H12" s="29">
        <f>SUM(H5:H11)</f>
        <v>10.000000000000002</v>
      </c>
      <c r="I12" s="20">
        <f>SUM(I5:I11)</f>
        <v>9.4736842105263186</v>
      </c>
    </row>
  </sheetData>
  <mergeCells count="15">
    <mergeCell ref="A1:B1"/>
    <mergeCell ref="A2:B2"/>
    <mergeCell ref="C1:I1"/>
    <mergeCell ref="C2:I2"/>
    <mergeCell ref="A12:G12"/>
    <mergeCell ref="A3:B3"/>
    <mergeCell ref="B4:C4"/>
    <mergeCell ref="B5:C5"/>
    <mergeCell ref="B6:C6"/>
    <mergeCell ref="D3:I3"/>
    <mergeCell ref="B7:C7"/>
    <mergeCell ref="B8:C8"/>
    <mergeCell ref="B9:C9"/>
    <mergeCell ref="B10:C10"/>
    <mergeCell ref="B11:C11"/>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77FA4-296B-430C-BBC4-5A43EF7D0AC4}">
  <sheetPr>
    <tabColor rgb="FF00B050"/>
  </sheetPr>
  <dimension ref="A1:I16"/>
  <sheetViews>
    <sheetView workbookViewId="0">
      <selection activeCell="B6" sqref="A1:I16"/>
    </sheetView>
  </sheetViews>
  <sheetFormatPr defaultColWidth="11.42578125" defaultRowHeight="14.25"/>
  <cols>
    <col min="1" max="1" width="4.7109375" style="21" customWidth="1"/>
    <col min="2" max="3" width="17.7109375" style="21" customWidth="1"/>
    <col min="4" max="5" width="4.855468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52</v>
      </c>
      <c r="D1" s="120"/>
      <c r="E1" s="120"/>
      <c r="F1" s="120"/>
      <c r="G1" s="120"/>
      <c r="H1" s="120"/>
      <c r="I1" s="121"/>
    </row>
    <row r="2" spans="1:9" ht="15">
      <c r="A2" s="70" t="s">
        <v>0</v>
      </c>
      <c r="B2" s="70"/>
      <c r="C2" s="84" t="s">
        <v>44</v>
      </c>
      <c r="D2" s="120"/>
      <c r="E2" s="120"/>
      <c r="F2" s="120"/>
      <c r="G2" s="120"/>
      <c r="H2" s="120"/>
      <c r="I2" s="121"/>
    </row>
    <row r="3" spans="1:9" ht="45">
      <c r="A3" s="70" t="s">
        <v>270</v>
      </c>
      <c r="B3" s="70"/>
      <c r="C3" s="55" t="s">
        <v>271</v>
      </c>
      <c r="D3" s="122">
        <v>170</v>
      </c>
      <c r="E3" s="122"/>
      <c r="F3" s="122"/>
      <c r="G3" s="122"/>
      <c r="H3" s="122"/>
      <c r="I3" s="122"/>
    </row>
    <row r="4" spans="1:9" ht="60">
      <c r="A4" s="52" t="s">
        <v>55</v>
      </c>
      <c r="B4" s="70" t="s">
        <v>56</v>
      </c>
      <c r="C4" s="70"/>
      <c r="D4" s="52" t="s">
        <v>24</v>
      </c>
      <c r="E4" s="52" t="s">
        <v>57</v>
      </c>
      <c r="F4" s="52" t="s">
        <v>58</v>
      </c>
      <c r="G4" s="52" t="s">
        <v>59</v>
      </c>
      <c r="H4" s="52" t="s">
        <v>60</v>
      </c>
      <c r="I4" s="52" t="s">
        <v>61</v>
      </c>
    </row>
    <row r="5" spans="1:9" ht="33" customHeight="1">
      <c r="A5" s="52">
        <v>1</v>
      </c>
      <c r="B5" s="122" t="s">
        <v>272</v>
      </c>
      <c r="C5" s="122"/>
      <c r="D5" s="123"/>
      <c r="E5" s="123" t="s">
        <v>63</v>
      </c>
      <c r="F5" s="123"/>
      <c r="G5" s="123">
        <v>10</v>
      </c>
      <c r="H5" s="124">
        <f>(G5*10)/SUM($G$5:$G$15)</f>
        <v>1.2195121951219512</v>
      </c>
      <c r="I5" s="125">
        <f t="shared" ref="I5:I15" si="0">IF(E5="X",((G5*10)/SUM($G$5:$G$15)),0)</f>
        <v>1.2195121951219512</v>
      </c>
    </row>
    <row r="6" spans="1:9" ht="47.25" customHeight="1">
      <c r="A6" s="52">
        <v>2</v>
      </c>
      <c r="B6" s="122" t="s">
        <v>273</v>
      </c>
      <c r="C6" s="122"/>
      <c r="D6" s="123"/>
      <c r="E6" s="123" t="s">
        <v>63</v>
      </c>
      <c r="F6" s="123"/>
      <c r="G6" s="123">
        <v>10</v>
      </c>
      <c r="H6" s="124">
        <f t="shared" ref="H6:H15" si="1">(G6*10)/SUM($G$5:$G$15)</f>
        <v>1.2195121951219512</v>
      </c>
      <c r="I6" s="125">
        <f t="shared" si="0"/>
        <v>1.2195121951219512</v>
      </c>
    </row>
    <row r="7" spans="1:9" ht="70.5" customHeight="1">
      <c r="A7" s="52">
        <v>3</v>
      </c>
      <c r="B7" s="122" t="s">
        <v>274</v>
      </c>
      <c r="C7" s="122"/>
      <c r="D7" s="123"/>
      <c r="E7" s="123" t="s">
        <v>63</v>
      </c>
      <c r="F7" s="123"/>
      <c r="G7" s="123">
        <v>6</v>
      </c>
      <c r="H7" s="124">
        <f t="shared" si="1"/>
        <v>0.73170731707317072</v>
      </c>
      <c r="I7" s="125">
        <f t="shared" si="0"/>
        <v>0.73170731707317072</v>
      </c>
    </row>
    <row r="8" spans="1:9" ht="59.25" customHeight="1">
      <c r="A8" s="52">
        <v>4</v>
      </c>
      <c r="B8" s="122" t="s">
        <v>275</v>
      </c>
      <c r="C8" s="122"/>
      <c r="D8" s="123"/>
      <c r="E8" s="123" t="s">
        <v>63</v>
      </c>
      <c r="F8" s="123"/>
      <c r="G8" s="123">
        <v>6</v>
      </c>
      <c r="H8" s="124">
        <f t="shared" si="1"/>
        <v>0.73170731707317072</v>
      </c>
      <c r="I8" s="125">
        <f t="shared" si="0"/>
        <v>0.73170731707317072</v>
      </c>
    </row>
    <row r="9" spans="1:9" ht="59.25" customHeight="1">
      <c r="A9" s="52">
        <v>5</v>
      </c>
      <c r="B9" s="122" t="s">
        <v>276</v>
      </c>
      <c r="C9" s="122"/>
      <c r="D9" s="123"/>
      <c r="E9" s="123" t="s">
        <v>63</v>
      </c>
      <c r="F9" s="123"/>
      <c r="G9" s="123">
        <v>10</v>
      </c>
      <c r="H9" s="124">
        <f t="shared" si="1"/>
        <v>1.2195121951219512</v>
      </c>
      <c r="I9" s="125">
        <f t="shared" si="0"/>
        <v>1.2195121951219512</v>
      </c>
    </row>
    <row r="10" spans="1:9" ht="58.5" customHeight="1">
      <c r="A10" s="52">
        <v>6</v>
      </c>
      <c r="B10" s="122" t="s">
        <v>277</v>
      </c>
      <c r="C10" s="122"/>
      <c r="D10" s="123"/>
      <c r="E10" s="123" t="s">
        <v>63</v>
      </c>
      <c r="F10" s="123"/>
      <c r="G10" s="123">
        <v>6</v>
      </c>
      <c r="H10" s="124">
        <f t="shared" si="1"/>
        <v>0.73170731707317072</v>
      </c>
      <c r="I10" s="125">
        <f t="shared" si="0"/>
        <v>0.73170731707317072</v>
      </c>
    </row>
    <row r="11" spans="1:9" ht="72" customHeight="1">
      <c r="A11" s="52">
        <v>7</v>
      </c>
      <c r="B11" s="122" t="s">
        <v>278</v>
      </c>
      <c r="C11" s="122"/>
      <c r="D11" s="123"/>
      <c r="E11" s="123" t="s">
        <v>63</v>
      </c>
      <c r="F11" s="123"/>
      <c r="G11" s="123">
        <v>10</v>
      </c>
      <c r="H11" s="124">
        <f t="shared" si="1"/>
        <v>1.2195121951219512</v>
      </c>
      <c r="I11" s="125">
        <f t="shared" si="0"/>
        <v>1.2195121951219512</v>
      </c>
    </row>
    <row r="12" spans="1:9" ht="47.25" customHeight="1">
      <c r="A12" s="52">
        <v>8</v>
      </c>
      <c r="B12" s="122" t="s">
        <v>279</v>
      </c>
      <c r="C12" s="122"/>
      <c r="D12" s="123"/>
      <c r="E12" s="123" t="s">
        <v>63</v>
      </c>
      <c r="F12" s="123"/>
      <c r="G12" s="123">
        <v>10</v>
      </c>
      <c r="H12" s="124">
        <f t="shared" si="1"/>
        <v>1.2195121951219512</v>
      </c>
      <c r="I12" s="125">
        <f t="shared" si="0"/>
        <v>1.2195121951219512</v>
      </c>
    </row>
    <row r="13" spans="1:9" ht="48" customHeight="1">
      <c r="A13" s="52">
        <v>9</v>
      </c>
      <c r="B13" s="122" t="s">
        <v>280</v>
      </c>
      <c r="C13" s="122"/>
      <c r="D13" s="123"/>
      <c r="E13" s="123" t="s">
        <v>63</v>
      </c>
      <c r="F13" s="123"/>
      <c r="G13" s="123">
        <v>6</v>
      </c>
      <c r="H13" s="124">
        <f t="shared" si="1"/>
        <v>0.73170731707317072</v>
      </c>
      <c r="I13" s="125">
        <f t="shared" si="0"/>
        <v>0.73170731707317072</v>
      </c>
    </row>
    <row r="14" spans="1:9" ht="47.25" customHeight="1">
      <c r="A14" s="52">
        <v>10</v>
      </c>
      <c r="B14" s="122" t="s">
        <v>281</v>
      </c>
      <c r="C14" s="122"/>
      <c r="D14" s="123"/>
      <c r="E14" s="123" t="s">
        <v>63</v>
      </c>
      <c r="F14" s="123"/>
      <c r="G14" s="123">
        <v>6</v>
      </c>
      <c r="H14" s="124">
        <f t="shared" si="1"/>
        <v>0.73170731707317072</v>
      </c>
      <c r="I14" s="125">
        <f t="shared" si="0"/>
        <v>0.73170731707317072</v>
      </c>
    </row>
    <row r="15" spans="1:9" ht="45" customHeight="1">
      <c r="A15" s="52">
        <v>11</v>
      </c>
      <c r="B15" s="122" t="s">
        <v>282</v>
      </c>
      <c r="C15" s="122"/>
      <c r="D15" s="123"/>
      <c r="E15" s="123" t="s">
        <v>63</v>
      </c>
      <c r="F15" s="123"/>
      <c r="G15" s="123">
        <v>2</v>
      </c>
      <c r="H15" s="124">
        <f t="shared" si="1"/>
        <v>0.24390243902439024</v>
      </c>
      <c r="I15" s="125">
        <f t="shared" si="0"/>
        <v>0.24390243902439024</v>
      </c>
    </row>
    <row r="16" spans="1:9" ht="15.75" customHeight="1">
      <c r="A16" s="83" t="s">
        <v>71</v>
      </c>
      <c r="B16" s="83"/>
      <c r="C16" s="83"/>
      <c r="D16" s="83"/>
      <c r="E16" s="83"/>
      <c r="F16" s="83"/>
      <c r="G16" s="83"/>
      <c r="H16" s="28">
        <f>SUM(H5:H15)</f>
        <v>10.000000000000002</v>
      </c>
      <c r="I16" s="20">
        <f>SUM(I5:I15)</f>
        <v>10.000000000000002</v>
      </c>
    </row>
  </sheetData>
  <mergeCells count="19">
    <mergeCell ref="B13:C13"/>
    <mergeCell ref="B14:C14"/>
    <mergeCell ref="B15:C15"/>
    <mergeCell ref="A16:G16"/>
    <mergeCell ref="B7:C7"/>
    <mergeCell ref="B8:C8"/>
    <mergeCell ref="B9:C9"/>
    <mergeCell ref="B10:C10"/>
    <mergeCell ref="B11:C11"/>
    <mergeCell ref="A1:B1"/>
    <mergeCell ref="A2:B2"/>
    <mergeCell ref="C1:I1"/>
    <mergeCell ref="C2:I2"/>
    <mergeCell ref="B12:C12"/>
    <mergeCell ref="D3:I3"/>
    <mergeCell ref="A3:B3"/>
    <mergeCell ref="B4:C4"/>
    <mergeCell ref="B5:C5"/>
    <mergeCell ref="B6:C6"/>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0E7D0-260B-4414-BEBD-CEE401091A09}">
  <sheetPr>
    <tabColor rgb="FF00B050"/>
  </sheetPr>
  <dimension ref="A1:K14"/>
  <sheetViews>
    <sheetView workbookViewId="0">
      <selection activeCell="B8" sqref="A1:J14"/>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1" ht="15">
      <c r="A1" s="70" t="s">
        <v>51</v>
      </c>
      <c r="B1" s="70"/>
      <c r="C1" s="73" t="s">
        <v>52</v>
      </c>
      <c r="D1" s="74"/>
      <c r="E1" s="74"/>
      <c r="F1" s="74"/>
      <c r="G1" s="74"/>
      <c r="H1" s="74"/>
      <c r="I1" s="74"/>
      <c r="J1" s="75"/>
      <c r="K1" s="127"/>
    </row>
    <row r="2" spans="1:11" ht="15">
      <c r="A2" s="70" t="s">
        <v>0</v>
      </c>
      <c r="B2" s="70"/>
      <c r="C2" s="73" t="s">
        <v>44</v>
      </c>
      <c r="D2" s="74"/>
      <c r="E2" s="74"/>
      <c r="F2" s="74"/>
      <c r="G2" s="74"/>
      <c r="H2" s="74"/>
      <c r="I2" s="74"/>
      <c r="J2" s="75"/>
      <c r="K2" s="127"/>
    </row>
    <row r="3" spans="1:11" ht="45">
      <c r="A3" s="70" t="s">
        <v>81</v>
      </c>
      <c r="B3" s="70"/>
      <c r="C3" s="18" t="s">
        <v>82</v>
      </c>
      <c r="D3" s="55" t="s">
        <v>83</v>
      </c>
      <c r="E3" s="122">
        <v>570</v>
      </c>
      <c r="F3" s="122"/>
      <c r="G3" s="122"/>
      <c r="H3" s="122"/>
      <c r="I3" s="122"/>
      <c r="J3" s="122"/>
      <c r="K3" s="116"/>
    </row>
    <row r="4" spans="1:11" ht="60">
      <c r="A4" s="52" t="s">
        <v>55</v>
      </c>
      <c r="B4" s="70" t="s">
        <v>56</v>
      </c>
      <c r="C4" s="70"/>
      <c r="D4" s="70"/>
      <c r="E4" s="52" t="s">
        <v>24</v>
      </c>
      <c r="F4" s="52" t="s">
        <v>57</v>
      </c>
      <c r="G4" s="52" t="s">
        <v>58</v>
      </c>
      <c r="H4" s="52" t="s">
        <v>59</v>
      </c>
      <c r="I4" s="52" t="s">
        <v>60</v>
      </c>
      <c r="J4" s="52" t="s">
        <v>61</v>
      </c>
      <c r="K4" s="116"/>
    </row>
    <row r="5" spans="1:11" ht="34.5" customHeight="1">
      <c r="A5" s="52">
        <v>1</v>
      </c>
      <c r="B5" s="122" t="s">
        <v>84</v>
      </c>
      <c r="C5" s="122"/>
      <c r="D5" s="122"/>
      <c r="E5" s="123"/>
      <c r="F5" s="123" t="s">
        <v>63</v>
      </c>
      <c r="G5" s="123"/>
      <c r="H5" s="123">
        <v>10</v>
      </c>
      <c r="I5" s="124">
        <f>(H5*10)/SUM($H$5:$H$13)</f>
        <v>1.3513513513513513</v>
      </c>
      <c r="J5" s="125">
        <f>IF(F5="X",((H5*10)/SUM($H$5:$H$13)),0)</f>
        <v>1.3513513513513513</v>
      </c>
      <c r="K5" s="116"/>
    </row>
    <row r="6" spans="1:11" ht="21" customHeight="1">
      <c r="A6" s="52">
        <v>2</v>
      </c>
      <c r="B6" s="122" t="s">
        <v>85</v>
      </c>
      <c r="C6" s="122"/>
      <c r="D6" s="122"/>
      <c r="E6" s="123"/>
      <c r="F6" s="123" t="s">
        <v>63</v>
      </c>
      <c r="G6" s="123"/>
      <c r="H6" s="123">
        <v>10</v>
      </c>
      <c r="I6" s="124">
        <f t="shared" ref="I6:I13" si="0">(H6*10)/SUM($H$5:$H$13)</f>
        <v>1.3513513513513513</v>
      </c>
      <c r="J6" s="125">
        <f t="shared" ref="J6:J13" si="1">IF(F6="X",((H6*10)/SUM($H$5:$H$13)),0)</f>
        <v>1.3513513513513513</v>
      </c>
      <c r="K6" s="116"/>
    </row>
    <row r="7" spans="1:11" ht="33" customHeight="1">
      <c r="A7" s="52">
        <v>3</v>
      </c>
      <c r="B7" s="122" t="s">
        <v>86</v>
      </c>
      <c r="C7" s="122"/>
      <c r="D7" s="122"/>
      <c r="E7" s="123"/>
      <c r="F7" s="123" t="s">
        <v>63</v>
      </c>
      <c r="G7" s="123"/>
      <c r="H7" s="123">
        <v>6</v>
      </c>
      <c r="I7" s="124">
        <f t="shared" si="0"/>
        <v>0.81081081081081086</v>
      </c>
      <c r="J7" s="125">
        <f t="shared" si="1"/>
        <v>0.81081081081081086</v>
      </c>
      <c r="K7" s="116"/>
    </row>
    <row r="8" spans="1:11" ht="60" customHeight="1">
      <c r="A8" s="52">
        <v>4</v>
      </c>
      <c r="B8" s="122" t="s">
        <v>87</v>
      </c>
      <c r="C8" s="122"/>
      <c r="D8" s="122"/>
      <c r="E8" s="123"/>
      <c r="F8" s="123" t="s">
        <v>63</v>
      </c>
      <c r="G8" s="123"/>
      <c r="H8" s="123">
        <v>10</v>
      </c>
      <c r="I8" s="124">
        <f t="shared" si="0"/>
        <v>1.3513513513513513</v>
      </c>
      <c r="J8" s="125">
        <f t="shared" si="1"/>
        <v>1.3513513513513513</v>
      </c>
      <c r="K8" s="116"/>
    </row>
    <row r="9" spans="1:11" ht="33" customHeight="1">
      <c r="A9" s="52">
        <v>5</v>
      </c>
      <c r="B9" s="122" t="s">
        <v>88</v>
      </c>
      <c r="C9" s="122"/>
      <c r="D9" s="122"/>
      <c r="E9" s="123"/>
      <c r="F9" s="123" t="s">
        <v>63</v>
      </c>
      <c r="G9" s="123"/>
      <c r="H9" s="123">
        <v>6</v>
      </c>
      <c r="I9" s="124">
        <f t="shared" si="0"/>
        <v>0.81081081081081086</v>
      </c>
      <c r="J9" s="125">
        <f t="shared" si="1"/>
        <v>0.81081081081081086</v>
      </c>
      <c r="K9" s="116"/>
    </row>
    <row r="10" spans="1:11" ht="34.5" customHeight="1">
      <c r="A10" s="52">
        <v>6</v>
      </c>
      <c r="B10" s="122" t="s">
        <v>89</v>
      </c>
      <c r="C10" s="122"/>
      <c r="D10" s="122"/>
      <c r="E10" s="123"/>
      <c r="F10" s="123" t="s">
        <v>63</v>
      </c>
      <c r="G10" s="123"/>
      <c r="H10" s="123">
        <v>6</v>
      </c>
      <c r="I10" s="124">
        <f t="shared" si="0"/>
        <v>0.81081081081081086</v>
      </c>
      <c r="J10" s="125">
        <f t="shared" si="1"/>
        <v>0.81081081081081086</v>
      </c>
      <c r="K10" s="116"/>
    </row>
    <row r="11" spans="1:11" ht="74.25" customHeight="1">
      <c r="A11" s="52">
        <v>7</v>
      </c>
      <c r="B11" s="122" t="s">
        <v>90</v>
      </c>
      <c r="C11" s="122"/>
      <c r="D11" s="122"/>
      <c r="E11" s="123"/>
      <c r="F11" s="123" t="s">
        <v>63</v>
      </c>
      <c r="G11" s="123"/>
      <c r="H11" s="123">
        <v>10</v>
      </c>
      <c r="I11" s="124">
        <f t="shared" si="0"/>
        <v>1.3513513513513513</v>
      </c>
      <c r="J11" s="125">
        <f>IF(F11="X",((H11*10)/SUM($H$5:$H$13)),0)</f>
        <v>1.3513513513513513</v>
      </c>
      <c r="K11" s="116"/>
    </row>
    <row r="12" spans="1:11" ht="32.25" customHeight="1">
      <c r="A12" s="52">
        <v>8</v>
      </c>
      <c r="B12" s="122" t="s">
        <v>91</v>
      </c>
      <c r="C12" s="122"/>
      <c r="D12" s="122"/>
      <c r="E12" s="123"/>
      <c r="F12" s="123" t="s">
        <v>63</v>
      </c>
      <c r="G12" s="123"/>
      <c r="H12" s="123">
        <v>10</v>
      </c>
      <c r="I12" s="124">
        <f t="shared" si="0"/>
        <v>1.3513513513513513</v>
      </c>
      <c r="J12" s="125">
        <f t="shared" si="1"/>
        <v>1.3513513513513513</v>
      </c>
      <c r="K12" s="116"/>
    </row>
    <row r="13" spans="1:11" ht="51" customHeight="1">
      <c r="A13" s="52">
        <v>9</v>
      </c>
      <c r="B13" s="122" t="s">
        <v>92</v>
      </c>
      <c r="C13" s="122"/>
      <c r="D13" s="122"/>
      <c r="E13" s="123"/>
      <c r="F13" s="123" t="s">
        <v>63</v>
      </c>
      <c r="G13" s="123"/>
      <c r="H13" s="123">
        <v>6</v>
      </c>
      <c r="I13" s="124">
        <f t="shared" si="0"/>
        <v>0.81081081081081086</v>
      </c>
      <c r="J13" s="125">
        <f t="shared" si="1"/>
        <v>0.81081081081081086</v>
      </c>
      <c r="K13" s="116"/>
    </row>
    <row r="14" spans="1:11" ht="15" customHeight="1">
      <c r="A14" s="71" t="s">
        <v>71</v>
      </c>
      <c r="B14" s="72"/>
      <c r="C14" s="72"/>
      <c r="D14" s="72"/>
      <c r="E14" s="72"/>
      <c r="F14" s="72"/>
      <c r="G14" s="72"/>
      <c r="H14" s="72"/>
      <c r="I14" s="29">
        <f>SUM(I5:I13)</f>
        <v>9.9999999999999982</v>
      </c>
      <c r="J14" s="19">
        <f>SUM(J5:J13)</f>
        <v>9.9999999999999982</v>
      </c>
      <c r="K14" s="116"/>
    </row>
  </sheetData>
  <mergeCells count="17">
    <mergeCell ref="A14:H14"/>
    <mergeCell ref="A3:B3"/>
    <mergeCell ref="B4:D4"/>
    <mergeCell ref="B11:D11"/>
    <mergeCell ref="B12:D12"/>
    <mergeCell ref="E3:J3"/>
    <mergeCell ref="B13:D13"/>
    <mergeCell ref="B5:D5"/>
    <mergeCell ref="B6:D6"/>
    <mergeCell ref="B7:D7"/>
    <mergeCell ref="B8:D8"/>
    <mergeCell ref="B9:D9"/>
    <mergeCell ref="B10:D10"/>
    <mergeCell ref="A1:B1"/>
    <mergeCell ref="A2:B2"/>
    <mergeCell ref="C1:J1"/>
    <mergeCell ref="C2:J2"/>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316D6-0E18-42FC-A902-3CA9AA237B48}">
  <sheetPr>
    <tabColor rgb="FF00B050"/>
  </sheetPr>
  <dimension ref="A1:J20"/>
  <sheetViews>
    <sheetView workbookViewId="0">
      <selection activeCell="B8" sqref="A1:J20"/>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44</v>
      </c>
      <c r="D2" s="74"/>
      <c r="E2" s="74"/>
      <c r="F2" s="74"/>
      <c r="G2" s="74"/>
      <c r="H2" s="74"/>
      <c r="I2" s="74"/>
      <c r="J2" s="75"/>
    </row>
    <row r="3" spans="1:10" ht="45">
      <c r="A3" s="70" t="s">
        <v>81</v>
      </c>
      <c r="B3" s="70"/>
      <c r="C3" s="18" t="s">
        <v>93</v>
      </c>
      <c r="D3" s="55" t="s">
        <v>239</v>
      </c>
      <c r="E3" s="122" t="s">
        <v>240</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31.5" customHeight="1">
      <c r="A5" s="52">
        <v>1</v>
      </c>
      <c r="B5" s="122" t="s">
        <v>241</v>
      </c>
      <c r="C5" s="122"/>
      <c r="D5" s="122"/>
      <c r="E5" s="123"/>
      <c r="F5" s="123" t="s">
        <v>63</v>
      </c>
      <c r="G5" s="123"/>
      <c r="H5" s="123">
        <v>10</v>
      </c>
      <c r="I5" s="124">
        <f>(H5*10)/SUM($H$5:$H$19)</f>
        <v>0.94339622641509435</v>
      </c>
      <c r="J5" s="125">
        <f>IF(F5="X",((H5*10)/SUM($H$5:$H$19)),0)</f>
        <v>0.94339622641509435</v>
      </c>
    </row>
    <row r="6" spans="1:10" ht="40.5" customHeight="1">
      <c r="A6" s="52">
        <v>2</v>
      </c>
      <c r="B6" s="122" t="s">
        <v>242</v>
      </c>
      <c r="C6" s="122"/>
      <c r="D6" s="122"/>
      <c r="E6" s="123"/>
      <c r="F6" s="123" t="s">
        <v>63</v>
      </c>
      <c r="G6" s="123"/>
      <c r="H6" s="123">
        <v>6</v>
      </c>
      <c r="I6" s="124">
        <f t="shared" ref="I6:I19" si="0">(H6*10)/SUM($H$5:$H$19)</f>
        <v>0.56603773584905659</v>
      </c>
      <c r="J6" s="125">
        <f t="shared" ref="J6:J19" si="1">IF(F6="X",((H6*10)/SUM($H$5:$H$19)),0)</f>
        <v>0.56603773584905659</v>
      </c>
    </row>
    <row r="7" spans="1:10" ht="38.25" customHeight="1">
      <c r="A7" s="52">
        <v>3</v>
      </c>
      <c r="B7" s="122" t="s">
        <v>243</v>
      </c>
      <c r="C7" s="122"/>
      <c r="D7" s="122"/>
      <c r="E7" s="123"/>
      <c r="F7" s="123" t="s">
        <v>63</v>
      </c>
      <c r="G7" s="123"/>
      <c r="H7" s="123">
        <v>2</v>
      </c>
      <c r="I7" s="124">
        <f t="shared" si="0"/>
        <v>0.18867924528301888</v>
      </c>
      <c r="J7" s="125">
        <f t="shared" si="1"/>
        <v>0.18867924528301888</v>
      </c>
    </row>
    <row r="8" spans="1:10" ht="31.5" customHeight="1">
      <c r="A8" s="52">
        <v>4</v>
      </c>
      <c r="B8" s="122" t="s">
        <v>244</v>
      </c>
      <c r="C8" s="122"/>
      <c r="D8" s="122"/>
      <c r="E8" s="123"/>
      <c r="F8" s="123" t="s">
        <v>63</v>
      </c>
      <c r="G8" s="123"/>
      <c r="H8" s="123">
        <v>6</v>
      </c>
      <c r="I8" s="124">
        <f t="shared" si="0"/>
        <v>0.56603773584905659</v>
      </c>
      <c r="J8" s="125">
        <f t="shared" si="1"/>
        <v>0.56603773584905659</v>
      </c>
    </row>
    <row r="9" spans="1:10" ht="51" customHeight="1">
      <c r="A9" s="52">
        <v>5</v>
      </c>
      <c r="B9" s="122" t="s">
        <v>245</v>
      </c>
      <c r="C9" s="122"/>
      <c r="D9" s="122"/>
      <c r="E9" s="123"/>
      <c r="F9" s="123" t="s">
        <v>63</v>
      </c>
      <c r="G9" s="123"/>
      <c r="H9" s="123">
        <v>10</v>
      </c>
      <c r="I9" s="124">
        <f t="shared" si="0"/>
        <v>0.94339622641509435</v>
      </c>
      <c r="J9" s="125">
        <f t="shared" si="1"/>
        <v>0.94339622641509435</v>
      </c>
    </row>
    <row r="10" spans="1:10" ht="63" customHeight="1">
      <c r="A10" s="52">
        <v>6</v>
      </c>
      <c r="B10" s="122" t="s">
        <v>246</v>
      </c>
      <c r="C10" s="122"/>
      <c r="D10" s="122"/>
      <c r="E10" s="123"/>
      <c r="F10" s="123" t="s">
        <v>63</v>
      </c>
      <c r="G10" s="123"/>
      <c r="H10" s="123">
        <v>10</v>
      </c>
      <c r="I10" s="124">
        <f t="shared" si="0"/>
        <v>0.94339622641509435</v>
      </c>
      <c r="J10" s="125">
        <f t="shared" si="1"/>
        <v>0.94339622641509435</v>
      </c>
    </row>
    <row r="11" spans="1:10" ht="31.5" customHeight="1">
      <c r="A11" s="52">
        <v>7</v>
      </c>
      <c r="B11" s="122" t="s">
        <v>247</v>
      </c>
      <c r="C11" s="122"/>
      <c r="D11" s="122"/>
      <c r="E11" s="123" t="s">
        <v>63</v>
      </c>
      <c r="F11" s="123"/>
      <c r="G11" s="123"/>
      <c r="H11" s="123">
        <v>10</v>
      </c>
      <c r="I11" s="124">
        <f t="shared" si="0"/>
        <v>0.94339622641509435</v>
      </c>
      <c r="J11" s="125">
        <f t="shared" si="1"/>
        <v>0</v>
      </c>
    </row>
    <row r="12" spans="1:10" ht="35.25" customHeight="1">
      <c r="A12" s="52">
        <v>8</v>
      </c>
      <c r="B12" s="122" t="s">
        <v>248</v>
      </c>
      <c r="C12" s="122"/>
      <c r="D12" s="122"/>
      <c r="E12" s="123"/>
      <c r="F12" s="123" t="s">
        <v>63</v>
      </c>
      <c r="G12" s="123"/>
      <c r="H12" s="123">
        <v>10</v>
      </c>
      <c r="I12" s="124">
        <f t="shared" si="0"/>
        <v>0.94339622641509435</v>
      </c>
      <c r="J12" s="125">
        <f t="shared" si="1"/>
        <v>0.94339622641509435</v>
      </c>
    </row>
    <row r="13" spans="1:10" ht="50.25" customHeight="1">
      <c r="A13" s="52">
        <v>9</v>
      </c>
      <c r="B13" s="122" t="s">
        <v>249</v>
      </c>
      <c r="C13" s="122"/>
      <c r="D13" s="122"/>
      <c r="E13" s="123"/>
      <c r="F13" s="123" t="s">
        <v>63</v>
      </c>
      <c r="G13" s="123"/>
      <c r="H13" s="123">
        <v>6</v>
      </c>
      <c r="I13" s="124">
        <f t="shared" si="0"/>
        <v>0.56603773584905659</v>
      </c>
      <c r="J13" s="125">
        <f t="shared" si="1"/>
        <v>0.56603773584905659</v>
      </c>
    </row>
    <row r="14" spans="1:10" ht="48" customHeight="1">
      <c r="A14" s="52">
        <v>10</v>
      </c>
      <c r="B14" s="122" t="s">
        <v>250</v>
      </c>
      <c r="C14" s="122"/>
      <c r="D14" s="122"/>
      <c r="E14" s="123"/>
      <c r="F14" s="123" t="s">
        <v>63</v>
      </c>
      <c r="G14" s="123"/>
      <c r="H14" s="123">
        <v>10</v>
      </c>
      <c r="I14" s="124">
        <f t="shared" si="0"/>
        <v>0.94339622641509435</v>
      </c>
      <c r="J14" s="125">
        <f t="shared" si="1"/>
        <v>0.94339622641509435</v>
      </c>
    </row>
    <row r="15" spans="1:10" ht="66.75" customHeight="1">
      <c r="A15" s="52">
        <v>11</v>
      </c>
      <c r="B15" s="122" t="s">
        <v>251</v>
      </c>
      <c r="C15" s="122"/>
      <c r="D15" s="122"/>
      <c r="E15" s="123"/>
      <c r="F15" s="123" t="s">
        <v>63</v>
      </c>
      <c r="G15" s="123"/>
      <c r="H15" s="123">
        <v>6</v>
      </c>
      <c r="I15" s="124">
        <f t="shared" si="0"/>
        <v>0.56603773584905659</v>
      </c>
      <c r="J15" s="125">
        <f t="shared" si="1"/>
        <v>0.56603773584905659</v>
      </c>
    </row>
    <row r="16" spans="1:10" ht="62.25" customHeight="1">
      <c r="A16" s="52">
        <v>12</v>
      </c>
      <c r="B16" s="122" t="s">
        <v>252</v>
      </c>
      <c r="C16" s="122"/>
      <c r="D16" s="122"/>
      <c r="E16" s="123"/>
      <c r="F16" s="123" t="s">
        <v>63</v>
      </c>
      <c r="G16" s="123"/>
      <c r="H16" s="123">
        <v>6</v>
      </c>
      <c r="I16" s="124">
        <f t="shared" si="0"/>
        <v>0.56603773584905659</v>
      </c>
      <c r="J16" s="125">
        <f t="shared" si="1"/>
        <v>0.56603773584905659</v>
      </c>
    </row>
    <row r="17" spans="1:10" ht="62.25" customHeight="1">
      <c r="A17" s="52">
        <v>13</v>
      </c>
      <c r="B17" s="122" t="s">
        <v>253</v>
      </c>
      <c r="C17" s="122"/>
      <c r="D17" s="122"/>
      <c r="E17" s="123"/>
      <c r="F17" s="123" t="s">
        <v>63</v>
      </c>
      <c r="G17" s="123"/>
      <c r="H17" s="123">
        <v>6</v>
      </c>
      <c r="I17" s="124">
        <f t="shared" si="0"/>
        <v>0.56603773584905659</v>
      </c>
      <c r="J17" s="125">
        <f t="shared" si="1"/>
        <v>0.56603773584905659</v>
      </c>
    </row>
    <row r="18" spans="1:10" ht="82.5" customHeight="1">
      <c r="A18" s="52">
        <v>14</v>
      </c>
      <c r="B18" s="122" t="s">
        <v>254</v>
      </c>
      <c r="C18" s="122"/>
      <c r="D18" s="122"/>
      <c r="E18" s="123"/>
      <c r="F18" s="123" t="s">
        <v>63</v>
      </c>
      <c r="G18" s="123"/>
      <c r="H18" s="123">
        <v>2</v>
      </c>
      <c r="I18" s="124">
        <f t="shared" si="0"/>
        <v>0.18867924528301888</v>
      </c>
      <c r="J18" s="125">
        <f t="shared" si="1"/>
        <v>0.18867924528301888</v>
      </c>
    </row>
    <row r="19" spans="1:10" ht="47.25" customHeight="1">
      <c r="A19" s="52">
        <v>15</v>
      </c>
      <c r="B19" s="122" t="s">
        <v>255</v>
      </c>
      <c r="C19" s="122"/>
      <c r="D19" s="122"/>
      <c r="E19" s="123"/>
      <c r="F19" s="123" t="s">
        <v>63</v>
      </c>
      <c r="G19" s="123"/>
      <c r="H19" s="123">
        <v>6</v>
      </c>
      <c r="I19" s="124">
        <f t="shared" si="0"/>
        <v>0.56603773584905659</v>
      </c>
      <c r="J19" s="125">
        <f t="shared" si="1"/>
        <v>0.56603773584905659</v>
      </c>
    </row>
    <row r="20" spans="1:10" ht="15" customHeight="1">
      <c r="A20" s="83" t="s">
        <v>71</v>
      </c>
      <c r="B20" s="83"/>
      <c r="C20" s="83"/>
      <c r="D20" s="83"/>
      <c r="E20" s="83"/>
      <c r="F20" s="83"/>
      <c r="G20" s="83"/>
      <c r="H20" s="83"/>
      <c r="I20" s="28">
        <f>SUM(I5:I19)</f>
        <v>10</v>
      </c>
      <c r="J20" s="19">
        <f>SUM(J9:J19)</f>
        <v>6.7924528301886804</v>
      </c>
    </row>
  </sheetData>
  <mergeCells count="23">
    <mergeCell ref="A20:H20"/>
    <mergeCell ref="B10:D10"/>
    <mergeCell ref="B19:D19"/>
    <mergeCell ref="B8:D8"/>
    <mergeCell ref="B9:D9"/>
    <mergeCell ref="B17:D17"/>
    <mergeCell ref="B18:D18"/>
    <mergeCell ref="B15:D15"/>
    <mergeCell ref="B16:D16"/>
    <mergeCell ref="B4:D4"/>
    <mergeCell ref="B5:D5"/>
    <mergeCell ref="B6:D6"/>
    <mergeCell ref="B7:D7"/>
    <mergeCell ref="B14:D14"/>
    <mergeCell ref="B11:D11"/>
    <mergeCell ref="B12:D12"/>
    <mergeCell ref="B13:D13"/>
    <mergeCell ref="A1:B1"/>
    <mergeCell ref="A2:B2"/>
    <mergeCell ref="C1:J1"/>
    <mergeCell ref="C2:J2"/>
    <mergeCell ref="E3:J3"/>
    <mergeCell ref="A3:B3"/>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7AE13-6785-461A-A0A6-4A905076A56D}">
  <sheetPr>
    <tabColor rgb="FF00B050"/>
  </sheetPr>
  <dimension ref="A1:J15"/>
  <sheetViews>
    <sheetView workbookViewId="0">
      <selection activeCell="B7" sqref="A1:J15"/>
    </sheetView>
  </sheetViews>
  <sheetFormatPr defaultColWidth="11.42578125" defaultRowHeight="14.25"/>
  <cols>
    <col min="1" max="1" width="4.7109375" style="23"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44</v>
      </c>
      <c r="D2" s="74"/>
      <c r="E2" s="74"/>
      <c r="F2" s="74"/>
      <c r="G2" s="74"/>
      <c r="H2" s="74"/>
      <c r="I2" s="74"/>
      <c r="J2" s="75"/>
    </row>
    <row r="3" spans="1:10" ht="45">
      <c r="A3" s="70" t="s">
        <v>81</v>
      </c>
      <c r="B3" s="70"/>
      <c r="C3" s="18" t="s">
        <v>93</v>
      </c>
      <c r="D3" s="55" t="s">
        <v>94</v>
      </c>
      <c r="E3" s="122" t="s">
        <v>95</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33" customHeight="1">
      <c r="A5" s="52">
        <v>1</v>
      </c>
      <c r="B5" s="122" t="s">
        <v>97</v>
      </c>
      <c r="C5" s="122"/>
      <c r="D5" s="122"/>
      <c r="E5" s="55"/>
      <c r="F5" s="123" t="s">
        <v>63</v>
      </c>
      <c r="G5" s="55"/>
      <c r="H5" s="123">
        <v>10</v>
      </c>
      <c r="I5" s="124">
        <f>(H5*10)/SUM($H$5:$H$14)</f>
        <v>1.9230769230769231</v>
      </c>
      <c r="J5" s="125">
        <f>IF(F5="X",((H5*10)/SUM($H$5:$H$14)),0)</f>
        <v>1.9230769230769231</v>
      </c>
    </row>
    <row r="6" spans="1:10" ht="47.25" customHeight="1">
      <c r="A6" s="52">
        <v>2</v>
      </c>
      <c r="B6" s="122" t="s">
        <v>98</v>
      </c>
      <c r="C6" s="122"/>
      <c r="D6" s="122"/>
      <c r="E6" s="123"/>
      <c r="F6" s="123" t="s">
        <v>63</v>
      </c>
      <c r="G6" s="123"/>
      <c r="H6" s="123">
        <v>2</v>
      </c>
      <c r="I6" s="124">
        <f t="shared" ref="I6:I14" si="0">(H6*10)/SUM($H$5:$H$14)</f>
        <v>0.38461538461538464</v>
      </c>
      <c r="J6" s="125">
        <f t="shared" ref="J6:J14" si="1">IF(F6="X",((H6*10)/SUM($H$5:$H$14)),0)</f>
        <v>0.38461538461538464</v>
      </c>
    </row>
    <row r="7" spans="1:10" ht="33" customHeight="1">
      <c r="A7" s="52">
        <v>3</v>
      </c>
      <c r="B7" s="122" t="s">
        <v>99</v>
      </c>
      <c r="C7" s="122"/>
      <c r="D7" s="122"/>
      <c r="E7" s="123"/>
      <c r="F7" s="123" t="s">
        <v>63</v>
      </c>
      <c r="G7" s="123"/>
      <c r="H7" s="123">
        <v>6</v>
      </c>
      <c r="I7" s="124">
        <f t="shared" si="0"/>
        <v>1.1538461538461537</v>
      </c>
      <c r="J7" s="125">
        <f t="shared" si="1"/>
        <v>1.1538461538461537</v>
      </c>
    </row>
    <row r="8" spans="1:10" ht="18" customHeight="1">
      <c r="A8" s="52">
        <v>4</v>
      </c>
      <c r="B8" s="122" t="s">
        <v>100</v>
      </c>
      <c r="C8" s="122"/>
      <c r="D8" s="122"/>
      <c r="E8" s="123"/>
      <c r="F8" s="123" t="s">
        <v>63</v>
      </c>
      <c r="G8" s="123"/>
      <c r="H8" s="123">
        <v>6</v>
      </c>
      <c r="I8" s="124">
        <f t="shared" si="0"/>
        <v>1.1538461538461537</v>
      </c>
      <c r="J8" s="125">
        <f t="shared" si="1"/>
        <v>1.1538461538461537</v>
      </c>
    </row>
    <row r="9" spans="1:10" ht="30" customHeight="1">
      <c r="A9" s="52">
        <v>5</v>
      </c>
      <c r="B9" s="122" t="s">
        <v>101</v>
      </c>
      <c r="C9" s="122"/>
      <c r="D9" s="122"/>
      <c r="E9" s="123"/>
      <c r="F9" s="123" t="s">
        <v>63</v>
      </c>
      <c r="G9" s="123"/>
      <c r="H9" s="123">
        <v>10</v>
      </c>
      <c r="I9" s="124">
        <f t="shared" si="0"/>
        <v>1.9230769230769231</v>
      </c>
      <c r="J9" s="125">
        <f t="shared" si="1"/>
        <v>1.9230769230769231</v>
      </c>
    </row>
    <row r="10" spans="1:10" ht="47.25" customHeight="1">
      <c r="A10" s="52">
        <v>6</v>
      </c>
      <c r="B10" s="122" t="s">
        <v>102</v>
      </c>
      <c r="C10" s="122"/>
      <c r="D10" s="122"/>
      <c r="E10" s="123"/>
      <c r="F10" s="123" t="s">
        <v>63</v>
      </c>
      <c r="G10" s="123"/>
      <c r="H10" s="123">
        <v>6</v>
      </c>
      <c r="I10" s="124">
        <f t="shared" si="0"/>
        <v>1.1538461538461537</v>
      </c>
      <c r="J10" s="125">
        <f t="shared" si="1"/>
        <v>1.1538461538461537</v>
      </c>
    </row>
    <row r="11" spans="1:10" ht="47.25" customHeight="1">
      <c r="A11" s="52">
        <v>7</v>
      </c>
      <c r="B11" s="122" t="s">
        <v>103</v>
      </c>
      <c r="C11" s="122"/>
      <c r="D11" s="122"/>
      <c r="E11" s="123"/>
      <c r="F11" s="123" t="s">
        <v>63</v>
      </c>
      <c r="G11" s="123"/>
      <c r="H11" s="123">
        <v>2</v>
      </c>
      <c r="I11" s="124">
        <f t="shared" si="0"/>
        <v>0.38461538461538464</v>
      </c>
      <c r="J11" s="125">
        <f t="shared" si="1"/>
        <v>0.38461538461538464</v>
      </c>
    </row>
    <row r="12" spans="1:10" ht="47.25" customHeight="1">
      <c r="A12" s="52">
        <v>8</v>
      </c>
      <c r="B12" s="122" t="s">
        <v>104</v>
      </c>
      <c r="C12" s="122"/>
      <c r="D12" s="122"/>
      <c r="E12" s="123"/>
      <c r="F12" s="123" t="s">
        <v>63</v>
      </c>
      <c r="G12" s="123"/>
      <c r="H12" s="123">
        <v>6</v>
      </c>
      <c r="I12" s="124">
        <f t="shared" si="0"/>
        <v>1.1538461538461537</v>
      </c>
      <c r="J12" s="125">
        <f t="shared" si="1"/>
        <v>1.1538461538461537</v>
      </c>
    </row>
    <row r="13" spans="1:10" ht="35.25" customHeight="1">
      <c r="A13" s="52">
        <v>9</v>
      </c>
      <c r="B13" s="122" t="s">
        <v>105</v>
      </c>
      <c r="C13" s="122"/>
      <c r="D13" s="122"/>
      <c r="E13" s="123"/>
      <c r="F13" s="123" t="s">
        <v>63</v>
      </c>
      <c r="G13" s="123"/>
      <c r="H13" s="123">
        <v>2</v>
      </c>
      <c r="I13" s="124">
        <f t="shared" si="0"/>
        <v>0.38461538461538464</v>
      </c>
      <c r="J13" s="125">
        <f t="shared" si="1"/>
        <v>0.38461538461538464</v>
      </c>
    </row>
    <row r="14" spans="1:10" ht="33.75" customHeight="1">
      <c r="A14" s="52">
        <v>10</v>
      </c>
      <c r="B14" s="122" t="s">
        <v>106</v>
      </c>
      <c r="C14" s="122"/>
      <c r="D14" s="122"/>
      <c r="E14" s="123" t="s">
        <v>63</v>
      </c>
      <c r="F14" s="123"/>
      <c r="G14" s="123"/>
      <c r="H14" s="123">
        <v>2</v>
      </c>
      <c r="I14" s="126">
        <f t="shared" si="0"/>
        <v>0.38461538461538464</v>
      </c>
      <c r="J14" s="125">
        <f t="shared" si="1"/>
        <v>0</v>
      </c>
    </row>
    <row r="15" spans="1:10" ht="15" customHeight="1">
      <c r="A15" s="71" t="s">
        <v>71</v>
      </c>
      <c r="B15" s="72"/>
      <c r="C15" s="72"/>
      <c r="D15" s="72"/>
      <c r="E15" s="72"/>
      <c r="F15" s="72"/>
      <c r="G15" s="72"/>
      <c r="H15" s="82"/>
      <c r="I15" s="28">
        <f>SUM(I5:I14)</f>
        <v>10</v>
      </c>
      <c r="J15" s="30">
        <f>SUM(J5:J14)</f>
        <v>9.615384615384615</v>
      </c>
    </row>
  </sheetData>
  <mergeCells count="18">
    <mergeCell ref="B11:D11"/>
    <mergeCell ref="B12:D12"/>
    <mergeCell ref="B13:D13"/>
    <mergeCell ref="B14:D14"/>
    <mergeCell ref="A15:H15"/>
    <mergeCell ref="B10:D10"/>
    <mergeCell ref="A3:B3"/>
    <mergeCell ref="B4:D4"/>
    <mergeCell ref="B5:D5"/>
    <mergeCell ref="B6:D6"/>
    <mergeCell ref="B7:D7"/>
    <mergeCell ref="B8:D8"/>
    <mergeCell ref="B9:D9"/>
    <mergeCell ref="A1:B1"/>
    <mergeCell ref="A2:B2"/>
    <mergeCell ref="C1:J1"/>
    <mergeCell ref="C2:J2"/>
    <mergeCell ref="E3:J3"/>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0C8EC-C24C-4B4C-9258-A9FA4262B71E}">
  <sheetPr>
    <tabColor rgb="FF00B050"/>
  </sheetPr>
  <dimension ref="A1:J17"/>
  <sheetViews>
    <sheetView workbookViewId="0">
      <selection activeCell="B7" sqref="A1:J17"/>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44</v>
      </c>
      <c r="D2" s="74"/>
      <c r="E2" s="74"/>
      <c r="F2" s="74"/>
      <c r="G2" s="74"/>
      <c r="H2" s="74"/>
      <c r="I2" s="74"/>
      <c r="J2" s="75"/>
    </row>
    <row r="3" spans="1:10" ht="45">
      <c r="A3" s="70" t="s">
        <v>81</v>
      </c>
      <c r="B3" s="70"/>
      <c r="C3" s="18" t="s">
        <v>93</v>
      </c>
      <c r="D3" s="55" t="s">
        <v>107</v>
      </c>
      <c r="E3" s="122" t="s">
        <v>108</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8" customHeight="1">
      <c r="A5" s="52">
        <v>1</v>
      </c>
      <c r="B5" s="122" t="s">
        <v>109</v>
      </c>
      <c r="C5" s="122"/>
      <c r="D5" s="122"/>
      <c r="E5" s="123" t="s">
        <v>63</v>
      </c>
      <c r="F5" s="123"/>
      <c r="G5" s="123"/>
      <c r="H5" s="123">
        <v>2</v>
      </c>
      <c r="I5" s="124">
        <f t="shared" ref="I5:I10" si="0">(H5*10)/SUM($H$5:$H$16)</f>
        <v>0.33333333333333331</v>
      </c>
      <c r="J5" s="125">
        <f>IF(F5="X",((H5*10)/SUM($H$5:$H$16)),0)</f>
        <v>0</v>
      </c>
    </row>
    <row r="6" spans="1:10" ht="46.5" customHeight="1">
      <c r="A6" s="52">
        <v>2</v>
      </c>
      <c r="B6" s="122" t="s">
        <v>110</v>
      </c>
      <c r="C6" s="122"/>
      <c r="D6" s="122"/>
      <c r="E6" s="123"/>
      <c r="F6" s="123" t="s">
        <v>63</v>
      </c>
      <c r="G6" s="123"/>
      <c r="H6" s="123">
        <v>6</v>
      </c>
      <c r="I6" s="124">
        <f t="shared" si="0"/>
        <v>1</v>
      </c>
      <c r="J6" s="125">
        <f t="shared" ref="J6:J15" si="1">IF(F6="X",((H6*10)/SUM($H$5:$H$16)),0)</f>
        <v>1</v>
      </c>
    </row>
    <row r="7" spans="1:10" ht="62.25" customHeight="1">
      <c r="A7" s="52">
        <v>3</v>
      </c>
      <c r="B7" s="122" t="s">
        <v>111</v>
      </c>
      <c r="C7" s="122"/>
      <c r="D7" s="122"/>
      <c r="E7" s="123"/>
      <c r="F7" s="123" t="s">
        <v>63</v>
      </c>
      <c r="G7" s="123"/>
      <c r="H7" s="123">
        <v>10</v>
      </c>
      <c r="I7" s="124">
        <f t="shared" si="0"/>
        <v>1.6666666666666667</v>
      </c>
      <c r="J7" s="125">
        <f t="shared" si="1"/>
        <v>1.6666666666666667</v>
      </c>
    </row>
    <row r="8" spans="1:10" ht="48" customHeight="1">
      <c r="A8" s="52">
        <v>4</v>
      </c>
      <c r="B8" s="122" t="s">
        <v>112</v>
      </c>
      <c r="C8" s="122"/>
      <c r="D8" s="122"/>
      <c r="E8" s="123"/>
      <c r="F8" s="123" t="s">
        <v>63</v>
      </c>
      <c r="G8" s="123"/>
      <c r="H8" s="123">
        <v>10</v>
      </c>
      <c r="I8" s="124">
        <f t="shared" si="0"/>
        <v>1.6666666666666667</v>
      </c>
      <c r="J8" s="125">
        <f t="shared" si="1"/>
        <v>1.6666666666666667</v>
      </c>
    </row>
    <row r="9" spans="1:10" ht="32.25" customHeight="1">
      <c r="A9" s="52">
        <v>5</v>
      </c>
      <c r="B9" s="122" t="s">
        <v>113</v>
      </c>
      <c r="C9" s="122"/>
      <c r="D9" s="122"/>
      <c r="E9" s="123"/>
      <c r="F9" s="123" t="s">
        <v>63</v>
      </c>
      <c r="G9" s="123"/>
      <c r="H9" s="123">
        <v>10</v>
      </c>
      <c r="I9" s="124">
        <f t="shared" si="0"/>
        <v>1.6666666666666667</v>
      </c>
      <c r="J9" s="125">
        <f t="shared" si="1"/>
        <v>1.6666666666666667</v>
      </c>
    </row>
    <row r="10" spans="1:10" ht="33.75" customHeight="1">
      <c r="A10" s="52">
        <v>6</v>
      </c>
      <c r="B10" s="122" t="s">
        <v>114</v>
      </c>
      <c r="C10" s="122"/>
      <c r="D10" s="122"/>
      <c r="E10" s="123"/>
      <c r="F10" s="123" t="s">
        <v>63</v>
      </c>
      <c r="G10" s="123"/>
      <c r="H10" s="123">
        <v>2</v>
      </c>
      <c r="I10" s="124">
        <f t="shared" si="0"/>
        <v>0.33333333333333331</v>
      </c>
      <c r="J10" s="125">
        <f t="shared" si="1"/>
        <v>0.33333333333333331</v>
      </c>
    </row>
    <row r="11" spans="1:10" ht="59.25" customHeight="1">
      <c r="A11" s="52">
        <v>7</v>
      </c>
      <c r="B11" s="122" t="s">
        <v>115</v>
      </c>
      <c r="C11" s="122"/>
      <c r="D11" s="122"/>
      <c r="E11" s="123" t="s">
        <v>63</v>
      </c>
      <c r="F11" s="123"/>
      <c r="G11" s="123"/>
      <c r="H11" s="123">
        <v>2</v>
      </c>
      <c r="I11" s="124">
        <f t="shared" ref="I11:I16" si="2">(H11*10)/SUM($H$5:$H$16)</f>
        <v>0.33333333333333331</v>
      </c>
      <c r="J11" s="125">
        <f t="shared" si="1"/>
        <v>0</v>
      </c>
    </row>
    <row r="12" spans="1:10" ht="42.75" customHeight="1">
      <c r="A12" s="52">
        <v>8</v>
      </c>
      <c r="B12" s="122" t="s">
        <v>116</v>
      </c>
      <c r="C12" s="122"/>
      <c r="D12" s="122"/>
      <c r="E12" s="123"/>
      <c r="F12" s="123" t="s">
        <v>63</v>
      </c>
      <c r="G12" s="123"/>
      <c r="H12" s="123">
        <v>6</v>
      </c>
      <c r="I12" s="124">
        <f t="shared" si="2"/>
        <v>1</v>
      </c>
      <c r="J12" s="125">
        <f t="shared" si="1"/>
        <v>1</v>
      </c>
    </row>
    <row r="13" spans="1:10" ht="33.75" customHeight="1">
      <c r="A13" s="52">
        <v>9</v>
      </c>
      <c r="B13" s="122" t="s">
        <v>117</v>
      </c>
      <c r="C13" s="122"/>
      <c r="D13" s="122"/>
      <c r="E13" s="123"/>
      <c r="F13" s="123" t="s">
        <v>63</v>
      </c>
      <c r="G13" s="123"/>
      <c r="H13" s="123">
        <v>6</v>
      </c>
      <c r="I13" s="124">
        <f t="shared" si="2"/>
        <v>1</v>
      </c>
      <c r="J13" s="125">
        <f t="shared" si="1"/>
        <v>1</v>
      </c>
    </row>
    <row r="14" spans="1:10" ht="33" customHeight="1">
      <c r="A14" s="52">
        <v>10</v>
      </c>
      <c r="B14" s="122" t="s">
        <v>118</v>
      </c>
      <c r="C14" s="122"/>
      <c r="D14" s="122"/>
      <c r="E14" s="123"/>
      <c r="F14" s="123" t="s">
        <v>63</v>
      </c>
      <c r="G14" s="123"/>
      <c r="H14" s="123">
        <v>2</v>
      </c>
      <c r="I14" s="124">
        <f t="shared" si="2"/>
        <v>0.33333333333333331</v>
      </c>
      <c r="J14" s="125">
        <f t="shared" si="1"/>
        <v>0.33333333333333331</v>
      </c>
    </row>
    <row r="15" spans="1:10" ht="31.5" customHeight="1">
      <c r="A15" s="52">
        <v>11</v>
      </c>
      <c r="B15" s="122" t="s">
        <v>119</v>
      </c>
      <c r="C15" s="122"/>
      <c r="D15" s="122"/>
      <c r="E15" s="123"/>
      <c r="F15" s="123" t="s">
        <v>63</v>
      </c>
      <c r="G15" s="123"/>
      <c r="H15" s="123">
        <v>2</v>
      </c>
      <c r="I15" s="124">
        <f t="shared" si="2"/>
        <v>0.33333333333333331</v>
      </c>
      <c r="J15" s="125">
        <f t="shared" si="1"/>
        <v>0.33333333333333331</v>
      </c>
    </row>
    <row r="16" spans="1:10" ht="48.75" customHeight="1">
      <c r="A16" s="52">
        <v>12</v>
      </c>
      <c r="B16" s="122" t="s">
        <v>120</v>
      </c>
      <c r="C16" s="122"/>
      <c r="D16" s="122"/>
      <c r="E16" s="123"/>
      <c r="F16" s="123" t="s">
        <v>63</v>
      </c>
      <c r="G16" s="123"/>
      <c r="H16" s="123">
        <v>2</v>
      </c>
      <c r="I16" s="124">
        <f t="shared" si="2"/>
        <v>0.33333333333333331</v>
      </c>
      <c r="J16" s="125">
        <f>IF(F16="X",((H16*10)/SUM($H$5:$H$16)),0)</f>
        <v>0.33333333333333331</v>
      </c>
    </row>
    <row r="17" spans="1:10" ht="15" customHeight="1">
      <c r="A17" s="83" t="s">
        <v>71</v>
      </c>
      <c r="B17" s="83"/>
      <c r="C17" s="83"/>
      <c r="D17" s="83"/>
      <c r="E17" s="83"/>
      <c r="F17" s="83"/>
      <c r="G17" s="83"/>
      <c r="H17" s="83"/>
      <c r="I17" s="28">
        <f>SUM(I5:I16)</f>
        <v>10.000000000000002</v>
      </c>
      <c r="J17" s="19">
        <f>SUM(J5:J16)</f>
        <v>9.3333333333333357</v>
      </c>
    </row>
  </sheetData>
  <mergeCells count="20">
    <mergeCell ref="A17:H17"/>
    <mergeCell ref="B10:D10"/>
    <mergeCell ref="A3:B3"/>
    <mergeCell ref="B4:D4"/>
    <mergeCell ref="B5:D5"/>
    <mergeCell ref="B6:D6"/>
    <mergeCell ref="B7:D7"/>
    <mergeCell ref="B8:D8"/>
    <mergeCell ref="B9:D9"/>
    <mergeCell ref="E3:J3"/>
    <mergeCell ref="B11:D11"/>
    <mergeCell ref="B12:D12"/>
    <mergeCell ref="B13:D13"/>
    <mergeCell ref="B14:D14"/>
    <mergeCell ref="B15:D15"/>
    <mergeCell ref="A1:B1"/>
    <mergeCell ref="A2:B2"/>
    <mergeCell ref="C1:J1"/>
    <mergeCell ref="C2:J2"/>
    <mergeCell ref="B16:D16"/>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9E68D-656C-44C4-9559-EB261FEA62AD}">
  <sheetPr>
    <tabColor rgb="FF00B050"/>
  </sheetPr>
  <dimension ref="A1:J17"/>
  <sheetViews>
    <sheetView workbookViewId="0">
      <selection activeCell="B7" sqref="A1:J17"/>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44</v>
      </c>
      <c r="D2" s="74"/>
      <c r="E2" s="74"/>
      <c r="F2" s="74"/>
      <c r="G2" s="74"/>
      <c r="H2" s="74"/>
      <c r="I2" s="74"/>
      <c r="J2" s="75"/>
    </row>
    <row r="3" spans="1:10" ht="45">
      <c r="A3" s="70" t="s">
        <v>81</v>
      </c>
      <c r="B3" s="70"/>
      <c r="C3" s="18" t="s">
        <v>93</v>
      </c>
      <c r="D3" s="55" t="s">
        <v>121</v>
      </c>
      <c r="E3" s="122" t="s">
        <v>122</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36" customHeight="1">
      <c r="A5" s="52">
        <v>1</v>
      </c>
      <c r="B5" s="122" t="s">
        <v>124</v>
      </c>
      <c r="C5" s="122"/>
      <c r="D5" s="122"/>
      <c r="E5" s="123"/>
      <c r="F5" s="123" t="s">
        <v>63</v>
      </c>
      <c r="G5" s="123"/>
      <c r="H5" s="123">
        <v>6</v>
      </c>
      <c r="I5" s="124">
        <f>(H5*10)/SUM($H$5:$H$16)</f>
        <v>1.0714285714285714</v>
      </c>
      <c r="J5" s="125">
        <f>IF(F5="X",((H5*10)/SUM($H$5:$H$16)),0)</f>
        <v>1.0714285714285714</v>
      </c>
    </row>
    <row r="6" spans="1:10" ht="31.5" customHeight="1">
      <c r="A6" s="52">
        <v>2</v>
      </c>
      <c r="B6" s="122" t="s">
        <v>125</v>
      </c>
      <c r="C6" s="122"/>
      <c r="D6" s="122"/>
      <c r="E6" s="123"/>
      <c r="F6" s="123" t="s">
        <v>63</v>
      </c>
      <c r="G6" s="123"/>
      <c r="H6" s="123">
        <v>2</v>
      </c>
      <c r="I6" s="124">
        <f t="shared" ref="I6:I16" si="0">(H6*10)/SUM($H$5:$H$16)</f>
        <v>0.35714285714285715</v>
      </c>
      <c r="J6" s="125">
        <f t="shared" ref="J6:J16" si="1">IF(F6="X",((H6*10)/SUM($H$5:$H$16)),0)</f>
        <v>0.35714285714285715</v>
      </c>
    </row>
    <row r="7" spans="1:10" ht="35.25" customHeight="1">
      <c r="A7" s="52">
        <v>3</v>
      </c>
      <c r="B7" s="122" t="s">
        <v>126</v>
      </c>
      <c r="C7" s="122"/>
      <c r="D7" s="122"/>
      <c r="E7" s="123"/>
      <c r="F7" s="123" t="s">
        <v>63</v>
      </c>
      <c r="G7" s="123"/>
      <c r="H7" s="123">
        <v>2</v>
      </c>
      <c r="I7" s="124">
        <f t="shared" si="0"/>
        <v>0.35714285714285715</v>
      </c>
      <c r="J7" s="125">
        <f t="shared" si="1"/>
        <v>0.35714285714285715</v>
      </c>
    </row>
    <row r="8" spans="1:10" ht="75.75" customHeight="1">
      <c r="A8" s="52">
        <v>4</v>
      </c>
      <c r="B8" s="122" t="s">
        <v>127</v>
      </c>
      <c r="C8" s="122"/>
      <c r="D8" s="122"/>
      <c r="E8" s="123"/>
      <c r="F8" s="123" t="s">
        <v>63</v>
      </c>
      <c r="G8" s="123"/>
      <c r="H8" s="123">
        <v>6</v>
      </c>
      <c r="I8" s="124">
        <f t="shared" si="0"/>
        <v>1.0714285714285714</v>
      </c>
      <c r="J8" s="125">
        <f t="shared" si="1"/>
        <v>1.0714285714285714</v>
      </c>
    </row>
    <row r="9" spans="1:10" ht="59.25" customHeight="1">
      <c r="A9" s="52">
        <v>5</v>
      </c>
      <c r="B9" s="122" t="s">
        <v>128</v>
      </c>
      <c r="C9" s="122"/>
      <c r="D9" s="122"/>
      <c r="E9" s="123"/>
      <c r="F9" s="123" t="s">
        <v>63</v>
      </c>
      <c r="G9" s="123"/>
      <c r="H9" s="123">
        <v>10</v>
      </c>
      <c r="I9" s="124">
        <f t="shared" si="0"/>
        <v>1.7857142857142858</v>
      </c>
      <c r="J9" s="125">
        <f>IF(F9="X",((H9*10)/SUM($H$5:$H$16)),0)</f>
        <v>1.7857142857142858</v>
      </c>
    </row>
    <row r="10" spans="1:10" ht="90.75" customHeight="1">
      <c r="A10" s="52">
        <v>6</v>
      </c>
      <c r="B10" s="122" t="s">
        <v>129</v>
      </c>
      <c r="C10" s="122"/>
      <c r="D10" s="122"/>
      <c r="E10" s="123" t="s">
        <v>63</v>
      </c>
      <c r="F10" s="123"/>
      <c r="G10" s="123"/>
      <c r="H10" s="123">
        <v>6</v>
      </c>
      <c r="I10" s="124">
        <f t="shared" si="0"/>
        <v>1.0714285714285714</v>
      </c>
      <c r="J10" s="125">
        <f t="shared" si="1"/>
        <v>0</v>
      </c>
    </row>
    <row r="11" spans="1:10" ht="45.75" customHeight="1">
      <c r="A11" s="52">
        <v>7</v>
      </c>
      <c r="B11" s="122" t="s">
        <v>130</v>
      </c>
      <c r="C11" s="122"/>
      <c r="D11" s="122"/>
      <c r="E11" s="123"/>
      <c r="F11" s="123" t="s">
        <v>63</v>
      </c>
      <c r="G11" s="123"/>
      <c r="H11" s="123">
        <v>6</v>
      </c>
      <c r="I11" s="124">
        <f t="shared" si="0"/>
        <v>1.0714285714285714</v>
      </c>
      <c r="J11" s="125">
        <f t="shared" si="1"/>
        <v>1.0714285714285714</v>
      </c>
    </row>
    <row r="12" spans="1:10" ht="31.5" customHeight="1">
      <c r="A12" s="52">
        <v>8</v>
      </c>
      <c r="B12" s="122" t="s">
        <v>131</v>
      </c>
      <c r="C12" s="122"/>
      <c r="D12" s="122"/>
      <c r="E12" s="123"/>
      <c r="F12" s="123" t="s">
        <v>63</v>
      </c>
      <c r="G12" s="123"/>
      <c r="H12" s="123">
        <v>2</v>
      </c>
      <c r="I12" s="124">
        <f t="shared" si="0"/>
        <v>0.35714285714285715</v>
      </c>
      <c r="J12" s="125">
        <f t="shared" si="1"/>
        <v>0.35714285714285715</v>
      </c>
    </row>
    <row r="13" spans="1:10" ht="33.75" customHeight="1">
      <c r="A13" s="52">
        <v>9</v>
      </c>
      <c r="B13" s="122" t="s">
        <v>132</v>
      </c>
      <c r="C13" s="122"/>
      <c r="D13" s="122"/>
      <c r="E13" s="123"/>
      <c r="F13" s="123" t="s">
        <v>63</v>
      </c>
      <c r="G13" s="123"/>
      <c r="H13" s="123">
        <v>2</v>
      </c>
      <c r="I13" s="124">
        <f t="shared" si="0"/>
        <v>0.35714285714285715</v>
      </c>
      <c r="J13" s="125">
        <f t="shared" si="1"/>
        <v>0.35714285714285715</v>
      </c>
    </row>
    <row r="14" spans="1:10" ht="35.25" customHeight="1">
      <c r="A14" s="52">
        <v>10</v>
      </c>
      <c r="B14" s="122" t="s">
        <v>133</v>
      </c>
      <c r="C14" s="122"/>
      <c r="D14" s="122"/>
      <c r="E14" s="123" t="s">
        <v>63</v>
      </c>
      <c r="F14" s="123"/>
      <c r="G14" s="123"/>
      <c r="H14" s="123">
        <v>2</v>
      </c>
      <c r="I14" s="124">
        <f t="shared" si="0"/>
        <v>0.35714285714285715</v>
      </c>
      <c r="J14" s="125">
        <f t="shared" si="1"/>
        <v>0</v>
      </c>
    </row>
    <row r="15" spans="1:10" ht="37.5" customHeight="1">
      <c r="A15" s="52">
        <v>11</v>
      </c>
      <c r="B15" s="122" t="s">
        <v>134</v>
      </c>
      <c r="C15" s="122"/>
      <c r="D15" s="122"/>
      <c r="E15" s="123" t="s">
        <v>63</v>
      </c>
      <c r="F15" s="123"/>
      <c r="G15" s="123"/>
      <c r="H15" s="123">
        <v>6</v>
      </c>
      <c r="I15" s="124">
        <f t="shared" si="0"/>
        <v>1.0714285714285714</v>
      </c>
      <c r="J15" s="125">
        <f t="shared" si="1"/>
        <v>0</v>
      </c>
    </row>
    <row r="16" spans="1:10" ht="61.5" customHeight="1">
      <c r="A16" s="52">
        <v>12</v>
      </c>
      <c r="B16" s="122" t="s">
        <v>135</v>
      </c>
      <c r="C16" s="122"/>
      <c r="D16" s="122"/>
      <c r="E16" s="123"/>
      <c r="F16" s="123"/>
      <c r="G16" s="123" t="s">
        <v>63</v>
      </c>
      <c r="H16" s="123">
        <v>6</v>
      </c>
      <c r="I16" s="124">
        <f t="shared" si="0"/>
        <v>1.0714285714285714</v>
      </c>
      <c r="J16" s="125">
        <f t="shared" si="1"/>
        <v>0</v>
      </c>
    </row>
    <row r="17" spans="1:10" ht="15" customHeight="1">
      <c r="A17" s="83" t="s">
        <v>71</v>
      </c>
      <c r="B17" s="83"/>
      <c r="C17" s="83"/>
      <c r="D17" s="83"/>
      <c r="E17" s="83"/>
      <c r="F17" s="83"/>
      <c r="G17" s="83"/>
      <c r="H17" s="83"/>
      <c r="I17" s="28">
        <f>SUM(I5:I16)</f>
        <v>9.9999999999999982</v>
      </c>
      <c r="J17" s="19">
        <f>SUM(J5:J16)</f>
        <v>6.4285714285714279</v>
      </c>
    </row>
  </sheetData>
  <mergeCells count="20">
    <mergeCell ref="A17:H17"/>
    <mergeCell ref="B10:D10"/>
    <mergeCell ref="A3:B3"/>
    <mergeCell ref="B4:D4"/>
    <mergeCell ref="B5:D5"/>
    <mergeCell ref="B6:D6"/>
    <mergeCell ref="B7:D7"/>
    <mergeCell ref="B8:D8"/>
    <mergeCell ref="B9:D9"/>
    <mergeCell ref="E3:J3"/>
    <mergeCell ref="B11:D11"/>
    <mergeCell ref="B12:D12"/>
    <mergeCell ref="B13:D13"/>
    <mergeCell ref="B14:D14"/>
    <mergeCell ref="B15:D15"/>
    <mergeCell ref="A1:B1"/>
    <mergeCell ref="A2:B2"/>
    <mergeCell ref="C1:J1"/>
    <mergeCell ref="C2:J2"/>
    <mergeCell ref="B16:D16"/>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CFF14-D0F5-4BB6-817D-9F3DF5CF1985}">
  <sheetPr>
    <tabColor rgb="FF00B050"/>
  </sheetPr>
  <dimension ref="A1:J13"/>
  <sheetViews>
    <sheetView workbookViewId="0">
      <selection activeCell="B6" sqref="A1:J13"/>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89" t="s">
        <v>51</v>
      </c>
      <c r="B1" s="89"/>
      <c r="C1" s="90" t="s">
        <v>52</v>
      </c>
      <c r="D1" s="91"/>
      <c r="E1" s="91"/>
      <c r="F1" s="91"/>
      <c r="G1" s="91"/>
      <c r="H1" s="91"/>
      <c r="I1" s="91"/>
      <c r="J1" s="92"/>
    </row>
    <row r="2" spans="1:10" ht="15">
      <c r="A2" s="89" t="s">
        <v>0</v>
      </c>
      <c r="B2" s="89"/>
      <c r="C2" s="90" t="s">
        <v>44</v>
      </c>
      <c r="D2" s="91"/>
      <c r="E2" s="91"/>
      <c r="F2" s="91"/>
      <c r="G2" s="91"/>
      <c r="H2" s="91"/>
      <c r="I2" s="91"/>
      <c r="J2" s="92"/>
    </row>
    <row r="3" spans="1:10" ht="45">
      <c r="A3" s="89" t="s">
        <v>81</v>
      </c>
      <c r="B3" s="89"/>
      <c r="C3" s="17" t="s">
        <v>93</v>
      </c>
      <c r="D3" s="8" t="s">
        <v>136</v>
      </c>
      <c r="E3" s="135" t="s">
        <v>137</v>
      </c>
      <c r="F3" s="136"/>
      <c r="G3" s="136"/>
      <c r="H3" s="136"/>
      <c r="I3" s="136"/>
      <c r="J3" s="137"/>
    </row>
    <row r="4" spans="1:10" ht="60">
      <c r="A4" s="56" t="s">
        <v>55</v>
      </c>
      <c r="B4" s="89" t="s">
        <v>56</v>
      </c>
      <c r="C4" s="89"/>
      <c r="D4" s="89"/>
      <c r="E4" s="56" t="s">
        <v>24</v>
      </c>
      <c r="F4" s="56" t="s">
        <v>57</v>
      </c>
      <c r="G4" s="56" t="s">
        <v>58</v>
      </c>
      <c r="H4" s="56" t="s">
        <v>59</v>
      </c>
      <c r="I4" s="31" t="s">
        <v>60</v>
      </c>
      <c r="J4" s="52" t="s">
        <v>61</v>
      </c>
    </row>
    <row r="5" spans="1:10" ht="47.25" customHeight="1">
      <c r="A5" s="56">
        <v>1</v>
      </c>
      <c r="B5" s="129" t="s">
        <v>138</v>
      </c>
      <c r="C5" s="129"/>
      <c r="D5" s="129"/>
      <c r="E5" s="114"/>
      <c r="F5" s="114" t="s">
        <v>63</v>
      </c>
      <c r="G5" s="114"/>
      <c r="H5" s="114">
        <v>6</v>
      </c>
      <c r="I5" s="130">
        <f>(H5*10)/SUM($H$5:$H$12)</f>
        <v>1.25</v>
      </c>
      <c r="J5" s="125">
        <f>IF(F5="X",((H5*10)/SUM($H$5:$H$12)),0)</f>
        <v>1.25</v>
      </c>
    </row>
    <row r="6" spans="1:10" ht="47.25" customHeight="1">
      <c r="A6" s="56">
        <v>2</v>
      </c>
      <c r="B6" s="129" t="s">
        <v>139</v>
      </c>
      <c r="C6" s="129"/>
      <c r="D6" s="129"/>
      <c r="E6" s="114"/>
      <c r="F6" s="114" t="s">
        <v>63</v>
      </c>
      <c r="G6" s="114"/>
      <c r="H6" s="114">
        <v>6</v>
      </c>
      <c r="I6" s="130">
        <f t="shared" ref="I6:I12" si="0">(H6*10)/SUM($H$5:$H$12)</f>
        <v>1.25</v>
      </c>
      <c r="J6" s="125">
        <f t="shared" ref="J6:J12" si="1">IF(F6="X",((H6*10)/SUM($H$5:$H$12)),0)</f>
        <v>1.25</v>
      </c>
    </row>
    <row r="7" spans="1:10" ht="63" customHeight="1">
      <c r="A7" s="56">
        <v>3</v>
      </c>
      <c r="B7" s="129" t="s">
        <v>140</v>
      </c>
      <c r="C7" s="129"/>
      <c r="D7" s="129"/>
      <c r="E7" s="114"/>
      <c r="F7" s="114" t="s">
        <v>63</v>
      </c>
      <c r="G7" s="114"/>
      <c r="H7" s="114">
        <v>6</v>
      </c>
      <c r="I7" s="130">
        <f t="shared" si="0"/>
        <v>1.25</v>
      </c>
      <c r="J7" s="125">
        <f t="shared" si="1"/>
        <v>1.25</v>
      </c>
    </row>
    <row r="8" spans="1:10" ht="31.5" customHeight="1">
      <c r="A8" s="56">
        <v>4</v>
      </c>
      <c r="B8" s="129" t="s">
        <v>141</v>
      </c>
      <c r="C8" s="129"/>
      <c r="D8" s="129"/>
      <c r="E8" s="114"/>
      <c r="F8" s="114" t="s">
        <v>63</v>
      </c>
      <c r="G8" s="114"/>
      <c r="H8" s="114">
        <v>2</v>
      </c>
      <c r="I8" s="130">
        <f t="shared" si="0"/>
        <v>0.41666666666666669</v>
      </c>
      <c r="J8" s="125">
        <f t="shared" si="1"/>
        <v>0.41666666666666669</v>
      </c>
    </row>
    <row r="9" spans="1:10" ht="31.5" customHeight="1">
      <c r="A9" s="56">
        <v>5</v>
      </c>
      <c r="B9" s="129" t="s">
        <v>142</v>
      </c>
      <c r="C9" s="129"/>
      <c r="D9" s="129"/>
      <c r="E9" s="114"/>
      <c r="F9" s="114" t="s">
        <v>63</v>
      </c>
      <c r="G9" s="114"/>
      <c r="H9" s="114">
        <v>10</v>
      </c>
      <c r="I9" s="130">
        <f t="shared" si="0"/>
        <v>2.0833333333333335</v>
      </c>
      <c r="J9" s="125">
        <f t="shared" si="1"/>
        <v>2.0833333333333335</v>
      </c>
    </row>
    <row r="10" spans="1:10" ht="48.75" customHeight="1">
      <c r="A10" s="56">
        <v>6</v>
      </c>
      <c r="B10" s="129" t="s">
        <v>143</v>
      </c>
      <c r="C10" s="129"/>
      <c r="D10" s="129"/>
      <c r="E10" s="114"/>
      <c r="F10" s="114" t="s">
        <v>63</v>
      </c>
      <c r="G10" s="114"/>
      <c r="H10" s="114">
        <v>10</v>
      </c>
      <c r="I10" s="130">
        <f t="shared" si="0"/>
        <v>2.0833333333333335</v>
      </c>
      <c r="J10" s="125">
        <f t="shared" si="1"/>
        <v>2.0833333333333335</v>
      </c>
    </row>
    <row r="11" spans="1:10" ht="47.25" customHeight="1">
      <c r="A11" s="56">
        <v>7</v>
      </c>
      <c r="B11" s="129" t="s">
        <v>144</v>
      </c>
      <c r="C11" s="129"/>
      <c r="D11" s="129"/>
      <c r="E11" s="114"/>
      <c r="F11" s="114" t="s">
        <v>63</v>
      </c>
      <c r="G11" s="114"/>
      <c r="H11" s="114">
        <v>6</v>
      </c>
      <c r="I11" s="130">
        <f t="shared" si="0"/>
        <v>1.25</v>
      </c>
      <c r="J11" s="125">
        <f t="shared" si="1"/>
        <v>1.25</v>
      </c>
    </row>
    <row r="12" spans="1:10" ht="47.25" customHeight="1">
      <c r="A12" s="56">
        <v>8</v>
      </c>
      <c r="B12" s="129" t="s">
        <v>145</v>
      </c>
      <c r="C12" s="129"/>
      <c r="D12" s="129"/>
      <c r="E12" s="114"/>
      <c r="F12" s="114" t="s">
        <v>63</v>
      </c>
      <c r="G12" s="114"/>
      <c r="H12" s="114">
        <v>2</v>
      </c>
      <c r="I12" s="130">
        <f t="shared" si="0"/>
        <v>0.41666666666666669</v>
      </c>
      <c r="J12" s="125">
        <f t="shared" si="1"/>
        <v>0.41666666666666669</v>
      </c>
    </row>
    <row r="13" spans="1:10" ht="15" customHeight="1">
      <c r="A13" s="93" t="s">
        <v>71</v>
      </c>
      <c r="B13" s="93"/>
      <c r="C13" s="93"/>
      <c r="D13" s="93"/>
      <c r="E13" s="93"/>
      <c r="F13" s="93"/>
      <c r="G13" s="93"/>
      <c r="H13" s="93"/>
      <c r="I13" s="32">
        <f>SUM(I5:I12)</f>
        <v>10</v>
      </c>
      <c r="J13" s="15">
        <f>SUM(J5:J12)</f>
        <v>10</v>
      </c>
    </row>
  </sheetData>
  <mergeCells count="16">
    <mergeCell ref="A13:H13"/>
    <mergeCell ref="A3:B3"/>
    <mergeCell ref="B4:D4"/>
    <mergeCell ref="B11:D11"/>
    <mergeCell ref="B12:D12"/>
    <mergeCell ref="E3:J3"/>
    <mergeCell ref="B5:D5"/>
    <mergeCell ref="B6:D6"/>
    <mergeCell ref="B7:D7"/>
    <mergeCell ref="B8:D8"/>
    <mergeCell ref="B9:D9"/>
    <mergeCell ref="A1:B1"/>
    <mergeCell ref="A2:B2"/>
    <mergeCell ref="C1:J1"/>
    <mergeCell ref="C2:J2"/>
    <mergeCell ref="B10:D10"/>
  </mergeCell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CDF10-06E1-4D0E-81C7-2452623AC480}">
  <sheetPr>
    <tabColor rgb="FF00B050"/>
  </sheetPr>
  <dimension ref="A1:J17"/>
  <sheetViews>
    <sheetView workbookViewId="0">
      <selection activeCell="B6" sqref="A1:J17"/>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44</v>
      </c>
      <c r="D2" s="74"/>
      <c r="E2" s="74"/>
      <c r="F2" s="74"/>
      <c r="G2" s="74"/>
      <c r="H2" s="74"/>
      <c r="I2" s="74"/>
      <c r="J2" s="75"/>
    </row>
    <row r="3" spans="1:10" ht="45">
      <c r="A3" s="70" t="s">
        <v>81</v>
      </c>
      <c r="B3" s="70"/>
      <c r="C3" s="18" t="s">
        <v>93</v>
      </c>
      <c r="D3" s="55" t="s">
        <v>146</v>
      </c>
      <c r="E3" s="122" t="s">
        <v>147</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7.25" customHeight="1">
      <c r="A5" s="52">
        <v>1</v>
      </c>
      <c r="B5" s="122" t="s">
        <v>148</v>
      </c>
      <c r="C5" s="122"/>
      <c r="D5" s="122"/>
      <c r="E5" s="123"/>
      <c r="F5" s="123" t="s">
        <v>63</v>
      </c>
      <c r="G5" s="123"/>
      <c r="H5" s="123">
        <v>10</v>
      </c>
      <c r="I5" s="124">
        <f>(H5*10)/SUM($H$5:$H$16)</f>
        <v>1.6666666666666667</v>
      </c>
      <c r="J5" s="125">
        <f>IF(F5="X",((H5*10)/SUM($H$5:$H$16)),0)</f>
        <v>1.6666666666666667</v>
      </c>
    </row>
    <row r="6" spans="1:10" ht="59.25" customHeight="1">
      <c r="A6" s="52">
        <v>2</v>
      </c>
      <c r="B6" s="122" t="s">
        <v>149</v>
      </c>
      <c r="C6" s="122"/>
      <c r="D6" s="122"/>
      <c r="E6" s="123"/>
      <c r="F6" s="123" t="s">
        <v>63</v>
      </c>
      <c r="G6" s="123"/>
      <c r="H6" s="123">
        <v>10</v>
      </c>
      <c r="I6" s="124">
        <f t="shared" ref="I6:I16" si="0">(H6*10)/SUM($H$5:$H$16)</f>
        <v>1.6666666666666667</v>
      </c>
      <c r="J6" s="125">
        <f t="shared" ref="J6:J15" si="1">IF(F6="X",((H6*10)/SUM($H$5:$H$16)),0)</f>
        <v>1.6666666666666667</v>
      </c>
    </row>
    <row r="7" spans="1:10" ht="31.5" customHeight="1">
      <c r="A7" s="52">
        <v>3</v>
      </c>
      <c r="B7" s="122" t="s">
        <v>150</v>
      </c>
      <c r="C7" s="122"/>
      <c r="D7" s="122"/>
      <c r="E7" s="123" t="s">
        <v>63</v>
      </c>
      <c r="F7" s="123"/>
      <c r="G7" s="123"/>
      <c r="H7" s="123">
        <v>6</v>
      </c>
      <c r="I7" s="124">
        <f t="shared" si="0"/>
        <v>1</v>
      </c>
      <c r="J7" s="125">
        <f t="shared" si="1"/>
        <v>0</v>
      </c>
    </row>
    <row r="8" spans="1:10" ht="59.25" customHeight="1">
      <c r="A8" s="52">
        <v>4</v>
      </c>
      <c r="B8" s="122" t="s">
        <v>151</v>
      </c>
      <c r="C8" s="122"/>
      <c r="D8" s="122"/>
      <c r="E8" s="123"/>
      <c r="F8" s="123" t="s">
        <v>63</v>
      </c>
      <c r="G8" s="123"/>
      <c r="H8" s="123">
        <v>6</v>
      </c>
      <c r="I8" s="124">
        <f t="shared" si="0"/>
        <v>1</v>
      </c>
      <c r="J8" s="125">
        <f t="shared" si="1"/>
        <v>1</v>
      </c>
    </row>
    <row r="9" spans="1:10" ht="91.5" customHeight="1">
      <c r="A9" s="52">
        <v>5</v>
      </c>
      <c r="B9" s="122" t="s">
        <v>152</v>
      </c>
      <c r="C9" s="122"/>
      <c r="D9" s="122"/>
      <c r="E9" s="123"/>
      <c r="F9" s="123" t="s">
        <v>63</v>
      </c>
      <c r="G9" s="123"/>
      <c r="H9" s="123">
        <v>6</v>
      </c>
      <c r="I9" s="124">
        <f t="shared" si="0"/>
        <v>1</v>
      </c>
      <c r="J9" s="125">
        <f t="shared" si="1"/>
        <v>1</v>
      </c>
    </row>
    <row r="10" spans="1:10" ht="47.25" customHeight="1">
      <c r="A10" s="52">
        <v>6</v>
      </c>
      <c r="B10" s="122" t="s">
        <v>153</v>
      </c>
      <c r="C10" s="122"/>
      <c r="D10" s="122"/>
      <c r="E10" s="123"/>
      <c r="F10" s="123" t="s">
        <v>63</v>
      </c>
      <c r="G10" s="123"/>
      <c r="H10" s="123">
        <v>6</v>
      </c>
      <c r="I10" s="124">
        <f t="shared" si="0"/>
        <v>1</v>
      </c>
      <c r="J10" s="125">
        <f t="shared" si="1"/>
        <v>1</v>
      </c>
    </row>
    <row r="11" spans="1:10" ht="47.25" customHeight="1">
      <c r="A11" s="52">
        <v>7</v>
      </c>
      <c r="B11" s="122" t="s">
        <v>154</v>
      </c>
      <c r="C11" s="122"/>
      <c r="D11" s="122"/>
      <c r="E11" s="123"/>
      <c r="F11" s="123" t="s">
        <v>63</v>
      </c>
      <c r="G11" s="123"/>
      <c r="H11" s="123">
        <v>2</v>
      </c>
      <c r="I11" s="124">
        <f t="shared" si="0"/>
        <v>0.33333333333333331</v>
      </c>
      <c r="J11" s="125">
        <f t="shared" si="1"/>
        <v>0.33333333333333331</v>
      </c>
    </row>
    <row r="12" spans="1:10" ht="59.25" customHeight="1">
      <c r="A12" s="52">
        <v>8</v>
      </c>
      <c r="B12" s="122" t="s">
        <v>155</v>
      </c>
      <c r="C12" s="122"/>
      <c r="D12" s="122"/>
      <c r="E12" s="123"/>
      <c r="F12" s="123"/>
      <c r="G12" s="123" t="s">
        <v>63</v>
      </c>
      <c r="H12" s="123">
        <v>2</v>
      </c>
      <c r="I12" s="124">
        <f t="shared" si="0"/>
        <v>0.33333333333333331</v>
      </c>
      <c r="J12" s="125">
        <f t="shared" si="1"/>
        <v>0</v>
      </c>
    </row>
    <row r="13" spans="1:10" ht="63" customHeight="1">
      <c r="A13" s="52">
        <v>9</v>
      </c>
      <c r="B13" s="122" t="s">
        <v>156</v>
      </c>
      <c r="C13" s="122"/>
      <c r="D13" s="122"/>
      <c r="E13" s="123"/>
      <c r="F13" s="123" t="s">
        <v>63</v>
      </c>
      <c r="G13" s="123"/>
      <c r="H13" s="123">
        <v>6</v>
      </c>
      <c r="I13" s="124">
        <f t="shared" si="0"/>
        <v>1</v>
      </c>
      <c r="J13" s="125">
        <f t="shared" si="1"/>
        <v>1</v>
      </c>
    </row>
    <row r="14" spans="1:10" ht="45" customHeight="1">
      <c r="A14" s="52">
        <v>10</v>
      </c>
      <c r="B14" s="122" t="s">
        <v>157</v>
      </c>
      <c r="C14" s="122"/>
      <c r="D14" s="122"/>
      <c r="E14" s="123"/>
      <c r="F14" s="123"/>
      <c r="G14" s="123" t="s">
        <v>63</v>
      </c>
      <c r="H14" s="123">
        <v>2</v>
      </c>
      <c r="I14" s="124">
        <f t="shared" si="0"/>
        <v>0.33333333333333331</v>
      </c>
      <c r="J14" s="125">
        <f t="shared" si="1"/>
        <v>0</v>
      </c>
    </row>
    <row r="15" spans="1:10" ht="47.25" customHeight="1">
      <c r="A15" s="52">
        <v>11</v>
      </c>
      <c r="B15" s="122" t="s">
        <v>158</v>
      </c>
      <c r="C15" s="122"/>
      <c r="D15" s="122"/>
      <c r="E15" s="123"/>
      <c r="F15" s="123"/>
      <c r="G15" s="123" t="s">
        <v>63</v>
      </c>
      <c r="H15" s="123">
        <v>2</v>
      </c>
      <c r="I15" s="124">
        <f t="shared" si="0"/>
        <v>0.33333333333333331</v>
      </c>
      <c r="J15" s="125">
        <f t="shared" si="1"/>
        <v>0</v>
      </c>
    </row>
    <row r="16" spans="1:10" ht="31.5" customHeight="1">
      <c r="A16" s="52">
        <v>12</v>
      </c>
      <c r="B16" s="122" t="s">
        <v>159</v>
      </c>
      <c r="C16" s="122"/>
      <c r="D16" s="122"/>
      <c r="E16" s="123"/>
      <c r="F16" s="123"/>
      <c r="G16" s="123" t="s">
        <v>63</v>
      </c>
      <c r="H16" s="123">
        <v>2</v>
      </c>
      <c r="I16" s="124">
        <f t="shared" si="0"/>
        <v>0.33333333333333331</v>
      </c>
      <c r="J16" s="125">
        <f>IF(F16="X",((H16*10)/SUM($H$5:$H$16)),0)</f>
        <v>0</v>
      </c>
    </row>
    <row r="17" spans="1:10" ht="15" customHeight="1">
      <c r="A17" s="83" t="s">
        <v>71</v>
      </c>
      <c r="B17" s="83"/>
      <c r="C17" s="83"/>
      <c r="D17" s="83"/>
      <c r="E17" s="83"/>
      <c r="F17" s="83"/>
      <c r="G17" s="83"/>
      <c r="H17" s="83"/>
      <c r="I17" s="28">
        <f>SUM(I5:I16)</f>
        <v>10.000000000000002</v>
      </c>
      <c r="J17" s="19">
        <f>SUM(J5:J16)</f>
        <v>7.666666666666667</v>
      </c>
    </row>
  </sheetData>
  <mergeCells count="20">
    <mergeCell ref="A17:H17"/>
    <mergeCell ref="B10:D10"/>
    <mergeCell ref="A3:B3"/>
    <mergeCell ref="B4:D4"/>
    <mergeCell ref="B5:D5"/>
    <mergeCell ref="B6:D6"/>
    <mergeCell ref="B7:D7"/>
    <mergeCell ref="B8:D8"/>
    <mergeCell ref="B9:D9"/>
    <mergeCell ref="E3:J3"/>
    <mergeCell ref="B11:D11"/>
    <mergeCell ref="B12:D12"/>
    <mergeCell ref="B13:D13"/>
    <mergeCell ref="B14:D14"/>
    <mergeCell ref="B15:D15"/>
    <mergeCell ref="A1:B1"/>
    <mergeCell ref="A2:B2"/>
    <mergeCell ref="C1:J1"/>
    <mergeCell ref="C2:J2"/>
    <mergeCell ref="B16:D16"/>
  </mergeCell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3B1F1-82E6-4F27-ABF1-89809DE3028E}">
  <sheetPr>
    <tabColor rgb="FF00B050"/>
  </sheetPr>
  <dimension ref="A1:J19"/>
  <sheetViews>
    <sheetView topLeftCell="C12" workbookViewId="0">
      <selection activeCell="I17" sqref="A1:J19"/>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44</v>
      </c>
      <c r="D2" s="74"/>
      <c r="E2" s="74"/>
      <c r="F2" s="74"/>
      <c r="G2" s="74"/>
      <c r="H2" s="74"/>
      <c r="I2" s="74"/>
      <c r="J2" s="75"/>
    </row>
    <row r="3" spans="1:10" ht="45">
      <c r="A3" s="70" t="s">
        <v>81</v>
      </c>
      <c r="B3" s="70"/>
      <c r="C3" s="18" t="s">
        <v>93</v>
      </c>
      <c r="D3" s="55" t="s">
        <v>160</v>
      </c>
      <c r="E3" s="122" t="s">
        <v>161</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31.5" customHeight="1">
      <c r="A5" s="52">
        <v>1</v>
      </c>
      <c r="B5" s="122" t="s">
        <v>162</v>
      </c>
      <c r="C5" s="122"/>
      <c r="D5" s="122"/>
      <c r="E5" s="123"/>
      <c r="F5" s="123" t="s">
        <v>63</v>
      </c>
      <c r="G5" s="123"/>
      <c r="H5" s="123">
        <v>6</v>
      </c>
      <c r="I5" s="124">
        <f>(H5*10)/SUM($H$5:$H$18)</f>
        <v>0.83333333333333337</v>
      </c>
      <c r="J5" s="125">
        <f>IF(F5="X",((H5*10)/SUM($H$5:$H$18)),0)</f>
        <v>0.83333333333333337</v>
      </c>
    </row>
    <row r="6" spans="1:10" ht="47.25" customHeight="1">
      <c r="A6" s="52">
        <v>2</v>
      </c>
      <c r="B6" s="122" t="s">
        <v>163</v>
      </c>
      <c r="C6" s="122"/>
      <c r="D6" s="122"/>
      <c r="E6" s="123"/>
      <c r="F6" s="123"/>
      <c r="G6" s="123" t="s">
        <v>63</v>
      </c>
      <c r="H6" s="123">
        <v>6</v>
      </c>
      <c r="I6" s="124">
        <f t="shared" ref="I6:I18" si="0">(H6*10)/SUM($H$5:$H$18)</f>
        <v>0.83333333333333337</v>
      </c>
      <c r="J6" s="125">
        <f t="shared" ref="J6:J18" si="1">IF(F6="X",((H6*10)/SUM($H$5:$H$18)),0)</f>
        <v>0</v>
      </c>
    </row>
    <row r="7" spans="1:10" ht="63" customHeight="1">
      <c r="A7" s="52">
        <v>3</v>
      </c>
      <c r="B7" s="122" t="s">
        <v>164</v>
      </c>
      <c r="C7" s="122"/>
      <c r="D7" s="122"/>
      <c r="E7" s="123"/>
      <c r="F7" s="123"/>
      <c r="G7" s="123" t="s">
        <v>63</v>
      </c>
      <c r="H7" s="123">
        <v>2</v>
      </c>
      <c r="I7" s="124">
        <f t="shared" si="0"/>
        <v>0.27777777777777779</v>
      </c>
      <c r="J7" s="125">
        <f t="shared" si="1"/>
        <v>0</v>
      </c>
    </row>
    <row r="8" spans="1:10" ht="47.25" customHeight="1">
      <c r="A8" s="52">
        <v>4</v>
      </c>
      <c r="B8" s="122" t="s">
        <v>165</v>
      </c>
      <c r="C8" s="122"/>
      <c r="D8" s="122"/>
      <c r="E8" s="123"/>
      <c r="F8" s="123"/>
      <c r="G8" s="123" t="s">
        <v>63</v>
      </c>
      <c r="H8" s="123">
        <v>10</v>
      </c>
      <c r="I8" s="124">
        <f t="shared" si="0"/>
        <v>1.3888888888888888</v>
      </c>
      <c r="J8" s="125">
        <f t="shared" si="1"/>
        <v>0</v>
      </c>
    </row>
    <row r="9" spans="1:10" ht="63" customHeight="1">
      <c r="A9" s="52">
        <v>5</v>
      </c>
      <c r="B9" s="122" t="s">
        <v>166</v>
      </c>
      <c r="C9" s="122"/>
      <c r="D9" s="122"/>
      <c r="E9" s="123"/>
      <c r="F9" s="123" t="s">
        <v>63</v>
      </c>
      <c r="G9" s="123"/>
      <c r="H9" s="123">
        <v>6</v>
      </c>
      <c r="I9" s="124">
        <f t="shared" si="0"/>
        <v>0.83333333333333337</v>
      </c>
      <c r="J9" s="125">
        <f t="shared" si="1"/>
        <v>0.83333333333333337</v>
      </c>
    </row>
    <row r="10" spans="1:10" ht="63" customHeight="1">
      <c r="A10" s="52">
        <v>6</v>
      </c>
      <c r="B10" s="122" t="s">
        <v>167</v>
      </c>
      <c r="C10" s="122"/>
      <c r="D10" s="122"/>
      <c r="E10" s="123"/>
      <c r="F10" s="123" t="s">
        <v>63</v>
      </c>
      <c r="G10" s="123"/>
      <c r="H10" s="123">
        <v>6</v>
      </c>
      <c r="I10" s="124">
        <f t="shared" si="0"/>
        <v>0.83333333333333337</v>
      </c>
      <c r="J10" s="125">
        <f t="shared" si="1"/>
        <v>0.83333333333333337</v>
      </c>
    </row>
    <row r="11" spans="1:10" ht="31.5" customHeight="1">
      <c r="A11" s="52">
        <v>7</v>
      </c>
      <c r="B11" s="122" t="s">
        <v>168</v>
      </c>
      <c r="C11" s="122"/>
      <c r="D11" s="122"/>
      <c r="E11" s="123"/>
      <c r="F11" s="123" t="s">
        <v>63</v>
      </c>
      <c r="G11" s="123"/>
      <c r="H11" s="123">
        <v>6</v>
      </c>
      <c r="I11" s="124">
        <f t="shared" si="0"/>
        <v>0.83333333333333337</v>
      </c>
      <c r="J11" s="125">
        <f t="shared" si="1"/>
        <v>0.83333333333333337</v>
      </c>
    </row>
    <row r="12" spans="1:10" ht="47.25" customHeight="1">
      <c r="A12" s="52">
        <v>8</v>
      </c>
      <c r="B12" s="122" t="s">
        <v>169</v>
      </c>
      <c r="C12" s="122"/>
      <c r="D12" s="122"/>
      <c r="E12" s="123"/>
      <c r="F12" s="123" t="s">
        <v>63</v>
      </c>
      <c r="G12" s="123"/>
      <c r="H12" s="123">
        <v>6</v>
      </c>
      <c r="I12" s="124">
        <f t="shared" si="0"/>
        <v>0.83333333333333337</v>
      </c>
      <c r="J12" s="125">
        <f t="shared" si="1"/>
        <v>0.83333333333333337</v>
      </c>
    </row>
    <row r="13" spans="1:10" ht="31.5" customHeight="1">
      <c r="A13" s="52">
        <v>9</v>
      </c>
      <c r="B13" s="122" t="s">
        <v>170</v>
      </c>
      <c r="C13" s="122"/>
      <c r="D13" s="122"/>
      <c r="E13" s="123" t="s">
        <v>63</v>
      </c>
      <c r="F13" s="123"/>
      <c r="G13" s="123"/>
      <c r="H13" s="123">
        <v>6</v>
      </c>
      <c r="I13" s="124">
        <f t="shared" si="0"/>
        <v>0.83333333333333337</v>
      </c>
      <c r="J13" s="125">
        <f t="shared" si="1"/>
        <v>0</v>
      </c>
    </row>
    <row r="14" spans="1:10" ht="63" customHeight="1">
      <c r="A14" s="52">
        <v>10</v>
      </c>
      <c r="B14" s="122" t="s">
        <v>171</v>
      </c>
      <c r="C14" s="122"/>
      <c r="D14" s="122"/>
      <c r="E14" s="123"/>
      <c r="F14" s="123" t="s">
        <v>63</v>
      </c>
      <c r="G14" s="123"/>
      <c r="H14" s="123">
        <v>6</v>
      </c>
      <c r="I14" s="124">
        <f t="shared" si="0"/>
        <v>0.83333333333333337</v>
      </c>
      <c r="J14" s="125">
        <f t="shared" si="1"/>
        <v>0.83333333333333337</v>
      </c>
    </row>
    <row r="15" spans="1:10" ht="15">
      <c r="A15" s="52">
        <v>11</v>
      </c>
      <c r="B15" s="122" t="s">
        <v>172</v>
      </c>
      <c r="C15" s="122"/>
      <c r="D15" s="122"/>
      <c r="E15" s="123"/>
      <c r="F15" s="123" t="s">
        <v>63</v>
      </c>
      <c r="G15" s="123"/>
      <c r="H15" s="123">
        <v>2</v>
      </c>
      <c r="I15" s="124">
        <f t="shared" si="0"/>
        <v>0.27777777777777779</v>
      </c>
      <c r="J15" s="125">
        <f t="shared" si="1"/>
        <v>0.27777777777777779</v>
      </c>
    </row>
    <row r="16" spans="1:10" ht="47.25" customHeight="1">
      <c r="A16" s="52">
        <v>12</v>
      </c>
      <c r="B16" s="122" t="s">
        <v>173</v>
      </c>
      <c r="C16" s="122"/>
      <c r="D16" s="122"/>
      <c r="E16" s="123"/>
      <c r="F16" s="123"/>
      <c r="G16" s="123" t="s">
        <v>63</v>
      </c>
      <c r="H16" s="123">
        <v>2</v>
      </c>
      <c r="I16" s="124">
        <f t="shared" si="0"/>
        <v>0.27777777777777779</v>
      </c>
      <c r="J16" s="125">
        <f t="shared" si="1"/>
        <v>0</v>
      </c>
    </row>
    <row r="17" spans="1:10" ht="59.25" customHeight="1">
      <c r="A17" s="52">
        <v>13</v>
      </c>
      <c r="B17" s="122" t="s">
        <v>174</v>
      </c>
      <c r="C17" s="122"/>
      <c r="D17" s="122"/>
      <c r="E17" s="123"/>
      <c r="F17" s="123" t="s">
        <v>63</v>
      </c>
      <c r="G17" s="123"/>
      <c r="H17" s="123">
        <v>6</v>
      </c>
      <c r="I17" s="124">
        <f t="shared" si="0"/>
        <v>0.83333333333333337</v>
      </c>
      <c r="J17" s="125">
        <f t="shared" si="1"/>
        <v>0.83333333333333337</v>
      </c>
    </row>
    <row r="18" spans="1:10" ht="78.75" customHeight="1">
      <c r="A18" s="52">
        <v>14</v>
      </c>
      <c r="B18" s="122" t="s">
        <v>175</v>
      </c>
      <c r="C18" s="122"/>
      <c r="D18" s="122"/>
      <c r="E18" s="123"/>
      <c r="F18" s="123"/>
      <c r="G18" s="123" t="s">
        <v>63</v>
      </c>
      <c r="H18" s="123">
        <v>2</v>
      </c>
      <c r="I18" s="124">
        <f t="shared" si="0"/>
        <v>0.27777777777777779</v>
      </c>
      <c r="J18" s="125">
        <f t="shared" si="1"/>
        <v>0</v>
      </c>
    </row>
    <row r="19" spans="1:10" ht="15" customHeight="1">
      <c r="A19" s="83" t="s">
        <v>71</v>
      </c>
      <c r="B19" s="83"/>
      <c r="C19" s="83"/>
      <c r="D19" s="83"/>
      <c r="E19" s="83"/>
      <c r="F19" s="83"/>
      <c r="G19" s="83"/>
      <c r="H19" s="83"/>
      <c r="I19" s="28">
        <f>SUM(I5:I18)</f>
        <v>10.000000000000002</v>
      </c>
      <c r="J19" s="19">
        <f>SUM(J5:J18)</f>
        <v>6.1111111111111107</v>
      </c>
    </row>
  </sheetData>
  <mergeCells count="22">
    <mergeCell ref="B15:D15"/>
    <mergeCell ref="B16:D16"/>
    <mergeCell ref="A19:H19"/>
    <mergeCell ref="E3:J3"/>
    <mergeCell ref="B17:D17"/>
    <mergeCell ref="B18:D18"/>
    <mergeCell ref="B11:D11"/>
    <mergeCell ref="B12:D12"/>
    <mergeCell ref="B10:D10"/>
    <mergeCell ref="A3:B3"/>
    <mergeCell ref="B4:D4"/>
    <mergeCell ref="B5:D5"/>
    <mergeCell ref="B6:D6"/>
    <mergeCell ref="B7:D7"/>
    <mergeCell ref="B8:D8"/>
    <mergeCell ref="B9:D9"/>
    <mergeCell ref="B13:D13"/>
    <mergeCell ref="B14:D14"/>
    <mergeCell ref="A1:B1"/>
    <mergeCell ref="A2:B2"/>
    <mergeCell ref="C1:J1"/>
    <mergeCell ref="C2:J2"/>
  </mergeCell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4041E-4BF2-4E11-AF42-484495D7F6F4}">
  <sheetPr>
    <tabColor rgb="FF00B050"/>
  </sheetPr>
  <dimension ref="A1:J15"/>
  <sheetViews>
    <sheetView workbookViewId="0">
      <selection activeCell="B5" sqref="A1:J15"/>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44</v>
      </c>
      <c r="D2" s="74"/>
      <c r="E2" s="74"/>
      <c r="F2" s="74"/>
      <c r="G2" s="74"/>
      <c r="H2" s="74"/>
      <c r="I2" s="74"/>
      <c r="J2" s="75"/>
    </row>
    <row r="3" spans="1:10" ht="90">
      <c r="A3" s="70" t="s">
        <v>81</v>
      </c>
      <c r="B3" s="70"/>
      <c r="C3" s="18" t="s">
        <v>93</v>
      </c>
      <c r="D3" s="55" t="s">
        <v>176</v>
      </c>
      <c r="E3" s="122" t="s">
        <v>177</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7.25" customHeight="1">
      <c r="A5" s="52">
        <v>1</v>
      </c>
      <c r="B5" s="122" t="s">
        <v>178</v>
      </c>
      <c r="C5" s="122"/>
      <c r="D5" s="122"/>
      <c r="E5" s="123"/>
      <c r="F5" s="123" t="s">
        <v>63</v>
      </c>
      <c r="G5" s="123"/>
      <c r="H5" s="123">
        <v>10</v>
      </c>
      <c r="I5" s="124">
        <f>(H5*10)/SUM($H$5:$H$14)</f>
        <v>1.9230769230769231</v>
      </c>
      <c r="J5" s="125">
        <f>IF(F5="X",((H5*10)/SUM($H$5:$H$14)),0)</f>
        <v>1.9230769230769231</v>
      </c>
    </row>
    <row r="6" spans="1:10" ht="35.25" customHeight="1">
      <c r="A6" s="52">
        <v>2</v>
      </c>
      <c r="B6" s="122" t="s">
        <v>179</v>
      </c>
      <c r="C6" s="122"/>
      <c r="D6" s="122"/>
      <c r="E6" s="123"/>
      <c r="F6" s="123" t="s">
        <v>63</v>
      </c>
      <c r="G6" s="123"/>
      <c r="H6" s="123">
        <v>6</v>
      </c>
      <c r="I6" s="124">
        <f t="shared" ref="I6:I14" si="0">(H6*10)/SUM($H$5:$H$14)</f>
        <v>1.1538461538461537</v>
      </c>
      <c r="J6" s="125">
        <f t="shared" ref="J6:J14" si="1">IF(F6="X",((H6*10)/SUM($H$5:$H$14)),0)</f>
        <v>1.1538461538461537</v>
      </c>
    </row>
    <row r="7" spans="1:10" ht="35.25" customHeight="1">
      <c r="A7" s="52">
        <v>3</v>
      </c>
      <c r="B7" s="122" t="s">
        <v>180</v>
      </c>
      <c r="C7" s="122"/>
      <c r="D7" s="122"/>
      <c r="E7" s="123"/>
      <c r="F7" s="123" t="s">
        <v>63</v>
      </c>
      <c r="G7" s="123"/>
      <c r="H7" s="123">
        <v>6</v>
      </c>
      <c r="I7" s="124">
        <f t="shared" si="0"/>
        <v>1.1538461538461537</v>
      </c>
      <c r="J7" s="125">
        <f t="shared" si="1"/>
        <v>1.1538461538461537</v>
      </c>
    </row>
    <row r="8" spans="1:10" ht="31.5" customHeight="1">
      <c r="A8" s="52">
        <v>4</v>
      </c>
      <c r="B8" s="122" t="s">
        <v>181</v>
      </c>
      <c r="C8" s="122"/>
      <c r="D8" s="122"/>
      <c r="E8" s="123"/>
      <c r="F8" s="123" t="s">
        <v>63</v>
      </c>
      <c r="G8" s="123"/>
      <c r="H8" s="123">
        <v>10</v>
      </c>
      <c r="I8" s="124">
        <f t="shared" si="0"/>
        <v>1.9230769230769231</v>
      </c>
      <c r="J8" s="125">
        <f t="shared" si="1"/>
        <v>1.9230769230769231</v>
      </c>
    </row>
    <row r="9" spans="1:10" ht="31.5" customHeight="1">
      <c r="A9" s="52">
        <v>5</v>
      </c>
      <c r="B9" s="122" t="s">
        <v>182</v>
      </c>
      <c r="C9" s="122"/>
      <c r="D9" s="122"/>
      <c r="E9" s="123" t="s">
        <v>63</v>
      </c>
      <c r="F9" s="123"/>
      <c r="G9" s="123"/>
      <c r="H9" s="123">
        <v>2</v>
      </c>
      <c r="I9" s="124">
        <f t="shared" si="0"/>
        <v>0.38461538461538464</v>
      </c>
      <c r="J9" s="125">
        <f t="shared" si="1"/>
        <v>0</v>
      </c>
    </row>
    <row r="10" spans="1:10" ht="58.5" customHeight="1">
      <c r="A10" s="52">
        <v>6</v>
      </c>
      <c r="B10" s="122" t="s">
        <v>183</v>
      </c>
      <c r="C10" s="122"/>
      <c r="D10" s="122"/>
      <c r="E10" s="123"/>
      <c r="F10" s="123" t="s">
        <v>63</v>
      </c>
      <c r="G10" s="123"/>
      <c r="H10" s="123">
        <v>6</v>
      </c>
      <c r="I10" s="124">
        <f t="shared" si="0"/>
        <v>1.1538461538461537</v>
      </c>
      <c r="J10" s="125">
        <f t="shared" si="1"/>
        <v>1.1538461538461537</v>
      </c>
    </row>
    <row r="11" spans="1:10" ht="31.5" customHeight="1">
      <c r="A11" s="52">
        <v>7</v>
      </c>
      <c r="B11" s="122" t="s">
        <v>184</v>
      </c>
      <c r="C11" s="122"/>
      <c r="D11" s="122"/>
      <c r="E11" s="123"/>
      <c r="F11" s="123" t="s">
        <v>63</v>
      </c>
      <c r="G11" s="123"/>
      <c r="H11" s="123">
        <v>2</v>
      </c>
      <c r="I11" s="124">
        <f t="shared" si="0"/>
        <v>0.38461538461538464</v>
      </c>
      <c r="J11" s="125">
        <f t="shared" si="1"/>
        <v>0.38461538461538464</v>
      </c>
    </row>
    <row r="12" spans="1:10" ht="43.5" customHeight="1">
      <c r="A12" s="52">
        <v>8</v>
      </c>
      <c r="B12" s="122" t="s">
        <v>185</v>
      </c>
      <c r="C12" s="122"/>
      <c r="D12" s="122"/>
      <c r="E12" s="123"/>
      <c r="F12" s="123" t="s">
        <v>63</v>
      </c>
      <c r="G12" s="123"/>
      <c r="H12" s="123">
        <v>2</v>
      </c>
      <c r="I12" s="124">
        <f t="shared" si="0"/>
        <v>0.38461538461538464</v>
      </c>
      <c r="J12" s="125">
        <f t="shared" si="1"/>
        <v>0.38461538461538464</v>
      </c>
    </row>
    <row r="13" spans="1:10" ht="31.5" customHeight="1">
      <c r="A13" s="52">
        <v>9</v>
      </c>
      <c r="B13" s="122" t="s">
        <v>186</v>
      </c>
      <c r="C13" s="122"/>
      <c r="D13" s="122"/>
      <c r="E13" s="123"/>
      <c r="F13" s="123" t="s">
        <v>63</v>
      </c>
      <c r="G13" s="123"/>
      <c r="H13" s="123">
        <v>2</v>
      </c>
      <c r="I13" s="124">
        <f t="shared" si="0"/>
        <v>0.38461538461538464</v>
      </c>
      <c r="J13" s="125">
        <f t="shared" si="1"/>
        <v>0.38461538461538464</v>
      </c>
    </row>
    <row r="14" spans="1:10" ht="45.75" customHeight="1">
      <c r="A14" s="52">
        <v>10</v>
      </c>
      <c r="B14" s="122" t="s">
        <v>187</v>
      </c>
      <c r="C14" s="122"/>
      <c r="D14" s="122"/>
      <c r="E14" s="123"/>
      <c r="F14" s="123" t="s">
        <v>63</v>
      </c>
      <c r="G14" s="123"/>
      <c r="H14" s="123">
        <v>6</v>
      </c>
      <c r="I14" s="124">
        <f t="shared" si="0"/>
        <v>1.1538461538461537</v>
      </c>
      <c r="J14" s="125">
        <f t="shared" si="1"/>
        <v>1.1538461538461537</v>
      </c>
    </row>
    <row r="15" spans="1:10" ht="15" customHeight="1">
      <c r="A15" s="83" t="s">
        <v>71</v>
      </c>
      <c r="B15" s="83"/>
      <c r="C15" s="83"/>
      <c r="D15" s="83"/>
      <c r="E15" s="83"/>
      <c r="F15" s="83"/>
      <c r="G15" s="83"/>
      <c r="H15" s="83"/>
      <c r="I15" s="28">
        <f>SUM(I5:I14)</f>
        <v>10</v>
      </c>
      <c r="J15" s="19">
        <f>SUM(J5:J14)</f>
        <v>9.615384615384615</v>
      </c>
    </row>
  </sheetData>
  <mergeCells count="18">
    <mergeCell ref="B11:D11"/>
    <mergeCell ref="B12:D12"/>
    <mergeCell ref="B13:D13"/>
    <mergeCell ref="B14:D14"/>
    <mergeCell ref="A15:H15"/>
    <mergeCell ref="B10:D10"/>
    <mergeCell ref="A3:B3"/>
    <mergeCell ref="B4:D4"/>
    <mergeCell ref="B5:D5"/>
    <mergeCell ref="B6:D6"/>
    <mergeCell ref="B7:D7"/>
    <mergeCell ref="B8:D8"/>
    <mergeCell ref="B9:D9"/>
    <mergeCell ref="A1:B1"/>
    <mergeCell ref="A2:B2"/>
    <mergeCell ref="C1:J1"/>
    <mergeCell ref="C2:J2"/>
    <mergeCell ref="E3:J3"/>
  </mergeCell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D149E-9D29-4A1E-A349-49650B0A8080}">
  <sheetPr>
    <tabColor rgb="FF00B050"/>
  </sheetPr>
  <dimension ref="A1:J15"/>
  <sheetViews>
    <sheetView workbookViewId="0">
      <selection activeCell="B5" sqref="A1:J15"/>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89" t="s">
        <v>51</v>
      </c>
      <c r="B1" s="89"/>
      <c r="C1" s="90" t="s">
        <v>52</v>
      </c>
      <c r="D1" s="91"/>
      <c r="E1" s="91"/>
      <c r="F1" s="91"/>
      <c r="G1" s="91"/>
      <c r="H1" s="91"/>
      <c r="I1" s="91"/>
      <c r="J1" s="92"/>
    </row>
    <row r="2" spans="1:10" ht="15">
      <c r="A2" s="89" t="s">
        <v>0</v>
      </c>
      <c r="B2" s="89"/>
      <c r="C2" s="90" t="s">
        <v>44</v>
      </c>
      <c r="D2" s="91"/>
      <c r="E2" s="91"/>
      <c r="F2" s="91"/>
      <c r="G2" s="91"/>
      <c r="H2" s="91"/>
      <c r="I2" s="91"/>
      <c r="J2" s="92"/>
    </row>
    <row r="3" spans="1:10" ht="90">
      <c r="A3" s="89" t="s">
        <v>81</v>
      </c>
      <c r="B3" s="89"/>
      <c r="C3" s="17" t="s">
        <v>93</v>
      </c>
      <c r="D3" s="8" t="s">
        <v>188</v>
      </c>
      <c r="E3" s="129" t="s">
        <v>189</v>
      </c>
      <c r="F3" s="129"/>
      <c r="G3" s="129"/>
      <c r="H3" s="129"/>
      <c r="I3" s="129"/>
      <c r="J3" s="129"/>
    </row>
    <row r="4" spans="1:10" ht="60">
      <c r="A4" s="56" t="s">
        <v>55</v>
      </c>
      <c r="B4" s="89" t="s">
        <v>56</v>
      </c>
      <c r="C4" s="89"/>
      <c r="D4" s="89"/>
      <c r="E4" s="56" t="s">
        <v>24</v>
      </c>
      <c r="F4" s="56" t="s">
        <v>57</v>
      </c>
      <c r="G4" s="56" t="s">
        <v>58</v>
      </c>
      <c r="H4" s="56" t="s">
        <v>59</v>
      </c>
      <c r="I4" s="31" t="s">
        <v>60</v>
      </c>
      <c r="J4" s="52" t="s">
        <v>61</v>
      </c>
    </row>
    <row r="5" spans="1:10" ht="47.25" customHeight="1">
      <c r="A5" s="56">
        <v>1</v>
      </c>
      <c r="B5" s="129" t="s">
        <v>190</v>
      </c>
      <c r="C5" s="129"/>
      <c r="D5" s="129"/>
      <c r="E5" s="114"/>
      <c r="F5" s="114" t="s">
        <v>63</v>
      </c>
      <c r="G5" s="114"/>
      <c r="H5" s="114">
        <v>6</v>
      </c>
      <c r="I5" s="130">
        <f>(H5*10)/SUM($H$5:$H$14)</f>
        <v>1.5</v>
      </c>
      <c r="J5" s="125">
        <f>IF(F5="X",((H5*10)/SUM($H$5:$H$14)),0)</f>
        <v>1.5</v>
      </c>
    </row>
    <row r="6" spans="1:10" ht="44.25" customHeight="1">
      <c r="A6" s="56">
        <v>2</v>
      </c>
      <c r="B6" s="129" t="s">
        <v>191</v>
      </c>
      <c r="C6" s="129"/>
      <c r="D6" s="129"/>
      <c r="E6" s="114"/>
      <c r="F6" s="114" t="s">
        <v>63</v>
      </c>
      <c r="G6" s="114"/>
      <c r="H6" s="114">
        <v>6</v>
      </c>
      <c r="I6" s="130">
        <f t="shared" ref="I6:I14" si="0">(H6*10)/SUM($H$5:$H$14)</f>
        <v>1.5</v>
      </c>
      <c r="J6" s="125">
        <f t="shared" ref="J6:J14" si="1">IF(F6="X",((H6*10)/SUM($H$5:$H$14)),0)</f>
        <v>1.5</v>
      </c>
    </row>
    <row r="7" spans="1:10" ht="43.5" customHeight="1">
      <c r="A7" s="56">
        <v>3</v>
      </c>
      <c r="B7" s="129" t="s">
        <v>192</v>
      </c>
      <c r="C7" s="129"/>
      <c r="D7" s="129"/>
      <c r="E7" s="114" t="s">
        <v>63</v>
      </c>
      <c r="F7" s="114"/>
      <c r="G7" s="114"/>
      <c r="H7" s="114">
        <v>2</v>
      </c>
      <c r="I7" s="130">
        <f t="shared" si="0"/>
        <v>0.5</v>
      </c>
      <c r="J7" s="125">
        <f t="shared" si="1"/>
        <v>0</v>
      </c>
    </row>
    <row r="8" spans="1:10" ht="15">
      <c r="A8" s="56">
        <v>4</v>
      </c>
      <c r="B8" s="129" t="s">
        <v>193</v>
      </c>
      <c r="C8" s="129"/>
      <c r="D8" s="129"/>
      <c r="E8" s="114"/>
      <c r="F8" s="114"/>
      <c r="G8" s="114" t="s">
        <v>63</v>
      </c>
      <c r="H8" s="114">
        <v>2</v>
      </c>
      <c r="I8" s="130">
        <f t="shared" si="0"/>
        <v>0.5</v>
      </c>
      <c r="J8" s="125">
        <f t="shared" si="1"/>
        <v>0</v>
      </c>
    </row>
    <row r="9" spans="1:10" ht="31.5" customHeight="1">
      <c r="A9" s="56">
        <v>5</v>
      </c>
      <c r="B9" s="129" t="s">
        <v>194</v>
      </c>
      <c r="C9" s="129"/>
      <c r="D9" s="129"/>
      <c r="E9" s="114"/>
      <c r="F9" s="114" t="s">
        <v>63</v>
      </c>
      <c r="G9" s="114"/>
      <c r="H9" s="114">
        <v>2</v>
      </c>
      <c r="I9" s="130">
        <f t="shared" si="0"/>
        <v>0.5</v>
      </c>
      <c r="J9" s="125">
        <f t="shared" si="1"/>
        <v>0.5</v>
      </c>
    </row>
    <row r="10" spans="1:10" ht="42.75" customHeight="1">
      <c r="A10" s="56">
        <v>6</v>
      </c>
      <c r="B10" s="129" t="s">
        <v>195</v>
      </c>
      <c r="C10" s="129"/>
      <c r="D10" s="129"/>
      <c r="E10" s="114"/>
      <c r="F10" s="114" t="s">
        <v>63</v>
      </c>
      <c r="G10" s="114"/>
      <c r="H10" s="114">
        <v>2</v>
      </c>
      <c r="I10" s="130">
        <f t="shared" si="0"/>
        <v>0.5</v>
      </c>
      <c r="J10" s="125">
        <f t="shared" si="1"/>
        <v>0.5</v>
      </c>
    </row>
    <row r="11" spans="1:10" ht="29.25" customHeight="1">
      <c r="A11" s="56">
        <v>7</v>
      </c>
      <c r="B11" s="129" t="s">
        <v>196</v>
      </c>
      <c r="C11" s="129"/>
      <c r="D11" s="129"/>
      <c r="E11" s="114"/>
      <c r="F11" s="114" t="s">
        <v>63</v>
      </c>
      <c r="G11" s="114"/>
      <c r="H11" s="114">
        <v>6</v>
      </c>
      <c r="I11" s="130">
        <f t="shared" si="0"/>
        <v>1.5</v>
      </c>
      <c r="J11" s="125">
        <f t="shared" si="1"/>
        <v>1.5</v>
      </c>
    </row>
    <row r="12" spans="1:10" ht="44.25" customHeight="1">
      <c r="A12" s="56">
        <v>8</v>
      </c>
      <c r="B12" s="129" t="s">
        <v>197</v>
      </c>
      <c r="C12" s="129"/>
      <c r="D12" s="129"/>
      <c r="E12" s="114" t="s">
        <v>63</v>
      </c>
      <c r="F12" s="114"/>
      <c r="G12" s="114"/>
      <c r="H12" s="114">
        <v>6</v>
      </c>
      <c r="I12" s="130">
        <f t="shared" si="0"/>
        <v>1.5</v>
      </c>
      <c r="J12" s="125">
        <f t="shared" si="1"/>
        <v>0</v>
      </c>
    </row>
    <row r="13" spans="1:10" ht="31.5" customHeight="1">
      <c r="A13" s="56">
        <v>9</v>
      </c>
      <c r="B13" s="129" t="s">
        <v>198</v>
      </c>
      <c r="C13" s="129"/>
      <c r="D13" s="129"/>
      <c r="E13" s="114"/>
      <c r="F13" s="114" t="s">
        <v>63</v>
      </c>
      <c r="G13" s="114"/>
      <c r="H13" s="114">
        <v>2</v>
      </c>
      <c r="I13" s="130">
        <f t="shared" si="0"/>
        <v>0.5</v>
      </c>
      <c r="J13" s="125">
        <f t="shared" si="1"/>
        <v>0.5</v>
      </c>
    </row>
    <row r="14" spans="1:10" ht="60" customHeight="1">
      <c r="A14" s="56">
        <v>10</v>
      </c>
      <c r="B14" s="129" t="s">
        <v>199</v>
      </c>
      <c r="C14" s="129"/>
      <c r="D14" s="129"/>
      <c r="E14" s="114"/>
      <c r="F14" s="114" t="s">
        <v>63</v>
      </c>
      <c r="G14" s="114"/>
      <c r="H14" s="114">
        <v>6</v>
      </c>
      <c r="I14" s="130">
        <f t="shared" si="0"/>
        <v>1.5</v>
      </c>
      <c r="J14" s="125">
        <f t="shared" si="1"/>
        <v>1.5</v>
      </c>
    </row>
    <row r="15" spans="1:10" ht="15" customHeight="1">
      <c r="A15" s="93" t="s">
        <v>71</v>
      </c>
      <c r="B15" s="93"/>
      <c r="C15" s="93"/>
      <c r="D15" s="93"/>
      <c r="E15" s="93"/>
      <c r="F15" s="93"/>
      <c r="G15" s="93"/>
      <c r="H15" s="93"/>
      <c r="I15" s="32">
        <f>SUM(I5:I14)</f>
        <v>10</v>
      </c>
      <c r="J15" s="15">
        <f>SUM(J5:J14)</f>
        <v>7.5</v>
      </c>
    </row>
  </sheetData>
  <mergeCells count="18">
    <mergeCell ref="B11:D11"/>
    <mergeCell ref="B12:D12"/>
    <mergeCell ref="B13:D13"/>
    <mergeCell ref="B14:D14"/>
    <mergeCell ref="A15:H15"/>
    <mergeCell ref="B10:D10"/>
    <mergeCell ref="A3:B3"/>
    <mergeCell ref="B4:D4"/>
    <mergeCell ref="B5:D5"/>
    <mergeCell ref="B6:D6"/>
    <mergeCell ref="B7:D7"/>
    <mergeCell ref="B8:D8"/>
    <mergeCell ref="B9:D9"/>
    <mergeCell ref="A1:B1"/>
    <mergeCell ref="A2:B2"/>
    <mergeCell ref="C1:J1"/>
    <mergeCell ref="C2:J2"/>
    <mergeCell ref="E3:J3"/>
  </mergeCell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B71B2-C9CD-4523-AEE5-CF6537B6785D}">
  <sheetPr>
    <tabColor rgb="FF00B050"/>
  </sheetPr>
  <dimension ref="A1:J20"/>
  <sheetViews>
    <sheetView workbookViewId="0">
      <selection activeCell="B8" sqref="A1:J20"/>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44</v>
      </c>
      <c r="D2" s="74"/>
      <c r="E2" s="74"/>
      <c r="F2" s="74"/>
      <c r="G2" s="74"/>
      <c r="H2" s="74"/>
      <c r="I2" s="74"/>
      <c r="J2" s="75"/>
    </row>
    <row r="3" spans="1:10" ht="30">
      <c r="A3" s="70" t="s">
        <v>81</v>
      </c>
      <c r="B3" s="70"/>
      <c r="C3" s="18" t="s">
        <v>200</v>
      </c>
      <c r="D3" s="55" t="s">
        <v>201</v>
      </c>
      <c r="E3" s="122" t="s">
        <v>202</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7.25" customHeight="1">
      <c r="A5" s="52">
        <v>1</v>
      </c>
      <c r="B5" s="122" t="s">
        <v>203</v>
      </c>
      <c r="C5" s="122"/>
      <c r="D5" s="122"/>
      <c r="E5" s="123"/>
      <c r="F5" s="123" t="s">
        <v>63</v>
      </c>
      <c r="G5" s="123"/>
      <c r="H5" s="123">
        <v>10</v>
      </c>
      <c r="I5" s="124">
        <f>(H5*10)/SUM($H$5:$H$19)</f>
        <v>1.3513513513513513</v>
      </c>
      <c r="J5" s="125">
        <f>IF(F5="X",((H5*10)/SUM($H$5:$H$19)),0)</f>
        <v>1.3513513513513513</v>
      </c>
    </row>
    <row r="6" spans="1:10" ht="47.25" customHeight="1">
      <c r="A6" s="52">
        <v>2</v>
      </c>
      <c r="B6" s="122" t="s">
        <v>204</v>
      </c>
      <c r="C6" s="122"/>
      <c r="D6" s="122"/>
      <c r="E6" s="123"/>
      <c r="F6" s="123" t="s">
        <v>63</v>
      </c>
      <c r="G6" s="123"/>
      <c r="H6" s="123">
        <v>6</v>
      </c>
      <c r="I6" s="124">
        <f t="shared" ref="I6:I19" si="0">(H6*10)/SUM($H$5:$H$19)</f>
        <v>0.81081081081081086</v>
      </c>
      <c r="J6" s="125">
        <f t="shared" ref="J6:J19" si="1">IF(F6="X",((H6*10)/SUM($H$5:$H$19)),0)</f>
        <v>0.81081081081081086</v>
      </c>
    </row>
    <row r="7" spans="1:10" ht="31.5" customHeight="1">
      <c r="A7" s="52">
        <v>3</v>
      </c>
      <c r="B7" s="122" t="s">
        <v>205</v>
      </c>
      <c r="C7" s="122"/>
      <c r="D7" s="122"/>
      <c r="E7" s="123"/>
      <c r="F7" s="123" t="s">
        <v>63</v>
      </c>
      <c r="G7" s="123"/>
      <c r="H7" s="123">
        <v>10</v>
      </c>
      <c r="I7" s="124">
        <f t="shared" si="0"/>
        <v>1.3513513513513513</v>
      </c>
      <c r="J7" s="125">
        <f t="shared" si="1"/>
        <v>1.3513513513513513</v>
      </c>
    </row>
    <row r="8" spans="1:10" ht="47.25" customHeight="1">
      <c r="A8" s="52">
        <v>4</v>
      </c>
      <c r="B8" s="122" t="s">
        <v>206</v>
      </c>
      <c r="C8" s="122"/>
      <c r="D8" s="122"/>
      <c r="E8" s="123"/>
      <c r="F8" s="123" t="s">
        <v>63</v>
      </c>
      <c r="G8" s="123"/>
      <c r="H8" s="123">
        <v>10</v>
      </c>
      <c r="I8" s="124">
        <f t="shared" si="0"/>
        <v>1.3513513513513513</v>
      </c>
      <c r="J8" s="125">
        <f t="shared" si="1"/>
        <v>1.3513513513513513</v>
      </c>
    </row>
    <row r="9" spans="1:10" ht="47.25" customHeight="1">
      <c r="A9" s="52">
        <v>5</v>
      </c>
      <c r="B9" s="122" t="s">
        <v>207</v>
      </c>
      <c r="C9" s="122"/>
      <c r="D9" s="122"/>
      <c r="E9" s="123"/>
      <c r="F9" s="123" t="s">
        <v>63</v>
      </c>
      <c r="G9" s="123"/>
      <c r="H9" s="123">
        <v>6</v>
      </c>
      <c r="I9" s="124">
        <f t="shared" si="0"/>
        <v>0.81081081081081086</v>
      </c>
      <c r="J9" s="125">
        <f t="shared" si="1"/>
        <v>0.81081081081081086</v>
      </c>
    </row>
    <row r="10" spans="1:10" ht="31.5" customHeight="1">
      <c r="A10" s="52">
        <v>6</v>
      </c>
      <c r="B10" s="122" t="s">
        <v>208</v>
      </c>
      <c r="C10" s="122"/>
      <c r="D10" s="122"/>
      <c r="E10" s="123"/>
      <c r="F10" s="123" t="s">
        <v>63</v>
      </c>
      <c r="G10" s="123"/>
      <c r="H10" s="123">
        <v>2</v>
      </c>
      <c r="I10" s="124">
        <f t="shared" si="0"/>
        <v>0.27027027027027029</v>
      </c>
      <c r="J10" s="125">
        <f t="shared" si="1"/>
        <v>0.27027027027027029</v>
      </c>
    </row>
    <row r="11" spans="1:10" ht="47.25" customHeight="1">
      <c r="A11" s="52">
        <v>7</v>
      </c>
      <c r="B11" s="122" t="s">
        <v>209</v>
      </c>
      <c r="C11" s="122"/>
      <c r="D11" s="122"/>
      <c r="E11" s="123" t="s">
        <v>63</v>
      </c>
      <c r="F11" s="123"/>
      <c r="G11" s="123"/>
      <c r="H11" s="123">
        <v>6</v>
      </c>
      <c r="I11" s="124">
        <f t="shared" si="0"/>
        <v>0.81081081081081086</v>
      </c>
      <c r="J11" s="125">
        <f t="shared" si="1"/>
        <v>0</v>
      </c>
    </row>
    <row r="12" spans="1:10" ht="47.25" customHeight="1">
      <c r="A12" s="52">
        <v>8</v>
      </c>
      <c r="B12" s="122" t="s">
        <v>210</v>
      </c>
      <c r="C12" s="122"/>
      <c r="D12" s="122"/>
      <c r="E12" s="123" t="s">
        <v>63</v>
      </c>
      <c r="F12" s="123"/>
      <c r="G12" s="123"/>
      <c r="H12" s="123">
        <v>2</v>
      </c>
      <c r="I12" s="124">
        <f t="shared" si="0"/>
        <v>0.27027027027027029</v>
      </c>
      <c r="J12" s="125">
        <f t="shared" si="1"/>
        <v>0</v>
      </c>
    </row>
    <row r="13" spans="1:10" ht="45" customHeight="1">
      <c r="A13" s="52">
        <v>9</v>
      </c>
      <c r="B13" s="122" t="s">
        <v>211</v>
      </c>
      <c r="C13" s="122"/>
      <c r="D13" s="122"/>
      <c r="E13" s="123"/>
      <c r="F13" s="123" t="s">
        <v>63</v>
      </c>
      <c r="G13" s="123"/>
      <c r="H13" s="123">
        <v>2</v>
      </c>
      <c r="I13" s="124">
        <f t="shared" si="0"/>
        <v>0.27027027027027029</v>
      </c>
      <c r="J13" s="125">
        <f t="shared" si="1"/>
        <v>0.27027027027027029</v>
      </c>
    </row>
    <row r="14" spans="1:10" ht="31.5" customHeight="1">
      <c r="A14" s="52">
        <v>10</v>
      </c>
      <c r="B14" s="122" t="s">
        <v>212</v>
      </c>
      <c r="C14" s="122"/>
      <c r="D14" s="122"/>
      <c r="E14" s="123"/>
      <c r="F14" s="123" t="s">
        <v>63</v>
      </c>
      <c r="G14" s="123"/>
      <c r="H14" s="123">
        <v>2</v>
      </c>
      <c r="I14" s="124">
        <f t="shared" si="0"/>
        <v>0.27027027027027029</v>
      </c>
      <c r="J14" s="125">
        <f t="shared" si="1"/>
        <v>0.27027027027027029</v>
      </c>
    </row>
    <row r="15" spans="1:10" ht="43.5" customHeight="1">
      <c r="A15" s="52">
        <v>11</v>
      </c>
      <c r="B15" s="122" t="s">
        <v>213</v>
      </c>
      <c r="C15" s="122"/>
      <c r="D15" s="122"/>
      <c r="E15" s="123"/>
      <c r="F15" s="123" t="s">
        <v>63</v>
      </c>
      <c r="G15" s="123"/>
      <c r="H15" s="123">
        <v>2</v>
      </c>
      <c r="I15" s="124">
        <f t="shared" si="0"/>
        <v>0.27027027027027029</v>
      </c>
      <c r="J15" s="125">
        <f t="shared" si="1"/>
        <v>0.27027027027027029</v>
      </c>
    </row>
    <row r="16" spans="1:10" ht="31.5" customHeight="1">
      <c r="A16" s="52">
        <v>12</v>
      </c>
      <c r="B16" s="122" t="s">
        <v>214</v>
      </c>
      <c r="C16" s="122"/>
      <c r="D16" s="122"/>
      <c r="E16" s="123"/>
      <c r="F16" s="123" t="s">
        <v>63</v>
      </c>
      <c r="G16" s="123"/>
      <c r="H16" s="123">
        <v>6</v>
      </c>
      <c r="I16" s="124">
        <f t="shared" si="0"/>
        <v>0.81081081081081086</v>
      </c>
      <c r="J16" s="125">
        <f t="shared" si="1"/>
        <v>0.81081081081081086</v>
      </c>
    </row>
    <row r="17" spans="1:10" ht="47.25" customHeight="1">
      <c r="A17" s="52">
        <v>13</v>
      </c>
      <c r="B17" s="122" t="s">
        <v>215</v>
      </c>
      <c r="C17" s="122"/>
      <c r="D17" s="122"/>
      <c r="E17" s="123"/>
      <c r="F17" s="123" t="s">
        <v>63</v>
      </c>
      <c r="G17" s="123"/>
      <c r="H17" s="123">
        <v>6</v>
      </c>
      <c r="I17" s="124">
        <f t="shared" si="0"/>
        <v>0.81081081081081086</v>
      </c>
      <c r="J17" s="125">
        <f t="shared" si="1"/>
        <v>0.81081081081081086</v>
      </c>
    </row>
    <row r="18" spans="1:10" ht="31.5" customHeight="1">
      <c r="A18" s="52">
        <v>14</v>
      </c>
      <c r="B18" s="122" t="s">
        <v>216</v>
      </c>
      <c r="C18" s="122"/>
      <c r="D18" s="122"/>
      <c r="E18" s="123" t="s">
        <v>63</v>
      </c>
      <c r="F18" s="123"/>
      <c r="G18" s="123"/>
      <c r="H18" s="123">
        <v>2</v>
      </c>
      <c r="I18" s="124">
        <f t="shared" si="0"/>
        <v>0.27027027027027029</v>
      </c>
      <c r="J18" s="125">
        <f t="shared" si="1"/>
        <v>0</v>
      </c>
    </row>
    <row r="19" spans="1:10" ht="47.25" customHeight="1">
      <c r="A19" s="52">
        <v>15</v>
      </c>
      <c r="B19" s="122" t="s">
        <v>217</v>
      </c>
      <c r="C19" s="122"/>
      <c r="D19" s="122"/>
      <c r="E19" s="123"/>
      <c r="F19" s="123" t="s">
        <v>63</v>
      </c>
      <c r="G19" s="123"/>
      <c r="H19" s="123">
        <v>2</v>
      </c>
      <c r="I19" s="124">
        <f t="shared" si="0"/>
        <v>0.27027027027027029</v>
      </c>
      <c r="J19" s="125">
        <f t="shared" si="1"/>
        <v>0.27027027027027029</v>
      </c>
    </row>
    <row r="20" spans="1:10" ht="15" customHeight="1">
      <c r="A20" s="83" t="s">
        <v>71</v>
      </c>
      <c r="B20" s="83"/>
      <c r="C20" s="83"/>
      <c r="D20" s="83"/>
      <c r="E20" s="83"/>
      <c r="F20" s="83"/>
      <c r="G20" s="83"/>
      <c r="H20" s="83"/>
      <c r="I20" s="28">
        <f>SUM(I5:I19)</f>
        <v>9.9999999999999982</v>
      </c>
      <c r="J20" s="19">
        <f>SUM(J5:J19)</f>
        <v>8.6486486486486474</v>
      </c>
    </row>
  </sheetData>
  <mergeCells count="23">
    <mergeCell ref="A20:H20"/>
    <mergeCell ref="B10:D10"/>
    <mergeCell ref="B19:D19"/>
    <mergeCell ref="B8:D8"/>
    <mergeCell ref="B9:D9"/>
    <mergeCell ref="B17:D17"/>
    <mergeCell ref="B18:D18"/>
    <mergeCell ref="B15:D15"/>
    <mergeCell ref="B16:D16"/>
    <mergeCell ref="B4:D4"/>
    <mergeCell ref="B5:D5"/>
    <mergeCell ref="B6:D6"/>
    <mergeCell ref="B7:D7"/>
    <mergeCell ref="B14:D14"/>
    <mergeCell ref="B11:D11"/>
    <mergeCell ref="B12:D12"/>
    <mergeCell ref="B13:D13"/>
    <mergeCell ref="A1:B1"/>
    <mergeCell ref="A2:B2"/>
    <mergeCell ref="C1:J1"/>
    <mergeCell ref="C2:J2"/>
    <mergeCell ref="E3:J3"/>
    <mergeCell ref="A3:B3"/>
  </mergeCell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5C017-F006-43EF-B94E-0C805DC894D4}">
  <sheetPr>
    <tabColor rgb="FF00B050"/>
  </sheetPr>
  <dimension ref="A1:J14"/>
  <sheetViews>
    <sheetView workbookViewId="0">
      <selection activeCell="B7" sqref="A1:J14"/>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44</v>
      </c>
      <c r="D2" s="74"/>
      <c r="E2" s="74"/>
      <c r="F2" s="74"/>
      <c r="G2" s="74"/>
      <c r="H2" s="74"/>
      <c r="I2" s="74"/>
      <c r="J2" s="75"/>
    </row>
    <row r="3" spans="1:10" ht="60">
      <c r="A3" s="70" t="s">
        <v>81</v>
      </c>
      <c r="B3" s="70"/>
      <c r="C3" s="18" t="s">
        <v>283</v>
      </c>
      <c r="D3" s="55" t="s">
        <v>284</v>
      </c>
      <c r="E3" s="122" t="s">
        <v>285</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31.5" customHeight="1">
      <c r="A5" s="52">
        <v>1</v>
      </c>
      <c r="B5" s="122" t="s">
        <v>286</v>
      </c>
      <c r="C5" s="122"/>
      <c r="D5" s="122"/>
      <c r="E5" s="123"/>
      <c r="F5" s="123" t="s">
        <v>63</v>
      </c>
      <c r="G5" s="123"/>
      <c r="H5" s="123">
        <v>10</v>
      </c>
      <c r="I5" s="124">
        <f>(H5*10)/SUM($H$5:$H$13)</f>
        <v>1.4285714285714286</v>
      </c>
      <c r="J5" s="125">
        <f>IF(F5="X",((H5*10)/SUM($H$5:$H$13)),0)</f>
        <v>1.4285714285714286</v>
      </c>
    </row>
    <row r="6" spans="1:10" ht="31.5" customHeight="1">
      <c r="A6" s="52">
        <v>2</v>
      </c>
      <c r="B6" s="122" t="s">
        <v>99</v>
      </c>
      <c r="C6" s="122"/>
      <c r="D6" s="122"/>
      <c r="E6" s="123"/>
      <c r="F6" s="123" t="s">
        <v>63</v>
      </c>
      <c r="G6" s="123"/>
      <c r="H6" s="123">
        <v>6</v>
      </c>
      <c r="I6" s="124">
        <f t="shared" ref="I6:I13" si="0">(H6*10)/SUM($H$5:$H$13)</f>
        <v>0.8571428571428571</v>
      </c>
      <c r="J6" s="125">
        <f t="shared" ref="J6:J13" si="1">IF(F6="X",((H6*10)/SUM($H$5:$H$13)),0)</f>
        <v>0.8571428571428571</v>
      </c>
    </row>
    <row r="7" spans="1:10" ht="31.5" customHeight="1">
      <c r="A7" s="52">
        <v>3</v>
      </c>
      <c r="B7" s="122" t="s">
        <v>287</v>
      </c>
      <c r="C7" s="122"/>
      <c r="D7" s="122"/>
      <c r="E7" s="123"/>
      <c r="F7" s="123" t="s">
        <v>63</v>
      </c>
      <c r="G7" s="123"/>
      <c r="H7" s="123">
        <v>10</v>
      </c>
      <c r="I7" s="124">
        <f t="shared" si="0"/>
        <v>1.4285714285714286</v>
      </c>
      <c r="J7" s="125">
        <f t="shared" si="1"/>
        <v>1.4285714285714286</v>
      </c>
    </row>
    <row r="8" spans="1:10" ht="31.5" customHeight="1">
      <c r="A8" s="52">
        <v>4</v>
      </c>
      <c r="B8" s="122" t="s">
        <v>241</v>
      </c>
      <c r="C8" s="122"/>
      <c r="D8" s="122"/>
      <c r="E8" s="123"/>
      <c r="F8" s="123" t="s">
        <v>63</v>
      </c>
      <c r="G8" s="123"/>
      <c r="H8" s="123">
        <v>10</v>
      </c>
      <c r="I8" s="124">
        <f t="shared" si="0"/>
        <v>1.4285714285714286</v>
      </c>
      <c r="J8" s="125">
        <f t="shared" si="1"/>
        <v>1.4285714285714286</v>
      </c>
    </row>
    <row r="9" spans="1:10" ht="31.5" customHeight="1">
      <c r="A9" s="52">
        <v>5</v>
      </c>
      <c r="B9" s="122" t="s">
        <v>288</v>
      </c>
      <c r="C9" s="122"/>
      <c r="D9" s="122"/>
      <c r="E9" s="123"/>
      <c r="F9" s="123" t="s">
        <v>63</v>
      </c>
      <c r="G9" s="123"/>
      <c r="H9" s="123">
        <v>10</v>
      </c>
      <c r="I9" s="124">
        <f t="shared" si="0"/>
        <v>1.4285714285714286</v>
      </c>
      <c r="J9" s="125">
        <f t="shared" si="1"/>
        <v>1.4285714285714286</v>
      </c>
    </row>
    <row r="10" spans="1:10" ht="45.75" customHeight="1">
      <c r="A10" s="52">
        <v>6</v>
      </c>
      <c r="B10" s="122" t="s">
        <v>289</v>
      </c>
      <c r="C10" s="122"/>
      <c r="D10" s="122"/>
      <c r="E10" s="123"/>
      <c r="F10" s="123" t="s">
        <v>63</v>
      </c>
      <c r="G10" s="123"/>
      <c r="H10" s="123">
        <v>10</v>
      </c>
      <c r="I10" s="124">
        <f t="shared" si="0"/>
        <v>1.4285714285714286</v>
      </c>
      <c r="J10" s="125">
        <f t="shared" si="1"/>
        <v>1.4285714285714286</v>
      </c>
    </row>
    <row r="11" spans="1:10" ht="45" customHeight="1">
      <c r="A11" s="52">
        <v>7</v>
      </c>
      <c r="B11" s="122" t="s">
        <v>290</v>
      </c>
      <c r="C11" s="122"/>
      <c r="D11" s="122"/>
      <c r="E11" s="123"/>
      <c r="F11" s="123" t="s">
        <v>63</v>
      </c>
      <c r="G11" s="123"/>
      <c r="H11" s="123">
        <v>6</v>
      </c>
      <c r="I11" s="124">
        <f t="shared" si="0"/>
        <v>0.8571428571428571</v>
      </c>
      <c r="J11" s="125">
        <f t="shared" si="1"/>
        <v>0.8571428571428571</v>
      </c>
    </row>
    <row r="12" spans="1:10" ht="43.5" customHeight="1">
      <c r="A12" s="52">
        <v>8</v>
      </c>
      <c r="B12" s="122" t="s">
        <v>291</v>
      </c>
      <c r="C12" s="122"/>
      <c r="D12" s="122"/>
      <c r="E12" s="123"/>
      <c r="F12" s="123" t="s">
        <v>63</v>
      </c>
      <c r="G12" s="123"/>
      <c r="H12" s="123">
        <v>6</v>
      </c>
      <c r="I12" s="124">
        <f t="shared" si="0"/>
        <v>0.8571428571428571</v>
      </c>
      <c r="J12" s="125">
        <f t="shared" si="1"/>
        <v>0.8571428571428571</v>
      </c>
    </row>
    <row r="13" spans="1:10" ht="31.5" customHeight="1">
      <c r="A13" s="52">
        <v>9</v>
      </c>
      <c r="B13" s="122" t="s">
        <v>208</v>
      </c>
      <c r="C13" s="122"/>
      <c r="D13" s="122"/>
      <c r="E13" s="123"/>
      <c r="F13" s="123" t="s">
        <v>63</v>
      </c>
      <c r="G13" s="123"/>
      <c r="H13" s="123">
        <v>2</v>
      </c>
      <c r="I13" s="124">
        <f t="shared" si="0"/>
        <v>0.2857142857142857</v>
      </c>
      <c r="J13" s="125">
        <f t="shared" si="1"/>
        <v>0.2857142857142857</v>
      </c>
    </row>
    <row r="14" spans="1:10" ht="15" customHeight="1">
      <c r="A14" s="83" t="s">
        <v>71</v>
      </c>
      <c r="B14" s="83"/>
      <c r="C14" s="83"/>
      <c r="D14" s="83"/>
      <c r="E14" s="83"/>
      <c r="F14" s="83"/>
      <c r="G14" s="83"/>
      <c r="H14" s="83"/>
      <c r="I14" s="28">
        <f>SUM(I5:I13)</f>
        <v>10.000000000000002</v>
      </c>
      <c r="J14" s="19">
        <f>SUM(J5:J13)</f>
        <v>10.000000000000002</v>
      </c>
    </row>
  </sheetData>
  <mergeCells count="17">
    <mergeCell ref="B13:D13"/>
    <mergeCell ref="B12:D12"/>
    <mergeCell ref="A14:H14"/>
    <mergeCell ref="B11:D11"/>
    <mergeCell ref="B10:D10"/>
    <mergeCell ref="B9:D9"/>
    <mergeCell ref="E3:J3"/>
    <mergeCell ref="A3:B3"/>
    <mergeCell ref="B4:D4"/>
    <mergeCell ref="B5:D5"/>
    <mergeCell ref="B6:D6"/>
    <mergeCell ref="B7:D7"/>
    <mergeCell ref="A1:B1"/>
    <mergeCell ref="A2:B2"/>
    <mergeCell ref="C1:J1"/>
    <mergeCell ref="C2:J2"/>
    <mergeCell ref="B8:D8"/>
  </mergeCell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C0E21-03FD-4740-826A-EEB1852D4049}">
  <sheetPr>
    <tabColor rgb="FF00B050"/>
  </sheetPr>
  <dimension ref="A1:J18"/>
  <sheetViews>
    <sheetView workbookViewId="0">
      <selection activeCell="B7" sqref="A1:J18"/>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44</v>
      </c>
      <c r="D2" s="74"/>
      <c r="E2" s="74"/>
      <c r="F2" s="74"/>
      <c r="G2" s="74"/>
      <c r="H2" s="74"/>
      <c r="I2" s="74"/>
      <c r="J2" s="75"/>
    </row>
    <row r="3" spans="1:10" ht="90">
      <c r="A3" s="70" t="s">
        <v>81</v>
      </c>
      <c r="B3" s="70"/>
      <c r="C3" s="18" t="s">
        <v>283</v>
      </c>
      <c r="D3" s="55" t="s">
        <v>292</v>
      </c>
      <c r="E3" s="122" t="s">
        <v>293</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7.25" customHeight="1">
      <c r="A5" s="52">
        <v>1</v>
      </c>
      <c r="B5" s="122" t="s">
        <v>294</v>
      </c>
      <c r="C5" s="122"/>
      <c r="D5" s="122"/>
      <c r="E5" s="123"/>
      <c r="F5" s="123" t="s">
        <v>63</v>
      </c>
      <c r="G5" s="123"/>
      <c r="H5" s="123">
        <v>10</v>
      </c>
      <c r="I5" s="124">
        <f>(H5*10)/SUM($H$5:$H$17)</f>
        <v>1.0204081632653061</v>
      </c>
      <c r="J5" s="125">
        <f>IF(F5="X",((H5*10)/SUM($H$5:$H$17)),0)</f>
        <v>1.0204081632653061</v>
      </c>
    </row>
    <row r="6" spans="1:10" ht="31.5" customHeight="1">
      <c r="A6" s="52">
        <v>2</v>
      </c>
      <c r="B6" s="122" t="s">
        <v>295</v>
      </c>
      <c r="C6" s="122"/>
      <c r="D6" s="122"/>
      <c r="E6" s="123"/>
      <c r="F6" s="123" t="s">
        <v>63</v>
      </c>
      <c r="G6" s="123"/>
      <c r="H6" s="123">
        <v>6</v>
      </c>
      <c r="I6" s="124">
        <f t="shared" ref="I6:I17" si="0">(H6*10)/SUM($H$5:$H$17)</f>
        <v>0.61224489795918369</v>
      </c>
      <c r="J6" s="125">
        <f t="shared" ref="J6:J17" si="1">IF(F6="X",((H6*10)/SUM($H$5:$H$17)),0)</f>
        <v>0.61224489795918369</v>
      </c>
    </row>
    <row r="7" spans="1:10" ht="47.25" customHeight="1">
      <c r="A7" s="52">
        <v>3</v>
      </c>
      <c r="B7" s="122" t="s">
        <v>296</v>
      </c>
      <c r="C7" s="122"/>
      <c r="D7" s="122"/>
      <c r="E7" s="123"/>
      <c r="F7" s="123" t="s">
        <v>63</v>
      </c>
      <c r="G7" s="123"/>
      <c r="H7" s="123">
        <v>10</v>
      </c>
      <c r="I7" s="124">
        <f t="shared" si="0"/>
        <v>1.0204081632653061</v>
      </c>
      <c r="J7" s="125">
        <f t="shared" si="1"/>
        <v>1.0204081632653061</v>
      </c>
    </row>
    <row r="8" spans="1:10" ht="31.5" customHeight="1">
      <c r="A8" s="52">
        <v>4</v>
      </c>
      <c r="B8" s="122" t="s">
        <v>297</v>
      </c>
      <c r="C8" s="122"/>
      <c r="D8" s="122"/>
      <c r="E8" s="123"/>
      <c r="F8" s="123" t="s">
        <v>63</v>
      </c>
      <c r="G8" s="123"/>
      <c r="H8" s="123">
        <v>10</v>
      </c>
      <c r="I8" s="124">
        <f t="shared" si="0"/>
        <v>1.0204081632653061</v>
      </c>
      <c r="J8" s="125">
        <f t="shared" si="1"/>
        <v>1.0204081632653061</v>
      </c>
    </row>
    <row r="9" spans="1:10" ht="47.25" customHeight="1">
      <c r="A9" s="52">
        <v>5</v>
      </c>
      <c r="B9" s="122" t="s">
        <v>298</v>
      </c>
      <c r="C9" s="122"/>
      <c r="D9" s="122"/>
      <c r="E9" s="123"/>
      <c r="F9" s="123" t="s">
        <v>63</v>
      </c>
      <c r="G9" s="123"/>
      <c r="H9" s="123">
        <v>10</v>
      </c>
      <c r="I9" s="124">
        <f t="shared" si="0"/>
        <v>1.0204081632653061</v>
      </c>
      <c r="J9" s="125">
        <f t="shared" si="1"/>
        <v>1.0204081632653061</v>
      </c>
    </row>
    <row r="10" spans="1:10" ht="60" customHeight="1">
      <c r="A10" s="52">
        <v>6</v>
      </c>
      <c r="B10" s="122" t="s">
        <v>299</v>
      </c>
      <c r="C10" s="122"/>
      <c r="D10" s="122"/>
      <c r="E10" s="123"/>
      <c r="F10" s="123" t="s">
        <v>63</v>
      </c>
      <c r="G10" s="123"/>
      <c r="H10" s="123">
        <v>10</v>
      </c>
      <c r="I10" s="124">
        <f t="shared" si="0"/>
        <v>1.0204081632653061</v>
      </c>
      <c r="J10" s="125">
        <f t="shared" si="1"/>
        <v>1.0204081632653061</v>
      </c>
    </row>
    <row r="11" spans="1:10" ht="59.25" customHeight="1">
      <c r="A11" s="52">
        <v>7</v>
      </c>
      <c r="B11" s="122" t="s">
        <v>300</v>
      </c>
      <c r="C11" s="122"/>
      <c r="D11" s="122"/>
      <c r="E11" s="123"/>
      <c r="F11" s="123" t="s">
        <v>63</v>
      </c>
      <c r="G11" s="123"/>
      <c r="H11" s="123">
        <v>10</v>
      </c>
      <c r="I11" s="124">
        <f t="shared" si="0"/>
        <v>1.0204081632653061</v>
      </c>
      <c r="J11" s="125">
        <f t="shared" si="1"/>
        <v>1.0204081632653061</v>
      </c>
    </row>
    <row r="12" spans="1:10" ht="47.25" customHeight="1">
      <c r="A12" s="52">
        <v>8</v>
      </c>
      <c r="B12" s="122" t="s">
        <v>301</v>
      </c>
      <c r="C12" s="122"/>
      <c r="D12" s="122"/>
      <c r="E12" s="123"/>
      <c r="F12" s="123" t="s">
        <v>63</v>
      </c>
      <c r="G12" s="123"/>
      <c r="H12" s="123">
        <v>2</v>
      </c>
      <c r="I12" s="124">
        <f t="shared" si="0"/>
        <v>0.20408163265306123</v>
      </c>
      <c r="J12" s="125">
        <f t="shared" si="1"/>
        <v>0.20408163265306123</v>
      </c>
    </row>
    <row r="13" spans="1:10" ht="31.5" customHeight="1">
      <c r="A13" s="52">
        <v>9</v>
      </c>
      <c r="B13" s="122" t="s">
        <v>302</v>
      </c>
      <c r="C13" s="122"/>
      <c r="D13" s="122"/>
      <c r="E13" s="123"/>
      <c r="F13" s="123" t="s">
        <v>63</v>
      </c>
      <c r="G13" s="123"/>
      <c r="H13" s="123">
        <v>6</v>
      </c>
      <c r="I13" s="124">
        <f t="shared" si="0"/>
        <v>0.61224489795918369</v>
      </c>
      <c r="J13" s="125">
        <f t="shared" si="1"/>
        <v>0.61224489795918369</v>
      </c>
    </row>
    <row r="14" spans="1:10" ht="60" customHeight="1">
      <c r="A14" s="52">
        <v>10</v>
      </c>
      <c r="B14" s="122" t="s">
        <v>303</v>
      </c>
      <c r="C14" s="122"/>
      <c r="D14" s="122"/>
      <c r="E14" s="123" t="s">
        <v>63</v>
      </c>
      <c r="F14" s="123"/>
      <c r="G14" s="123"/>
      <c r="H14" s="123">
        <v>10</v>
      </c>
      <c r="I14" s="124">
        <f t="shared" si="0"/>
        <v>1.0204081632653061</v>
      </c>
      <c r="J14" s="125">
        <f t="shared" si="1"/>
        <v>0</v>
      </c>
    </row>
    <row r="15" spans="1:10" ht="31.5" customHeight="1">
      <c r="A15" s="52">
        <v>11</v>
      </c>
      <c r="B15" s="122" t="s">
        <v>304</v>
      </c>
      <c r="C15" s="122"/>
      <c r="D15" s="122"/>
      <c r="E15" s="123"/>
      <c r="F15" s="123" t="s">
        <v>63</v>
      </c>
      <c r="G15" s="123"/>
      <c r="H15" s="123">
        <v>6</v>
      </c>
      <c r="I15" s="124">
        <f t="shared" si="0"/>
        <v>0.61224489795918369</v>
      </c>
      <c r="J15" s="125">
        <f t="shared" si="1"/>
        <v>0.61224489795918369</v>
      </c>
    </row>
    <row r="16" spans="1:10" ht="31.5" customHeight="1">
      <c r="A16" s="52">
        <v>12</v>
      </c>
      <c r="B16" s="122" t="s">
        <v>305</v>
      </c>
      <c r="C16" s="122"/>
      <c r="D16" s="122"/>
      <c r="E16" s="123"/>
      <c r="F16" s="123" t="s">
        <v>63</v>
      </c>
      <c r="G16" s="123"/>
      <c r="H16" s="123">
        <v>2</v>
      </c>
      <c r="I16" s="124">
        <f t="shared" si="0"/>
        <v>0.20408163265306123</v>
      </c>
      <c r="J16" s="125">
        <f t="shared" si="1"/>
        <v>0.20408163265306123</v>
      </c>
    </row>
    <row r="17" spans="1:10" ht="47.25" customHeight="1">
      <c r="A17" s="52">
        <v>13</v>
      </c>
      <c r="B17" s="122" t="s">
        <v>306</v>
      </c>
      <c r="C17" s="122"/>
      <c r="D17" s="122"/>
      <c r="E17" s="123"/>
      <c r="F17" s="123" t="s">
        <v>63</v>
      </c>
      <c r="G17" s="123"/>
      <c r="H17" s="123">
        <v>6</v>
      </c>
      <c r="I17" s="124">
        <f t="shared" si="0"/>
        <v>0.61224489795918369</v>
      </c>
      <c r="J17" s="125">
        <f t="shared" si="1"/>
        <v>0.61224489795918369</v>
      </c>
    </row>
    <row r="18" spans="1:10" ht="15" customHeight="1">
      <c r="A18" s="83" t="s">
        <v>71</v>
      </c>
      <c r="B18" s="83"/>
      <c r="C18" s="83"/>
      <c r="D18" s="83"/>
      <c r="E18" s="83"/>
      <c r="F18" s="83"/>
      <c r="G18" s="83"/>
      <c r="H18" s="83"/>
      <c r="I18" s="28">
        <f>SUM(I5:I17)</f>
        <v>9.9999999999999982</v>
      </c>
      <c r="J18" s="19">
        <f>SUM(J5:J17)</f>
        <v>8.9795918367346914</v>
      </c>
    </row>
  </sheetData>
  <mergeCells count="21">
    <mergeCell ref="B4:D4"/>
    <mergeCell ref="B5:D5"/>
    <mergeCell ref="B6:D6"/>
    <mergeCell ref="B7:D7"/>
    <mergeCell ref="A18:H18"/>
    <mergeCell ref="B10:D10"/>
    <mergeCell ref="B8:D8"/>
    <mergeCell ref="B9:D9"/>
    <mergeCell ref="B17:D17"/>
    <mergeCell ref="B11:D11"/>
    <mergeCell ref="B12:D12"/>
    <mergeCell ref="B13:D13"/>
    <mergeCell ref="B14:D14"/>
    <mergeCell ref="B15:D15"/>
    <mergeCell ref="B16:D16"/>
    <mergeCell ref="A1:B1"/>
    <mergeCell ref="A2:B2"/>
    <mergeCell ref="C1:J1"/>
    <mergeCell ref="C2:J2"/>
    <mergeCell ref="E3:J3"/>
    <mergeCell ref="A3:B3"/>
  </mergeCell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9823C-6563-4E4A-9676-CAFE4DDB995C}">
  <sheetPr>
    <tabColor rgb="FF00B050"/>
  </sheetPr>
  <dimension ref="A1:J13"/>
  <sheetViews>
    <sheetView workbookViewId="0">
      <selection activeCell="B6" sqref="A1:J13"/>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44</v>
      </c>
      <c r="D2" s="74"/>
      <c r="E2" s="74"/>
      <c r="F2" s="74"/>
      <c r="G2" s="74"/>
      <c r="H2" s="74"/>
      <c r="I2" s="74"/>
      <c r="J2" s="75"/>
    </row>
    <row r="3" spans="1:10" ht="75">
      <c r="A3" s="70" t="s">
        <v>81</v>
      </c>
      <c r="B3" s="70"/>
      <c r="C3" s="18" t="s">
        <v>283</v>
      </c>
      <c r="D3" s="55" t="s">
        <v>307</v>
      </c>
      <c r="E3" s="122" t="s">
        <v>308</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5.75" customHeight="1">
      <c r="A5" s="52">
        <v>1</v>
      </c>
      <c r="B5" s="122" t="s">
        <v>309</v>
      </c>
      <c r="C5" s="122"/>
      <c r="D5" s="122"/>
      <c r="E5" s="123"/>
      <c r="F5" s="123" t="s">
        <v>63</v>
      </c>
      <c r="G5" s="123"/>
      <c r="H5" s="123">
        <v>6</v>
      </c>
      <c r="I5" s="124">
        <f>(H5*10)/SUM($H$5:$H$12)</f>
        <v>1.3636363636363635</v>
      </c>
      <c r="J5" s="125">
        <f>IF(F5="X",((H5*10)/SUM($H$5:$H$12)),0)</f>
        <v>1.3636363636363635</v>
      </c>
    </row>
    <row r="6" spans="1:10" ht="31.5" customHeight="1">
      <c r="A6" s="52">
        <v>2</v>
      </c>
      <c r="B6" s="122" t="s">
        <v>310</v>
      </c>
      <c r="C6" s="122"/>
      <c r="D6" s="122"/>
      <c r="E6" s="123"/>
      <c r="F6" s="123" t="s">
        <v>63</v>
      </c>
      <c r="G6" s="123"/>
      <c r="H6" s="123">
        <v>10</v>
      </c>
      <c r="I6" s="124">
        <f t="shared" ref="I6:I12" si="0">(H6*10)/SUM($H$5:$H$12)</f>
        <v>2.2727272727272729</v>
      </c>
      <c r="J6" s="125">
        <f t="shared" ref="J6:J12" si="1">IF(F6="X",((H6*10)/SUM($H$5:$H$12)),0)</f>
        <v>2.2727272727272729</v>
      </c>
    </row>
    <row r="7" spans="1:10" ht="31.5" customHeight="1">
      <c r="A7" s="52">
        <v>3</v>
      </c>
      <c r="B7" s="122" t="s">
        <v>311</v>
      </c>
      <c r="C7" s="122"/>
      <c r="D7" s="122"/>
      <c r="E7" s="123"/>
      <c r="F7" s="123" t="s">
        <v>63</v>
      </c>
      <c r="G7" s="123"/>
      <c r="H7" s="123">
        <v>6</v>
      </c>
      <c r="I7" s="124">
        <f t="shared" si="0"/>
        <v>1.3636363636363635</v>
      </c>
      <c r="J7" s="125">
        <f t="shared" si="1"/>
        <v>1.3636363636363635</v>
      </c>
    </row>
    <row r="8" spans="1:10" ht="31.5" customHeight="1">
      <c r="A8" s="52">
        <v>4</v>
      </c>
      <c r="B8" s="122" t="s">
        <v>312</v>
      </c>
      <c r="C8" s="122"/>
      <c r="D8" s="122"/>
      <c r="E8" s="123"/>
      <c r="F8" s="123" t="s">
        <v>63</v>
      </c>
      <c r="G8" s="123"/>
      <c r="H8" s="123">
        <v>6</v>
      </c>
      <c r="I8" s="124">
        <f t="shared" si="0"/>
        <v>1.3636363636363635</v>
      </c>
      <c r="J8" s="125">
        <f t="shared" si="1"/>
        <v>1.3636363636363635</v>
      </c>
    </row>
    <row r="9" spans="1:10" ht="31.5" customHeight="1">
      <c r="A9" s="52">
        <v>5</v>
      </c>
      <c r="B9" s="122" t="s">
        <v>313</v>
      </c>
      <c r="C9" s="122"/>
      <c r="D9" s="122"/>
      <c r="E9" s="123"/>
      <c r="F9" s="123" t="s">
        <v>63</v>
      </c>
      <c r="G9" s="123"/>
      <c r="H9" s="123">
        <v>6</v>
      </c>
      <c r="I9" s="124">
        <f t="shared" si="0"/>
        <v>1.3636363636363635</v>
      </c>
      <c r="J9" s="125">
        <f t="shared" si="1"/>
        <v>1.3636363636363635</v>
      </c>
    </row>
    <row r="10" spans="1:10" ht="47.25" customHeight="1">
      <c r="A10" s="52">
        <v>6</v>
      </c>
      <c r="B10" s="122" t="s">
        <v>314</v>
      </c>
      <c r="C10" s="122"/>
      <c r="D10" s="122"/>
      <c r="E10" s="123" t="s">
        <v>63</v>
      </c>
      <c r="F10" s="123"/>
      <c r="G10" s="123"/>
      <c r="H10" s="123">
        <v>2</v>
      </c>
      <c r="I10" s="124">
        <f t="shared" si="0"/>
        <v>0.45454545454545453</v>
      </c>
      <c r="J10" s="125">
        <f t="shared" si="1"/>
        <v>0</v>
      </c>
    </row>
    <row r="11" spans="1:10" ht="31.5" customHeight="1">
      <c r="A11" s="52">
        <v>7</v>
      </c>
      <c r="B11" s="122" t="s">
        <v>315</v>
      </c>
      <c r="C11" s="122"/>
      <c r="D11" s="122"/>
      <c r="E11" s="123"/>
      <c r="F11" s="123" t="s">
        <v>63</v>
      </c>
      <c r="G11" s="123"/>
      <c r="H11" s="123">
        <v>2</v>
      </c>
      <c r="I11" s="124">
        <f t="shared" si="0"/>
        <v>0.45454545454545453</v>
      </c>
      <c r="J11" s="125">
        <f t="shared" si="1"/>
        <v>0.45454545454545453</v>
      </c>
    </row>
    <row r="12" spans="1:10" ht="44.25" customHeight="1">
      <c r="A12" s="52">
        <v>8</v>
      </c>
      <c r="B12" s="122" t="s">
        <v>316</v>
      </c>
      <c r="C12" s="122"/>
      <c r="D12" s="122"/>
      <c r="E12" s="123"/>
      <c r="F12" s="123" t="s">
        <v>63</v>
      </c>
      <c r="G12" s="123"/>
      <c r="H12" s="123">
        <v>6</v>
      </c>
      <c r="I12" s="124">
        <f t="shared" si="0"/>
        <v>1.3636363636363635</v>
      </c>
      <c r="J12" s="125">
        <f t="shared" si="1"/>
        <v>1.3636363636363635</v>
      </c>
    </row>
    <row r="13" spans="1:10" ht="15" customHeight="1">
      <c r="A13" s="83" t="s">
        <v>71</v>
      </c>
      <c r="B13" s="83"/>
      <c r="C13" s="83"/>
      <c r="D13" s="83"/>
      <c r="E13" s="83"/>
      <c r="F13" s="83"/>
      <c r="G13" s="83"/>
      <c r="H13" s="83"/>
      <c r="I13" s="19">
        <f>SUM(I5:I12)</f>
        <v>10</v>
      </c>
      <c r="J13" s="19">
        <f>SUM(J5:J12)</f>
        <v>9.545454545454545</v>
      </c>
    </row>
  </sheetData>
  <mergeCells count="16">
    <mergeCell ref="A13:H13"/>
    <mergeCell ref="A3:B3"/>
    <mergeCell ref="B4:D4"/>
    <mergeCell ref="B11:D11"/>
    <mergeCell ref="B12:D12"/>
    <mergeCell ref="E3:J3"/>
    <mergeCell ref="B5:D5"/>
    <mergeCell ref="B6:D6"/>
    <mergeCell ref="B7:D7"/>
    <mergeCell ref="B8:D8"/>
    <mergeCell ref="B9:D9"/>
    <mergeCell ref="A1:B1"/>
    <mergeCell ref="A2:B2"/>
    <mergeCell ref="C1:J1"/>
    <mergeCell ref="C2:J2"/>
    <mergeCell ref="B10:D10"/>
  </mergeCell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6732A-770C-40BC-91C3-9EBCEA1DD858}">
  <sheetPr>
    <tabColor rgb="FF00B050"/>
  </sheetPr>
  <dimension ref="A1:I15"/>
  <sheetViews>
    <sheetView workbookViewId="0">
      <selection activeCell="B6" sqref="A1:I15"/>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52</v>
      </c>
      <c r="D1" s="120"/>
      <c r="E1" s="120"/>
      <c r="F1" s="120"/>
      <c r="G1" s="120"/>
      <c r="H1" s="120"/>
      <c r="I1" s="121"/>
    </row>
    <row r="2" spans="1:9" ht="15">
      <c r="A2" s="70" t="s">
        <v>0</v>
      </c>
      <c r="B2" s="70"/>
      <c r="C2" s="84" t="s">
        <v>44</v>
      </c>
      <c r="D2" s="120"/>
      <c r="E2" s="120"/>
      <c r="F2" s="120"/>
      <c r="G2" s="120"/>
      <c r="H2" s="120"/>
      <c r="I2" s="121"/>
    </row>
    <row r="3" spans="1:9" ht="15">
      <c r="A3" s="70" t="s">
        <v>218</v>
      </c>
      <c r="B3" s="70"/>
      <c r="C3" s="55" t="s">
        <v>219</v>
      </c>
      <c r="D3" s="122">
        <v>130</v>
      </c>
      <c r="E3" s="122"/>
      <c r="F3" s="122"/>
      <c r="G3" s="122"/>
      <c r="H3" s="122"/>
      <c r="I3" s="122"/>
    </row>
    <row r="4" spans="1:9" ht="60">
      <c r="A4" s="52" t="s">
        <v>55</v>
      </c>
      <c r="B4" s="70" t="s">
        <v>56</v>
      </c>
      <c r="C4" s="70"/>
      <c r="D4" s="52" t="s">
        <v>24</v>
      </c>
      <c r="E4" s="52" t="s">
        <v>57</v>
      </c>
      <c r="F4" s="52" t="s">
        <v>58</v>
      </c>
      <c r="G4" s="52" t="s">
        <v>59</v>
      </c>
      <c r="H4" s="52" t="s">
        <v>60</v>
      </c>
      <c r="I4" s="52" t="s">
        <v>61</v>
      </c>
    </row>
    <row r="5" spans="1:9" ht="42.75" customHeight="1">
      <c r="A5" s="52">
        <v>1</v>
      </c>
      <c r="B5" s="122" t="s">
        <v>220</v>
      </c>
      <c r="C5" s="122"/>
      <c r="D5" s="123"/>
      <c r="E5" s="123" t="s">
        <v>63</v>
      </c>
      <c r="F5" s="123"/>
      <c r="G5" s="123">
        <v>10</v>
      </c>
      <c r="H5" s="124">
        <f>(G5*10)/SUM($G$5:$G$14)</f>
        <v>1.0869565217391304</v>
      </c>
      <c r="I5" s="125">
        <f>IF(E5="X",((G5*10)/SUM($G$5:$G$14)),0)</f>
        <v>1.0869565217391304</v>
      </c>
    </row>
    <row r="6" spans="1:9" ht="45" customHeight="1">
      <c r="A6" s="52">
        <v>2</v>
      </c>
      <c r="B6" s="122" t="s">
        <v>221</v>
      </c>
      <c r="C6" s="122"/>
      <c r="D6" s="123"/>
      <c r="E6" s="123" t="s">
        <v>63</v>
      </c>
      <c r="F6" s="123"/>
      <c r="G6" s="123">
        <v>6</v>
      </c>
      <c r="H6" s="124">
        <f t="shared" ref="H6:H14" si="0">(G6*10)/SUM($G$5:$G$14)</f>
        <v>0.65217391304347827</v>
      </c>
      <c r="I6" s="125">
        <f t="shared" ref="I6:I14" si="1">IF(E6="X",((G6*10)/SUM($G$5:$G$14)),0)</f>
        <v>0.65217391304347827</v>
      </c>
    </row>
    <row r="7" spans="1:9" ht="31.5" customHeight="1">
      <c r="A7" s="52">
        <v>3</v>
      </c>
      <c r="B7" s="122" t="s">
        <v>222</v>
      </c>
      <c r="C7" s="122"/>
      <c r="D7" s="123"/>
      <c r="E7" s="123" t="s">
        <v>63</v>
      </c>
      <c r="F7" s="123"/>
      <c r="G7" s="123">
        <v>6</v>
      </c>
      <c r="H7" s="124">
        <f t="shared" si="0"/>
        <v>0.65217391304347827</v>
      </c>
      <c r="I7" s="125">
        <f t="shared" si="1"/>
        <v>0.65217391304347827</v>
      </c>
    </row>
    <row r="8" spans="1:9" ht="58.5" customHeight="1">
      <c r="A8" s="52">
        <v>4</v>
      </c>
      <c r="B8" s="122" t="s">
        <v>223</v>
      </c>
      <c r="C8" s="122"/>
      <c r="D8" s="123"/>
      <c r="E8" s="123" t="s">
        <v>63</v>
      </c>
      <c r="F8" s="123"/>
      <c r="G8" s="123">
        <v>10</v>
      </c>
      <c r="H8" s="124">
        <f t="shared" si="0"/>
        <v>1.0869565217391304</v>
      </c>
      <c r="I8" s="125">
        <f t="shared" si="1"/>
        <v>1.0869565217391304</v>
      </c>
    </row>
    <row r="9" spans="1:9" ht="47.25" customHeight="1">
      <c r="A9" s="52">
        <v>5</v>
      </c>
      <c r="B9" s="122" t="s">
        <v>224</v>
      </c>
      <c r="C9" s="122"/>
      <c r="D9" s="123"/>
      <c r="E9" s="123" t="s">
        <v>63</v>
      </c>
      <c r="F9" s="123"/>
      <c r="G9" s="123">
        <v>10</v>
      </c>
      <c r="H9" s="124">
        <f t="shared" si="0"/>
        <v>1.0869565217391304</v>
      </c>
      <c r="I9" s="125">
        <f t="shared" si="1"/>
        <v>1.0869565217391304</v>
      </c>
    </row>
    <row r="10" spans="1:9" ht="63" customHeight="1">
      <c r="A10" s="52">
        <v>6</v>
      </c>
      <c r="B10" s="122" t="s">
        <v>225</v>
      </c>
      <c r="C10" s="122"/>
      <c r="D10" s="123"/>
      <c r="E10" s="123" t="s">
        <v>63</v>
      </c>
      <c r="F10" s="123"/>
      <c r="G10" s="123">
        <v>10</v>
      </c>
      <c r="H10" s="124">
        <f t="shared" si="0"/>
        <v>1.0869565217391304</v>
      </c>
      <c r="I10" s="125">
        <f t="shared" si="1"/>
        <v>1.0869565217391304</v>
      </c>
    </row>
    <row r="11" spans="1:9" ht="47.25" customHeight="1">
      <c r="A11" s="52">
        <v>7</v>
      </c>
      <c r="B11" s="122" t="s">
        <v>226</v>
      </c>
      <c r="C11" s="122"/>
      <c r="D11" s="123"/>
      <c r="E11" s="123" t="s">
        <v>63</v>
      </c>
      <c r="F11" s="123"/>
      <c r="G11" s="123">
        <v>10</v>
      </c>
      <c r="H11" s="124">
        <f t="shared" si="0"/>
        <v>1.0869565217391304</v>
      </c>
      <c r="I11" s="125">
        <f t="shared" si="1"/>
        <v>1.0869565217391304</v>
      </c>
    </row>
    <row r="12" spans="1:9" ht="47.25" customHeight="1">
      <c r="A12" s="52">
        <v>8</v>
      </c>
      <c r="B12" s="122" t="s">
        <v>227</v>
      </c>
      <c r="C12" s="122"/>
      <c r="D12" s="123"/>
      <c r="E12" s="123" t="s">
        <v>63</v>
      </c>
      <c r="F12" s="123"/>
      <c r="G12" s="123">
        <v>10</v>
      </c>
      <c r="H12" s="124">
        <f t="shared" si="0"/>
        <v>1.0869565217391304</v>
      </c>
      <c r="I12" s="125">
        <f t="shared" si="1"/>
        <v>1.0869565217391304</v>
      </c>
    </row>
    <row r="13" spans="1:9" ht="47.25" customHeight="1">
      <c r="A13" s="52">
        <v>9</v>
      </c>
      <c r="B13" s="122" t="s">
        <v>228</v>
      </c>
      <c r="C13" s="122"/>
      <c r="D13" s="123"/>
      <c r="E13" s="123" t="s">
        <v>63</v>
      </c>
      <c r="F13" s="123"/>
      <c r="G13" s="123">
        <v>10</v>
      </c>
      <c r="H13" s="124">
        <f t="shared" si="0"/>
        <v>1.0869565217391304</v>
      </c>
      <c r="I13" s="125">
        <f t="shared" si="1"/>
        <v>1.0869565217391304</v>
      </c>
    </row>
    <row r="14" spans="1:9" ht="63" customHeight="1">
      <c r="A14" s="52">
        <v>10</v>
      </c>
      <c r="B14" s="122" t="s">
        <v>229</v>
      </c>
      <c r="C14" s="122"/>
      <c r="D14" s="123"/>
      <c r="E14" s="123" t="s">
        <v>63</v>
      </c>
      <c r="F14" s="123"/>
      <c r="G14" s="123">
        <v>10</v>
      </c>
      <c r="H14" s="124">
        <f t="shared" si="0"/>
        <v>1.0869565217391304</v>
      </c>
      <c r="I14" s="125">
        <f t="shared" si="1"/>
        <v>1.0869565217391304</v>
      </c>
    </row>
    <row r="15" spans="1:9" ht="15.75" customHeight="1">
      <c r="A15" s="83" t="s">
        <v>71</v>
      </c>
      <c r="B15" s="83"/>
      <c r="C15" s="83"/>
      <c r="D15" s="83"/>
      <c r="E15" s="83"/>
      <c r="F15" s="83"/>
      <c r="G15" s="83"/>
      <c r="H15" s="28">
        <f>SUM(H5:H14)</f>
        <v>10.000000000000002</v>
      </c>
      <c r="I15" s="20">
        <f>SUM(I5:I14)</f>
        <v>10.000000000000002</v>
      </c>
    </row>
  </sheetData>
  <mergeCells count="18">
    <mergeCell ref="B11:C11"/>
    <mergeCell ref="B12:C12"/>
    <mergeCell ref="B13:C13"/>
    <mergeCell ref="B14:C14"/>
    <mergeCell ref="A15:G15"/>
    <mergeCell ref="B10:C10"/>
    <mergeCell ref="A3:B3"/>
    <mergeCell ref="B4:C4"/>
    <mergeCell ref="B5:C5"/>
    <mergeCell ref="B6:C6"/>
    <mergeCell ref="B7:C7"/>
    <mergeCell ref="B8:C8"/>
    <mergeCell ref="B9:C9"/>
    <mergeCell ref="A1:B1"/>
    <mergeCell ref="A2:B2"/>
    <mergeCell ref="C1:I1"/>
    <mergeCell ref="C2:I2"/>
    <mergeCell ref="D3:I3"/>
  </mergeCell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CAF8F-B538-4065-B42F-CE5883AEF398}">
  <sheetPr>
    <tabColor rgb="FF00B0F0"/>
  </sheetPr>
  <dimension ref="A1:I13"/>
  <sheetViews>
    <sheetView workbookViewId="0">
      <selection activeCell="B6" sqref="A1:I13"/>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52</v>
      </c>
      <c r="D1" s="120"/>
      <c r="E1" s="120"/>
      <c r="F1" s="120"/>
      <c r="G1" s="120"/>
      <c r="H1" s="120"/>
      <c r="I1" s="121"/>
    </row>
    <row r="2" spans="1:9" ht="15">
      <c r="A2" s="70" t="s">
        <v>0</v>
      </c>
      <c r="B2" s="70"/>
      <c r="C2" s="84" t="s">
        <v>48</v>
      </c>
      <c r="D2" s="120"/>
      <c r="E2" s="120"/>
      <c r="F2" s="120"/>
      <c r="G2" s="120"/>
      <c r="H2" s="120"/>
      <c r="I2" s="121"/>
    </row>
    <row r="3" spans="1:9" ht="15">
      <c r="A3" s="70" t="s">
        <v>53</v>
      </c>
      <c r="B3" s="70"/>
      <c r="C3" s="55" t="s">
        <v>54</v>
      </c>
      <c r="D3" s="122">
        <v>330</v>
      </c>
      <c r="E3" s="122"/>
      <c r="F3" s="122"/>
      <c r="G3" s="122"/>
      <c r="H3" s="122"/>
      <c r="I3" s="122"/>
    </row>
    <row r="4" spans="1:9" ht="60">
      <c r="A4" s="52" t="s">
        <v>55</v>
      </c>
      <c r="B4" s="70" t="s">
        <v>56</v>
      </c>
      <c r="C4" s="70"/>
      <c r="D4" s="52" t="s">
        <v>24</v>
      </c>
      <c r="E4" s="52" t="s">
        <v>57</v>
      </c>
      <c r="F4" s="52" t="s">
        <v>58</v>
      </c>
      <c r="G4" s="52" t="s">
        <v>59</v>
      </c>
      <c r="H4" s="52" t="s">
        <v>60</v>
      </c>
      <c r="I4" s="52" t="s">
        <v>61</v>
      </c>
    </row>
    <row r="5" spans="1:9" ht="47.25" customHeight="1">
      <c r="A5" s="52">
        <v>1</v>
      </c>
      <c r="B5" s="122" t="s">
        <v>62</v>
      </c>
      <c r="C5" s="122"/>
      <c r="D5" s="123"/>
      <c r="E5" s="123" t="s">
        <v>63</v>
      </c>
      <c r="F5" s="123"/>
      <c r="G5" s="123">
        <v>10</v>
      </c>
      <c r="H5" s="124">
        <f>(G5*10)/SUM($G$5:$G$12)</f>
        <v>1.5625</v>
      </c>
      <c r="I5" s="125">
        <f t="shared" ref="I5:I12" si="0">IF(E5="X",((G5*10)/SUM($G$5:$G$12)),0)</f>
        <v>1.5625</v>
      </c>
    </row>
    <row r="6" spans="1:9" ht="63" customHeight="1">
      <c r="A6" s="52">
        <v>2</v>
      </c>
      <c r="B6" s="122" t="s">
        <v>64</v>
      </c>
      <c r="C6" s="122"/>
      <c r="D6" s="123"/>
      <c r="E6" s="123" t="s">
        <v>63</v>
      </c>
      <c r="F6" s="123"/>
      <c r="G6" s="123">
        <v>6</v>
      </c>
      <c r="H6" s="124">
        <f t="shared" ref="H6:H12" si="1">(G6*10)/SUM($G$5:$G$12)</f>
        <v>0.9375</v>
      </c>
      <c r="I6" s="125">
        <f t="shared" si="0"/>
        <v>0.9375</v>
      </c>
    </row>
    <row r="7" spans="1:9" ht="47.25" customHeight="1">
      <c r="A7" s="52">
        <v>3</v>
      </c>
      <c r="B7" s="122" t="s">
        <v>65</v>
      </c>
      <c r="C7" s="122"/>
      <c r="D7" s="123"/>
      <c r="E7" s="123" t="s">
        <v>63</v>
      </c>
      <c r="F7" s="123"/>
      <c r="G7" s="123">
        <v>10</v>
      </c>
      <c r="H7" s="124">
        <f t="shared" si="1"/>
        <v>1.5625</v>
      </c>
      <c r="I7" s="125">
        <f t="shared" si="0"/>
        <v>1.5625</v>
      </c>
    </row>
    <row r="8" spans="1:9" ht="47.25" customHeight="1">
      <c r="A8" s="52">
        <v>4</v>
      </c>
      <c r="B8" s="122" t="s">
        <v>66</v>
      </c>
      <c r="C8" s="122"/>
      <c r="D8" s="123"/>
      <c r="E8" s="123" t="s">
        <v>63</v>
      </c>
      <c r="F8" s="123"/>
      <c r="G8" s="123">
        <v>2</v>
      </c>
      <c r="H8" s="124">
        <f t="shared" si="1"/>
        <v>0.3125</v>
      </c>
      <c r="I8" s="125">
        <f t="shared" si="0"/>
        <v>0.3125</v>
      </c>
    </row>
    <row r="9" spans="1:9" ht="78.75" customHeight="1">
      <c r="A9" s="52">
        <v>5</v>
      </c>
      <c r="B9" s="122" t="s">
        <v>67</v>
      </c>
      <c r="C9" s="122"/>
      <c r="D9" s="123"/>
      <c r="E9" s="123" t="s">
        <v>63</v>
      </c>
      <c r="F9" s="123"/>
      <c r="G9" s="123">
        <v>10</v>
      </c>
      <c r="H9" s="124">
        <f t="shared" si="1"/>
        <v>1.5625</v>
      </c>
      <c r="I9" s="125">
        <f t="shared" si="0"/>
        <v>1.5625</v>
      </c>
    </row>
    <row r="10" spans="1:9" ht="47.25" customHeight="1">
      <c r="A10" s="52">
        <v>6</v>
      </c>
      <c r="B10" s="122" t="s">
        <v>68</v>
      </c>
      <c r="C10" s="122"/>
      <c r="D10" s="123"/>
      <c r="E10" s="123" t="s">
        <v>63</v>
      </c>
      <c r="F10" s="123"/>
      <c r="G10" s="123">
        <v>6</v>
      </c>
      <c r="H10" s="124">
        <f t="shared" si="1"/>
        <v>0.9375</v>
      </c>
      <c r="I10" s="125">
        <f t="shared" si="0"/>
        <v>0.9375</v>
      </c>
    </row>
    <row r="11" spans="1:9" ht="50.25" customHeight="1">
      <c r="A11" s="52">
        <v>7</v>
      </c>
      <c r="B11" s="122" t="s">
        <v>69</v>
      </c>
      <c r="C11" s="122"/>
      <c r="D11" s="123"/>
      <c r="E11" s="123" t="s">
        <v>63</v>
      </c>
      <c r="F11" s="123"/>
      <c r="G11" s="123">
        <v>10</v>
      </c>
      <c r="H11" s="124">
        <f t="shared" si="1"/>
        <v>1.5625</v>
      </c>
      <c r="I11" s="125">
        <f t="shared" si="0"/>
        <v>1.5625</v>
      </c>
    </row>
    <row r="12" spans="1:9" ht="61.5" customHeight="1">
      <c r="A12" s="52">
        <v>8</v>
      </c>
      <c r="B12" s="122" t="s">
        <v>70</v>
      </c>
      <c r="C12" s="122"/>
      <c r="D12" s="123"/>
      <c r="E12" s="123" t="s">
        <v>63</v>
      </c>
      <c r="F12" s="123"/>
      <c r="G12" s="123">
        <v>10</v>
      </c>
      <c r="H12" s="124">
        <f t="shared" si="1"/>
        <v>1.5625</v>
      </c>
      <c r="I12" s="125">
        <f t="shared" si="0"/>
        <v>1.5625</v>
      </c>
    </row>
    <row r="13" spans="1:9" ht="15.75" customHeight="1">
      <c r="A13" s="71" t="s">
        <v>71</v>
      </c>
      <c r="B13" s="72"/>
      <c r="C13" s="72"/>
      <c r="D13" s="72"/>
      <c r="E13" s="72"/>
      <c r="F13" s="72"/>
      <c r="G13" s="72"/>
      <c r="H13" s="29">
        <f>SUM(H5:H12)</f>
        <v>10</v>
      </c>
      <c r="I13" s="20">
        <f>SUM(I5:I12)</f>
        <v>10</v>
      </c>
    </row>
  </sheetData>
  <mergeCells count="16">
    <mergeCell ref="A13:G13"/>
    <mergeCell ref="A3:B3"/>
    <mergeCell ref="B4:C4"/>
    <mergeCell ref="B11:C11"/>
    <mergeCell ref="B12:C12"/>
    <mergeCell ref="D3:I3"/>
    <mergeCell ref="B5:C5"/>
    <mergeCell ref="B6:C6"/>
    <mergeCell ref="B7:C7"/>
    <mergeCell ref="B8:C8"/>
    <mergeCell ref="B9:C9"/>
    <mergeCell ref="A1:B1"/>
    <mergeCell ref="A2:B2"/>
    <mergeCell ref="C1:I1"/>
    <mergeCell ref="C2:I2"/>
    <mergeCell ref="B10:C10"/>
  </mergeCell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874BA-17BA-4228-BCF1-86BE167CDA9C}">
  <sheetPr>
    <tabColor rgb="FF00B0F0"/>
  </sheetPr>
  <dimension ref="A1:I13"/>
  <sheetViews>
    <sheetView workbookViewId="0">
      <selection activeCell="B8" sqref="A1:I13"/>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52</v>
      </c>
      <c r="D1" s="120"/>
      <c r="E1" s="120"/>
      <c r="F1" s="120"/>
      <c r="G1" s="120"/>
      <c r="H1" s="120"/>
      <c r="I1" s="121"/>
    </row>
    <row r="2" spans="1:9" ht="15">
      <c r="A2" s="70" t="s">
        <v>0</v>
      </c>
      <c r="B2" s="70"/>
      <c r="C2" s="84" t="s">
        <v>48</v>
      </c>
      <c r="D2" s="120"/>
      <c r="E2" s="120"/>
      <c r="F2" s="120"/>
      <c r="G2" s="120"/>
      <c r="H2" s="120"/>
      <c r="I2" s="121"/>
    </row>
    <row r="3" spans="1:9" ht="15">
      <c r="A3" s="70" t="s">
        <v>53</v>
      </c>
      <c r="B3" s="70"/>
      <c r="C3" s="55" t="s">
        <v>230</v>
      </c>
      <c r="D3" s="122">
        <v>340</v>
      </c>
      <c r="E3" s="122"/>
      <c r="F3" s="122"/>
      <c r="G3" s="122"/>
      <c r="H3" s="122"/>
      <c r="I3" s="122"/>
    </row>
    <row r="4" spans="1:9" ht="60">
      <c r="A4" s="52" t="s">
        <v>55</v>
      </c>
      <c r="B4" s="70" t="s">
        <v>56</v>
      </c>
      <c r="C4" s="70"/>
      <c r="D4" s="52" t="s">
        <v>24</v>
      </c>
      <c r="E4" s="52" t="s">
        <v>57</v>
      </c>
      <c r="F4" s="52" t="s">
        <v>58</v>
      </c>
      <c r="G4" s="52" t="s">
        <v>59</v>
      </c>
      <c r="H4" s="52" t="s">
        <v>60</v>
      </c>
      <c r="I4" s="52" t="s">
        <v>61</v>
      </c>
    </row>
    <row r="5" spans="1:9" ht="57.75" customHeight="1">
      <c r="A5" s="52">
        <v>1</v>
      </c>
      <c r="B5" s="122" t="s">
        <v>231</v>
      </c>
      <c r="C5" s="122"/>
      <c r="D5" s="123"/>
      <c r="E5" s="123" t="s">
        <v>63</v>
      </c>
      <c r="F5" s="123"/>
      <c r="G5" s="123">
        <v>6</v>
      </c>
      <c r="H5" s="124">
        <f>(G5*10)/SUM($G$5:$G$12)</f>
        <v>1</v>
      </c>
      <c r="I5" s="125">
        <f>IF(E5="X",((G5*10)/SUM($G$5:$G$12)),0)</f>
        <v>1</v>
      </c>
    </row>
    <row r="6" spans="1:9" ht="47.25" customHeight="1">
      <c r="A6" s="52">
        <v>2</v>
      </c>
      <c r="B6" s="122" t="s">
        <v>232</v>
      </c>
      <c r="C6" s="122"/>
      <c r="D6" s="123"/>
      <c r="E6" s="123" t="s">
        <v>63</v>
      </c>
      <c r="F6" s="123"/>
      <c r="G6" s="123">
        <v>6</v>
      </c>
      <c r="H6" s="124">
        <f t="shared" ref="H6:H12" si="0">(G6*10)/SUM($G$5:$G$12)</f>
        <v>1</v>
      </c>
      <c r="I6" s="125">
        <f t="shared" ref="I6:I12" si="1">IF(E6="X",((G6*10)/SUM($G$5:$G$12)),0)</f>
        <v>1</v>
      </c>
    </row>
    <row r="7" spans="1:9" ht="41.25" customHeight="1">
      <c r="A7" s="52">
        <v>3</v>
      </c>
      <c r="B7" s="122" t="s">
        <v>233</v>
      </c>
      <c r="C7" s="122"/>
      <c r="D7" s="123"/>
      <c r="E7" s="123" t="s">
        <v>63</v>
      </c>
      <c r="F7" s="123"/>
      <c r="G7" s="123">
        <v>2</v>
      </c>
      <c r="H7" s="124">
        <f t="shared" si="0"/>
        <v>0.33333333333333331</v>
      </c>
      <c r="I7" s="125">
        <f t="shared" si="1"/>
        <v>0.33333333333333331</v>
      </c>
    </row>
    <row r="8" spans="1:9" ht="74.25" customHeight="1">
      <c r="A8" s="52">
        <v>4</v>
      </c>
      <c r="B8" s="122" t="s">
        <v>234</v>
      </c>
      <c r="C8" s="122"/>
      <c r="D8" s="123"/>
      <c r="E8" s="123" t="s">
        <v>63</v>
      </c>
      <c r="F8" s="123"/>
      <c r="G8" s="123">
        <v>6</v>
      </c>
      <c r="H8" s="124">
        <f t="shared" si="0"/>
        <v>1</v>
      </c>
      <c r="I8" s="125">
        <f t="shared" si="1"/>
        <v>1</v>
      </c>
    </row>
    <row r="9" spans="1:9" ht="45" customHeight="1">
      <c r="A9" s="52">
        <v>5</v>
      </c>
      <c r="B9" s="122" t="s">
        <v>235</v>
      </c>
      <c r="C9" s="122"/>
      <c r="D9" s="123"/>
      <c r="E9" s="123" t="s">
        <v>63</v>
      </c>
      <c r="F9" s="123"/>
      <c r="G9" s="123">
        <v>10</v>
      </c>
      <c r="H9" s="124">
        <f t="shared" si="0"/>
        <v>1.6666666666666667</v>
      </c>
      <c r="I9" s="125">
        <f t="shared" si="1"/>
        <v>1.6666666666666667</v>
      </c>
    </row>
    <row r="10" spans="1:9" ht="47.25" customHeight="1">
      <c r="A10" s="52">
        <v>6</v>
      </c>
      <c r="B10" s="122" t="s">
        <v>236</v>
      </c>
      <c r="C10" s="122"/>
      <c r="D10" s="123"/>
      <c r="E10" s="123" t="s">
        <v>63</v>
      </c>
      <c r="F10" s="123"/>
      <c r="G10" s="123">
        <v>10</v>
      </c>
      <c r="H10" s="124">
        <f t="shared" si="0"/>
        <v>1.6666666666666667</v>
      </c>
      <c r="I10" s="125">
        <f t="shared" si="1"/>
        <v>1.6666666666666667</v>
      </c>
    </row>
    <row r="11" spans="1:9" ht="60" customHeight="1">
      <c r="A11" s="52">
        <v>7</v>
      </c>
      <c r="B11" s="122" t="s">
        <v>237</v>
      </c>
      <c r="C11" s="122"/>
      <c r="D11" s="123"/>
      <c r="E11" s="123" t="s">
        <v>63</v>
      </c>
      <c r="F11" s="123"/>
      <c r="G11" s="123">
        <v>10</v>
      </c>
      <c r="H11" s="124">
        <f t="shared" si="0"/>
        <v>1.6666666666666667</v>
      </c>
      <c r="I11" s="125">
        <f t="shared" si="1"/>
        <v>1.6666666666666667</v>
      </c>
    </row>
    <row r="12" spans="1:9" ht="63" customHeight="1">
      <c r="A12" s="52">
        <v>8</v>
      </c>
      <c r="B12" s="122" t="s">
        <v>238</v>
      </c>
      <c r="C12" s="122"/>
      <c r="D12" s="123"/>
      <c r="E12" s="123" t="s">
        <v>63</v>
      </c>
      <c r="F12" s="123"/>
      <c r="G12" s="123">
        <v>10</v>
      </c>
      <c r="H12" s="124">
        <f t="shared" si="0"/>
        <v>1.6666666666666667</v>
      </c>
      <c r="I12" s="125">
        <f t="shared" si="1"/>
        <v>1.6666666666666667</v>
      </c>
    </row>
    <row r="13" spans="1:9" ht="15.75" customHeight="1">
      <c r="A13" s="83" t="s">
        <v>71</v>
      </c>
      <c r="B13" s="83"/>
      <c r="C13" s="83"/>
      <c r="D13" s="83"/>
      <c r="E13" s="83"/>
      <c r="F13" s="83"/>
      <c r="G13" s="83"/>
      <c r="H13" s="28">
        <f>SUM(H5:H12)</f>
        <v>10</v>
      </c>
      <c r="I13" s="20">
        <f>SUM(I5:I12)</f>
        <v>10</v>
      </c>
    </row>
  </sheetData>
  <mergeCells count="16">
    <mergeCell ref="A13:G13"/>
    <mergeCell ref="A3:B3"/>
    <mergeCell ref="B4:C4"/>
    <mergeCell ref="B11:C11"/>
    <mergeCell ref="B12:C12"/>
    <mergeCell ref="D3:I3"/>
    <mergeCell ref="B5:C5"/>
    <mergeCell ref="B6:C6"/>
    <mergeCell ref="B7:C7"/>
    <mergeCell ref="B8:C8"/>
    <mergeCell ref="B9:C9"/>
    <mergeCell ref="A1:B1"/>
    <mergeCell ref="A2:B2"/>
    <mergeCell ref="C1:I1"/>
    <mergeCell ref="C2:I2"/>
    <mergeCell ref="B10:C10"/>
  </mergeCell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496B2-8E25-4C4D-8288-D85C6BE99239}">
  <sheetPr>
    <tabColor rgb="FF00B0F0"/>
  </sheetPr>
  <dimension ref="A1:I12"/>
  <sheetViews>
    <sheetView workbookViewId="0">
      <selection activeCell="B7" sqref="A1:I12"/>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52</v>
      </c>
      <c r="D1" s="120"/>
      <c r="E1" s="120"/>
      <c r="F1" s="120"/>
      <c r="G1" s="120"/>
      <c r="H1" s="120"/>
      <c r="I1" s="121"/>
    </row>
    <row r="2" spans="1:9" ht="15">
      <c r="A2" s="70" t="s">
        <v>0</v>
      </c>
      <c r="B2" s="70"/>
      <c r="C2" s="84" t="s">
        <v>48</v>
      </c>
      <c r="D2" s="120"/>
      <c r="E2" s="120"/>
      <c r="F2" s="120"/>
      <c r="G2" s="120"/>
      <c r="H2" s="120"/>
      <c r="I2" s="121"/>
    </row>
    <row r="3" spans="1:9" ht="15">
      <c r="A3" s="70" t="s">
        <v>72</v>
      </c>
      <c r="B3" s="70"/>
      <c r="C3" s="55" t="s">
        <v>73</v>
      </c>
      <c r="D3" s="122">
        <v>380</v>
      </c>
      <c r="E3" s="122"/>
      <c r="F3" s="122"/>
      <c r="G3" s="122"/>
      <c r="H3" s="122"/>
      <c r="I3" s="122"/>
    </row>
    <row r="4" spans="1:9" ht="60">
      <c r="A4" s="52" t="s">
        <v>55</v>
      </c>
      <c r="B4" s="70" t="s">
        <v>56</v>
      </c>
      <c r="C4" s="70"/>
      <c r="D4" s="52" t="s">
        <v>24</v>
      </c>
      <c r="E4" s="52" t="s">
        <v>57</v>
      </c>
      <c r="F4" s="52" t="s">
        <v>58</v>
      </c>
      <c r="G4" s="52" t="s">
        <v>59</v>
      </c>
      <c r="H4" s="52" t="s">
        <v>60</v>
      </c>
      <c r="I4" s="52" t="s">
        <v>61</v>
      </c>
    </row>
    <row r="5" spans="1:9" ht="63" customHeight="1">
      <c r="A5" s="52">
        <v>1</v>
      </c>
      <c r="B5" s="122" t="s">
        <v>317</v>
      </c>
      <c r="C5" s="122"/>
      <c r="D5" s="123" t="s">
        <v>63</v>
      </c>
      <c r="E5" s="123"/>
      <c r="F5" s="123"/>
      <c r="G5" s="123">
        <v>2</v>
      </c>
      <c r="H5" s="124">
        <f>(G5*10)/SUM($G$5:$G$11)</f>
        <v>0.52631578947368418</v>
      </c>
      <c r="I5" s="125">
        <f>IF(E5="X",((G5*10)/SUM($G$5:$G$11)),0)</f>
        <v>0</v>
      </c>
    </row>
    <row r="6" spans="1:9" ht="78.75" customHeight="1">
      <c r="A6" s="52">
        <v>2</v>
      </c>
      <c r="B6" s="122" t="s">
        <v>75</v>
      </c>
      <c r="C6" s="122"/>
      <c r="D6" s="123"/>
      <c r="E6" s="123" t="s">
        <v>63</v>
      </c>
      <c r="F6" s="123"/>
      <c r="G6" s="123">
        <v>6</v>
      </c>
      <c r="H6" s="124">
        <f t="shared" ref="H6:H11" si="0">(G6*10)/SUM($G$5:$G$11)</f>
        <v>1.5789473684210527</v>
      </c>
      <c r="I6" s="125">
        <f t="shared" ref="I6:I11" si="1">IF(E6="X",((G6*10)/SUM($G$5:$G$11)),0)</f>
        <v>1.5789473684210527</v>
      </c>
    </row>
    <row r="7" spans="1:9" ht="31.5" customHeight="1">
      <c r="A7" s="52">
        <v>3</v>
      </c>
      <c r="B7" s="122" t="s">
        <v>76</v>
      </c>
      <c r="C7" s="122"/>
      <c r="D7" s="123"/>
      <c r="E7" s="123" t="s">
        <v>63</v>
      </c>
      <c r="F7" s="123"/>
      <c r="G7" s="123">
        <v>10</v>
      </c>
      <c r="H7" s="124">
        <f t="shared" si="0"/>
        <v>2.6315789473684212</v>
      </c>
      <c r="I7" s="125">
        <f t="shared" si="1"/>
        <v>2.6315789473684212</v>
      </c>
    </row>
    <row r="8" spans="1:9" ht="47.25" customHeight="1">
      <c r="A8" s="52">
        <v>4</v>
      </c>
      <c r="B8" s="122" t="s">
        <v>77</v>
      </c>
      <c r="C8" s="122"/>
      <c r="D8" s="123"/>
      <c r="E8" s="123" t="s">
        <v>63</v>
      </c>
      <c r="F8" s="123"/>
      <c r="G8" s="123">
        <v>10</v>
      </c>
      <c r="H8" s="124">
        <f t="shared" si="0"/>
        <v>2.6315789473684212</v>
      </c>
      <c r="I8" s="125">
        <f t="shared" si="1"/>
        <v>2.6315789473684212</v>
      </c>
    </row>
    <row r="9" spans="1:9" ht="47.25" customHeight="1">
      <c r="A9" s="52">
        <v>5</v>
      </c>
      <c r="B9" s="122" t="s">
        <v>78</v>
      </c>
      <c r="C9" s="122"/>
      <c r="D9" s="123"/>
      <c r="E9" s="123" t="s">
        <v>63</v>
      </c>
      <c r="F9" s="123"/>
      <c r="G9" s="123">
        <v>6</v>
      </c>
      <c r="H9" s="124">
        <f t="shared" si="0"/>
        <v>1.5789473684210527</v>
      </c>
      <c r="I9" s="125">
        <f t="shared" si="1"/>
        <v>1.5789473684210527</v>
      </c>
    </row>
    <row r="10" spans="1:9" ht="47.25" customHeight="1">
      <c r="A10" s="52">
        <v>6</v>
      </c>
      <c r="B10" s="122" t="s">
        <v>79</v>
      </c>
      <c r="C10" s="122"/>
      <c r="D10" s="123"/>
      <c r="E10" s="123" t="s">
        <v>63</v>
      </c>
      <c r="F10" s="123"/>
      <c r="G10" s="123">
        <v>2</v>
      </c>
      <c r="H10" s="124">
        <f t="shared" si="0"/>
        <v>0.52631578947368418</v>
      </c>
      <c r="I10" s="125">
        <f t="shared" si="1"/>
        <v>0.52631578947368418</v>
      </c>
    </row>
    <row r="11" spans="1:9" ht="48" customHeight="1">
      <c r="A11" s="52">
        <v>7</v>
      </c>
      <c r="B11" s="122" t="s">
        <v>80</v>
      </c>
      <c r="C11" s="122"/>
      <c r="D11" s="123"/>
      <c r="E11" s="123" t="s">
        <v>63</v>
      </c>
      <c r="F11" s="123"/>
      <c r="G11" s="123">
        <v>2</v>
      </c>
      <c r="H11" s="124">
        <f t="shared" si="0"/>
        <v>0.52631578947368418</v>
      </c>
      <c r="I11" s="125">
        <f t="shared" si="1"/>
        <v>0.52631578947368418</v>
      </c>
    </row>
    <row r="12" spans="1:9" ht="15.75" customHeight="1">
      <c r="A12" s="71" t="s">
        <v>71</v>
      </c>
      <c r="B12" s="72"/>
      <c r="C12" s="72"/>
      <c r="D12" s="72"/>
      <c r="E12" s="72"/>
      <c r="F12" s="72"/>
      <c r="G12" s="72"/>
      <c r="H12" s="29">
        <f>SUM(H5:H11)</f>
        <v>10.000000000000002</v>
      </c>
      <c r="I12" s="20">
        <f>SUM(I5:I11)</f>
        <v>9.4736842105263186</v>
      </c>
    </row>
  </sheetData>
  <mergeCells count="15">
    <mergeCell ref="A1:B1"/>
    <mergeCell ref="A2:B2"/>
    <mergeCell ref="C1:I1"/>
    <mergeCell ref="C2:I2"/>
    <mergeCell ref="A12:G12"/>
    <mergeCell ref="A3:B3"/>
    <mergeCell ref="B4:C4"/>
    <mergeCell ref="B5:C5"/>
    <mergeCell ref="B6:C6"/>
    <mergeCell ref="D3:I3"/>
    <mergeCell ref="B7:C7"/>
    <mergeCell ref="B8:C8"/>
    <mergeCell ref="B9:C9"/>
    <mergeCell ref="B10:C10"/>
    <mergeCell ref="B11:C11"/>
  </mergeCell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0AFBA-8A46-43C5-9297-521DFDFF7374}">
  <sheetPr>
    <tabColor rgb="FF00B0F0"/>
  </sheetPr>
  <dimension ref="A1:J14"/>
  <sheetViews>
    <sheetView workbookViewId="0">
      <selection activeCell="B8" sqref="A1:J14"/>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48</v>
      </c>
      <c r="D2" s="74"/>
      <c r="E2" s="74"/>
      <c r="F2" s="74"/>
      <c r="G2" s="74"/>
      <c r="H2" s="74"/>
      <c r="I2" s="74"/>
      <c r="J2" s="75"/>
    </row>
    <row r="3" spans="1:10" ht="45">
      <c r="A3" s="70" t="s">
        <v>81</v>
      </c>
      <c r="B3" s="70"/>
      <c r="C3" s="18" t="s">
        <v>82</v>
      </c>
      <c r="D3" s="55" t="s">
        <v>83</v>
      </c>
      <c r="E3" s="122">
        <v>570</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34.5" customHeight="1">
      <c r="A5" s="52">
        <v>1</v>
      </c>
      <c r="B5" s="122" t="s">
        <v>84</v>
      </c>
      <c r="C5" s="122"/>
      <c r="D5" s="122"/>
      <c r="E5" s="123"/>
      <c r="F5" s="123" t="s">
        <v>63</v>
      </c>
      <c r="G5" s="123"/>
      <c r="H5" s="123">
        <v>10</v>
      </c>
      <c r="I5" s="124">
        <f>(H5*10)/SUM($H$5:$H$13)</f>
        <v>1.3513513513513513</v>
      </c>
      <c r="J5" s="125">
        <f>IF(F5="X",((H5*10)/SUM($H$5:$H$13)),0)</f>
        <v>1.3513513513513513</v>
      </c>
    </row>
    <row r="6" spans="1:10" ht="21" customHeight="1">
      <c r="A6" s="52">
        <v>2</v>
      </c>
      <c r="B6" s="122" t="s">
        <v>85</v>
      </c>
      <c r="C6" s="122"/>
      <c r="D6" s="122"/>
      <c r="E6" s="123"/>
      <c r="F6" s="123" t="s">
        <v>63</v>
      </c>
      <c r="G6" s="123"/>
      <c r="H6" s="123">
        <v>10</v>
      </c>
      <c r="I6" s="124">
        <f t="shared" ref="I6:I13" si="0">(H6*10)/SUM($H$5:$H$13)</f>
        <v>1.3513513513513513</v>
      </c>
      <c r="J6" s="125">
        <f t="shared" ref="J6:J13" si="1">IF(F6="X",((H6*10)/SUM($H$5:$H$13)),0)</f>
        <v>1.3513513513513513</v>
      </c>
    </row>
    <row r="7" spans="1:10" ht="33" customHeight="1">
      <c r="A7" s="52">
        <v>3</v>
      </c>
      <c r="B7" s="122" t="s">
        <v>86</v>
      </c>
      <c r="C7" s="122"/>
      <c r="D7" s="122"/>
      <c r="E7" s="123"/>
      <c r="F7" s="123" t="s">
        <v>63</v>
      </c>
      <c r="G7" s="123"/>
      <c r="H7" s="123">
        <v>6</v>
      </c>
      <c r="I7" s="124">
        <f t="shared" si="0"/>
        <v>0.81081081081081086</v>
      </c>
      <c r="J7" s="125">
        <f t="shared" si="1"/>
        <v>0.81081081081081086</v>
      </c>
    </row>
    <row r="8" spans="1:10" ht="60" customHeight="1">
      <c r="A8" s="52">
        <v>4</v>
      </c>
      <c r="B8" s="122" t="s">
        <v>87</v>
      </c>
      <c r="C8" s="122"/>
      <c r="D8" s="122"/>
      <c r="E8" s="123"/>
      <c r="F8" s="123" t="s">
        <v>63</v>
      </c>
      <c r="G8" s="123"/>
      <c r="H8" s="123">
        <v>10</v>
      </c>
      <c r="I8" s="124">
        <f t="shared" si="0"/>
        <v>1.3513513513513513</v>
      </c>
      <c r="J8" s="125">
        <f t="shared" si="1"/>
        <v>1.3513513513513513</v>
      </c>
    </row>
    <row r="9" spans="1:10" ht="33" customHeight="1">
      <c r="A9" s="52">
        <v>5</v>
      </c>
      <c r="B9" s="122" t="s">
        <v>88</v>
      </c>
      <c r="C9" s="122"/>
      <c r="D9" s="122"/>
      <c r="E9" s="123"/>
      <c r="F9" s="123" t="s">
        <v>63</v>
      </c>
      <c r="G9" s="123"/>
      <c r="H9" s="123">
        <v>6</v>
      </c>
      <c r="I9" s="124">
        <f t="shared" si="0"/>
        <v>0.81081081081081086</v>
      </c>
      <c r="J9" s="125">
        <f t="shared" si="1"/>
        <v>0.81081081081081086</v>
      </c>
    </row>
    <row r="10" spans="1:10" ht="34.5" customHeight="1">
      <c r="A10" s="52">
        <v>6</v>
      </c>
      <c r="B10" s="122" t="s">
        <v>89</v>
      </c>
      <c r="C10" s="122"/>
      <c r="D10" s="122"/>
      <c r="E10" s="123"/>
      <c r="F10" s="123" t="s">
        <v>63</v>
      </c>
      <c r="G10" s="123"/>
      <c r="H10" s="123">
        <v>6</v>
      </c>
      <c r="I10" s="124">
        <f t="shared" si="0"/>
        <v>0.81081081081081086</v>
      </c>
      <c r="J10" s="125">
        <f t="shared" si="1"/>
        <v>0.81081081081081086</v>
      </c>
    </row>
    <row r="11" spans="1:10" ht="74.25" customHeight="1">
      <c r="A11" s="52">
        <v>7</v>
      </c>
      <c r="B11" s="122" t="s">
        <v>90</v>
      </c>
      <c r="C11" s="122"/>
      <c r="D11" s="122"/>
      <c r="E11" s="123"/>
      <c r="F11" s="123" t="s">
        <v>63</v>
      </c>
      <c r="G11" s="123"/>
      <c r="H11" s="123">
        <v>10</v>
      </c>
      <c r="I11" s="124">
        <f t="shared" si="0"/>
        <v>1.3513513513513513</v>
      </c>
      <c r="J11" s="125">
        <f>IF(F11="X",((H11*10)/SUM($H$5:$H$13)),0)</f>
        <v>1.3513513513513513</v>
      </c>
    </row>
    <row r="12" spans="1:10" ht="32.25" customHeight="1">
      <c r="A12" s="52">
        <v>8</v>
      </c>
      <c r="B12" s="122" t="s">
        <v>91</v>
      </c>
      <c r="C12" s="122"/>
      <c r="D12" s="122"/>
      <c r="E12" s="123"/>
      <c r="F12" s="123" t="s">
        <v>63</v>
      </c>
      <c r="G12" s="123"/>
      <c r="H12" s="123">
        <v>10</v>
      </c>
      <c r="I12" s="124">
        <f t="shared" si="0"/>
        <v>1.3513513513513513</v>
      </c>
      <c r="J12" s="125">
        <f t="shared" si="1"/>
        <v>1.3513513513513513</v>
      </c>
    </row>
    <row r="13" spans="1:10" ht="51" customHeight="1">
      <c r="A13" s="52">
        <v>9</v>
      </c>
      <c r="B13" s="122" t="s">
        <v>92</v>
      </c>
      <c r="C13" s="122"/>
      <c r="D13" s="122"/>
      <c r="E13" s="123"/>
      <c r="F13" s="123" t="s">
        <v>63</v>
      </c>
      <c r="G13" s="123"/>
      <c r="H13" s="123">
        <v>6</v>
      </c>
      <c r="I13" s="124">
        <f t="shared" si="0"/>
        <v>0.81081081081081086</v>
      </c>
      <c r="J13" s="125">
        <f t="shared" si="1"/>
        <v>0.81081081081081086</v>
      </c>
    </row>
    <row r="14" spans="1:10" ht="15" customHeight="1">
      <c r="A14" s="71" t="s">
        <v>71</v>
      </c>
      <c r="B14" s="72"/>
      <c r="C14" s="72"/>
      <c r="D14" s="72"/>
      <c r="E14" s="72"/>
      <c r="F14" s="72"/>
      <c r="G14" s="72"/>
      <c r="H14" s="72"/>
      <c r="I14" s="29">
        <f>SUM(I5:I13)</f>
        <v>9.9999999999999982</v>
      </c>
      <c r="J14" s="19">
        <f>SUM(J5:J13)</f>
        <v>9.9999999999999982</v>
      </c>
    </row>
  </sheetData>
  <mergeCells count="17">
    <mergeCell ref="A14:H14"/>
    <mergeCell ref="A3:B3"/>
    <mergeCell ref="B4:D4"/>
    <mergeCell ref="B11:D11"/>
    <mergeCell ref="B12:D12"/>
    <mergeCell ref="E3:J3"/>
    <mergeCell ref="B13:D13"/>
    <mergeCell ref="B5:D5"/>
    <mergeCell ref="B6:D6"/>
    <mergeCell ref="B7:D7"/>
    <mergeCell ref="B8:D8"/>
    <mergeCell ref="B9:D9"/>
    <mergeCell ref="B10:D10"/>
    <mergeCell ref="A1:B1"/>
    <mergeCell ref="A2:B2"/>
    <mergeCell ref="C1:J1"/>
    <mergeCell ref="C2:J2"/>
  </mergeCell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09C1A-678A-4667-97B0-1B1E2AEA2759}">
  <sheetPr>
    <tabColor rgb="FF00B0F0"/>
  </sheetPr>
  <dimension ref="A1:J20"/>
  <sheetViews>
    <sheetView workbookViewId="0">
      <selection activeCell="B7" sqref="A1:J20"/>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48</v>
      </c>
      <c r="D2" s="74"/>
      <c r="E2" s="74"/>
      <c r="F2" s="74"/>
      <c r="G2" s="74"/>
      <c r="H2" s="74"/>
      <c r="I2" s="74"/>
      <c r="J2" s="75"/>
    </row>
    <row r="3" spans="1:10" ht="45">
      <c r="A3" s="70" t="s">
        <v>81</v>
      </c>
      <c r="B3" s="70"/>
      <c r="C3" s="18" t="s">
        <v>93</v>
      </c>
      <c r="D3" s="55" t="s">
        <v>239</v>
      </c>
      <c r="E3" s="122" t="s">
        <v>240</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31.5" customHeight="1">
      <c r="A5" s="52">
        <v>1</v>
      </c>
      <c r="B5" s="122" t="s">
        <v>241</v>
      </c>
      <c r="C5" s="122"/>
      <c r="D5" s="122"/>
      <c r="E5" s="123"/>
      <c r="F5" s="123" t="s">
        <v>63</v>
      </c>
      <c r="G5" s="123"/>
      <c r="H5" s="123">
        <v>10</v>
      </c>
      <c r="I5" s="124">
        <f>(H5*10)/SUM($H$5:$H$19)</f>
        <v>0.94339622641509435</v>
      </c>
      <c r="J5" s="125">
        <f>IF(F5="X",((H5*10)/SUM($H$5:$H$19)),0)</f>
        <v>0.94339622641509435</v>
      </c>
    </row>
    <row r="6" spans="1:10" ht="40.5" customHeight="1">
      <c r="A6" s="52">
        <v>2</v>
      </c>
      <c r="B6" s="122" t="s">
        <v>242</v>
      </c>
      <c r="C6" s="122"/>
      <c r="D6" s="122"/>
      <c r="E6" s="123"/>
      <c r="F6" s="123" t="s">
        <v>63</v>
      </c>
      <c r="G6" s="123"/>
      <c r="H6" s="123">
        <v>6</v>
      </c>
      <c r="I6" s="124">
        <f t="shared" ref="I6:I19" si="0">(H6*10)/SUM($H$5:$H$19)</f>
        <v>0.56603773584905659</v>
      </c>
      <c r="J6" s="125">
        <f t="shared" ref="J6:J19" si="1">IF(F6="X",((H6*10)/SUM($H$5:$H$19)),0)</f>
        <v>0.56603773584905659</v>
      </c>
    </row>
    <row r="7" spans="1:10" ht="38.25" customHeight="1">
      <c r="A7" s="52">
        <v>3</v>
      </c>
      <c r="B7" s="122" t="s">
        <v>243</v>
      </c>
      <c r="C7" s="122"/>
      <c r="D7" s="122"/>
      <c r="E7" s="123"/>
      <c r="F7" s="123" t="s">
        <v>63</v>
      </c>
      <c r="G7" s="123"/>
      <c r="H7" s="123">
        <v>2</v>
      </c>
      <c r="I7" s="124">
        <f t="shared" si="0"/>
        <v>0.18867924528301888</v>
      </c>
      <c r="J7" s="125">
        <f t="shared" si="1"/>
        <v>0.18867924528301888</v>
      </c>
    </row>
    <row r="8" spans="1:10" ht="31.5" customHeight="1">
      <c r="A8" s="52">
        <v>4</v>
      </c>
      <c r="B8" s="122" t="s">
        <v>244</v>
      </c>
      <c r="C8" s="122"/>
      <c r="D8" s="122"/>
      <c r="E8" s="123"/>
      <c r="F8" s="123" t="s">
        <v>63</v>
      </c>
      <c r="G8" s="123"/>
      <c r="H8" s="123">
        <v>6</v>
      </c>
      <c r="I8" s="124">
        <f t="shared" si="0"/>
        <v>0.56603773584905659</v>
      </c>
      <c r="J8" s="125">
        <f t="shared" si="1"/>
        <v>0.56603773584905659</v>
      </c>
    </row>
    <row r="9" spans="1:10" ht="51" customHeight="1">
      <c r="A9" s="52">
        <v>5</v>
      </c>
      <c r="B9" s="122" t="s">
        <v>245</v>
      </c>
      <c r="C9" s="122"/>
      <c r="D9" s="122"/>
      <c r="E9" s="123"/>
      <c r="F9" s="123" t="s">
        <v>63</v>
      </c>
      <c r="G9" s="123"/>
      <c r="H9" s="123">
        <v>10</v>
      </c>
      <c r="I9" s="124">
        <f t="shared" si="0"/>
        <v>0.94339622641509435</v>
      </c>
      <c r="J9" s="125">
        <f t="shared" si="1"/>
        <v>0.94339622641509435</v>
      </c>
    </row>
    <row r="10" spans="1:10" ht="63" customHeight="1">
      <c r="A10" s="52">
        <v>6</v>
      </c>
      <c r="B10" s="122" t="s">
        <v>246</v>
      </c>
      <c r="C10" s="122"/>
      <c r="D10" s="122"/>
      <c r="E10" s="123"/>
      <c r="F10" s="123" t="s">
        <v>63</v>
      </c>
      <c r="G10" s="123"/>
      <c r="H10" s="123">
        <v>10</v>
      </c>
      <c r="I10" s="124">
        <f t="shared" si="0"/>
        <v>0.94339622641509435</v>
      </c>
      <c r="J10" s="125">
        <f t="shared" si="1"/>
        <v>0.94339622641509435</v>
      </c>
    </row>
    <row r="11" spans="1:10" ht="31.5" customHeight="1">
      <c r="A11" s="52">
        <v>7</v>
      </c>
      <c r="B11" s="122" t="s">
        <v>247</v>
      </c>
      <c r="C11" s="122"/>
      <c r="D11" s="122"/>
      <c r="E11" s="123" t="s">
        <v>63</v>
      </c>
      <c r="F11" s="123"/>
      <c r="G11" s="123"/>
      <c r="H11" s="123">
        <v>10</v>
      </c>
      <c r="I11" s="124">
        <f t="shared" si="0"/>
        <v>0.94339622641509435</v>
      </c>
      <c r="J11" s="125">
        <f t="shared" si="1"/>
        <v>0</v>
      </c>
    </row>
    <row r="12" spans="1:10" ht="35.25" customHeight="1">
      <c r="A12" s="52">
        <v>8</v>
      </c>
      <c r="B12" s="122" t="s">
        <v>248</v>
      </c>
      <c r="C12" s="122"/>
      <c r="D12" s="122"/>
      <c r="E12" s="123"/>
      <c r="F12" s="123" t="s">
        <v>63</v>
      </c>
      <c r="G12" s="123"/>
      <c r="H12" s="123">
        <v>10</v>
      </c>
      <c r="I12" s="124">
        <f t="shared" si="0"/>
        <v>0.94339622641509435</v>
      </c>
      <c r="J12" s="125">
        <f t="shared" si="1"/>
        <v>0.94339622641509435</v>
      </c>
    </row>
    <row r="13" spans="1:10" ht="50.25" customHeight="1">
      <c r="A13" s="52">
        <v>9</v>
      </c>
      <c r="B13" s="122" t="s">
        <v>249</v>
      </c>
      <c r="C13" s="122"/>
      <c r="D13" s="122"/>
      <c r="E13" s="123"/>
      <c r="F13" s="123" t="s">
        <v>63</v>
      </c>
      <c r="G13" s="123"/>
      <c r="H13" s="123">
        <v>6</v>
      </c>
      <c r="I13" s="124">
        <f t="shared" si="0"/>
        <v>0.56603773584905659</v>
      </c>
      <c r="J13" s="125">
        <f t="shared" si="1"/>
        <v>0.56603773584905659</v>
      </c>
    </row>
    <row r="14" spans="1:10" ht="48" customHeight="1">
      <c r="A14" s="52">
        <v>10</v>
      </c>
      <c r="B14" s="122" t="s">
        <v>250</v>
      </c>
      <c r="C14" s="122"/>
      <c r="D14" s="122"/>
      <c r="E14" s="123"/>
      <c r="F14" s="123" t="s">
        <v>63</v>
      </c>
      <c r="G14" s="123"/>
      <c r="H14" s="123">
        <v>10</v>
      </c>
      <c r="I14" s="124">
        <f t="shared" si="0"/>
        <v>0.94339622641509435</v>
      </c>
      <c r="J14" s="125">
        <f t="shared" si="1"/>
        <v>0.94339622641509435</v>
      </c>
    </row>
    <row r="15" spans="1:10" ht="66.75" customHeight="1">
      <c r="A15" s="52">
        <v>11</v>
      </c>
      <c r="B15" s="122" t="s">
        <v>251</v>
      </c>
      <c r="C15" s="122"/>
      <c r="D15" s="122"/>
      <c r="E15" s="123"/>
      <c r="F15" s="123" t="s">
        <v>63</v>
      </c>
      <c r="G15" s="123"/>
      <c r="H15" s="123">
        <v>6</v>
      </c>
      <c r="I15" s="124">
        <f t="shared" si="0"/>
        <v>0.56603773584905659</v>
      </c>
      <c r="J15" s="125">
        <f t="shared" si="1"/>
        <v>0.56603773584905659</v>
      </c>
    </row>
    <row r="16" spans="1:10" ht="62.25" customHeight="1">
      <c r="A16" s="52">
        <v>12</v>
      </c>
      <c r="B16" s="122" t="s">
        <v>252</v>
      </c>
      <c r="C16" s="122"/>
      <c r="D16" s="122"/>
      <c r="E16" s="123"/>
      <c r="F16" s="123" t="s">
        <v>63</v>
      </c>
      <c r="G16" s="123"/>
      <c r="H16" s="123">
        <v>6</v>
      </c>
      <c r="I16" s="124">
        <f t="shared" si="0"/>
        <v>0.56603773584905659</v>
      </c>
      <c r="J16" s="125">
        <f t="shared" si="1"/>
        <v>0.56603773584905659</v>
      </c>
    </row>
    <row r="17" spans="1:10" ht="62.25" customHeight="1">
      <c r="A17" s="52">
        <v>13</v>
      </c>
      <c r="B17" s="122" t="s">
        <v>253</v>
      </c>
      <c r="C17" s="122"/>
      <c r="D17" s="122"/>
      <c r="E17" s="123"/>
      <c r="F17" s="123" t="s">
        <v>63</v>
      </c>
      <c r="G17" s="123"/>
      <c r="H17" s="123">
        <v>6</v>
      </c>
      <c r="I17" s="124">
        <f t="shared" si="0"/>
        <v>0.56603773584905659</v>
      </c>
      <c r="J17" s="125">
        <f t="shared" si="1"/>
        <v>0.56603773584905659</v>
      </c>
    </row>
    <row r="18" spans="1:10" ht="82.5" customHeight="1">
      <c r="A18" s="52">
        <v>14</v>
      </c>
      <c r="B18" s="122" t="s">
        <v>254</v>
      </c>
      <c r="C18" s="122"/>
      <c r="D18" s="122"/>
      <c r="E18" s="123"/>
      <c r="F18" s="123" t="s">
        <v>63</v>
      </c>
      <c r="G18" s="123"/>
      <c r="H18" s="123">
        <v>2</v>
      </c>
      <c r="I18" s="124">
        <f t="shared" si="0"/>
        <v>0.18867924528301888</v>
      </c>
      <c r="J18" s="125">
        <f t="shared" si="1"/>
        <v>0.18867924528301888</v>
      </c>
    </row>
    <row r="19" spans="1:10" ht="47.25" customHeight="1">
      <c r="A19" s="52">
        <v>15</v>
      </c>
      <c r="B19" s="122" t="s">
        <v>255</v>
      </c>
      <c r="C19" s="122"/>
      <c r="D19" s="122"/>
      <c r="E19" s="123" t="s">
        <v>63</v>
      </c>
      <c r="F19" s="123"/>
      <c r="G19" s="123"/>
      <c r="H19" s="123">
        <v>6</v>
      </c>
      <c r="I19" s="124">
        <f t="shared" si="0"/>
        <v>0.56603773584905659</v>
      </c>
      <c r="J19" s="125">
        <f t="shared" si="1"/>
        <v>0</v>
      </c>
    </row>
    <row r="20" spans="1:10" ht="15" customHeight="1">
      <c r="A20" s="83" t="s">
        <v>71</v>
      </c>
      <c r="B20" s="83"/>
      <c r="C20" s="83"/>
      <c r="D20" s="83"/>
      <c r="E20" s="83"/>
      <c r="F20" s="83"/>
      <c r="G20" s="83"/>
      <c r="H20" s="83"/>
      <c r="I20" s="28">
        <f>SUM(I5:I19)</f>
        <v>10</v>
      </c>
      <c r="J20" s="19">
        <f>SUM(J5:J19)</f>
        <v>8.4905660377358512</v>
      </c>
    </row>
  </sheetData>
  <mergeCells count="23">
    <mergeCell ref="A20:H20"/>
    <mergeCell ref="B10:D10"/>
    <mergeCell ref="B19:D19"/>
    <mergeCell ref="B8:D8"/>
    <mergeCell ref="B9:D9"/>
    <mergeCell ref="B17:D17"/>
    <mergeCell ref="B18:D18"/>
    <mergeCell ref="B15:D15"/>
    <mergeCell ref="B16:D16"/>
    <mergeCell ref="B4:D4"/>
    <mergeCell ref="B5:D5"/>
    <mergeCell ref="B6:D6"/>
    <mergeCell ref="B7:D7"/>
    <mergeCell ref="B14:D14"/>
    <mergeCell ref="B11:D11"/>
    <mergeCell ref="B12:D12"/>
    <mergeCell ref="B13:D13"/>
    <mergeCell ref="A1:B1"/>
    <mergeCell ref="A2:B2"/>
    <mergeCell ref="C1:J1"/>
    <mergeCell ref="C2:J2"/>
    <mergeCell ref="E3:J3"/>
    <mergeCell ref="A3:B3"/>
  </mergeCell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8757A-2FF8-46A4-9917-D1C3DE305A8A}">
  <sheetPr>
    <tabColor rgb="FF00B0F0"/>
  </sheetPr>
  <dimension ref="A1:J15"/>
  <sheetViews>
    <sheetView workbookViewId="0">
      <selection activeCell="B8" sqref="A1:J15"/>
    </sheetView>
  </sheetViews>
  <sheetFormatPr defaultColWidth="11.42578125" defaultRowHeight="14.25"/>
  <cols>
    <col min="1" max="1" width="4.7109375" style="23"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48</v>
      </c>
      <c r="D2" s="74"/>
      <c r="E2" s="74"/>
      <c r="F2" s="74"/>
      <c r="G2" s="74"/>
      <c r="H2" s="74"/>
      <c r="I2" s="74"/>
      <c r="J2" s="75"/>
    </row>
    <row r="3" spans="1:10" ht="45">
      <c r="A3" s="70" t="s">
        <v>81</v>
      </c>
      <c r="B3" s="70"/>
      <c r="C3" s="18" t="s">
        <v>93</v>
      </c>
      <c r="D3" s="55" t="s">
        <v>94</v>
      </c>
      <c r="E3" s="122" t="s">
        <v>95</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33" customHeight="1">
      <c r="A5" s="52">
        <v>1</v>
      </c>
      <c r="B5" s="122" t="s">
        <v>97</v>
      </c>
      <c r="C5" s="122"/>
      <c r="D5" s="122"/>
      <c r="E5" s="123"/>
      <c r="F5" s="123" t="s">
        <v>63</v>
      </c>
      <c r="G5" s="123"/>
      <c r="H5" s="123">
        <v>10</v>
      </c>
      <c r="I5" s="124">
        <f>(H5*10)/SUM($H$5:$H$14)</f>
        <v>1.9230769230769231</v>
      </c>
      <c r="J5" s="125">
        <f>IF(F5="X",((H5*10)/SUM($H$5:$H$14)),0)</f>
        <v>1.9230769230769231</v>
      </c>
    </row>
    <row r="6" spans="1:10" ht="47.25" customHeight="1">
      <c r="A6" s="52">
        <v>2</v>
      </c>
      <c r="B6" s="122" t="s">
        <v>98</v>
      </c>
      <c r="C6" s="122"/>
      <c r="D6" s="122"/>
      <c r="E6" s="123"/>
      <c r="F6" s="123" t="s">
        <v>63</v>
      </c>
      <c r="G6" s="123"/>
      <c r="H6" s="123">
        <v>2</v>
      </c>
      <c r="I6" s="124">
        <f t="shared" ref="I6:I14" si="0">(H6*10)/SUM($H$5:$H$14)</f>
        <v>0.38461538461538464</v>
      </c>
      <c r="J6" s="125">
        <f t="shared" ref="J6:J14" si="1">IF(F6="X",((H6*10)/SUM($H$5:$H$14)),0)</f>
        <v>0.38461538461538464</v>
      </c>
    </row>
    <row r="7" spans="1:10" ht="33" customHeight="1">
      <c r="A7" s="52">
        <v>3</v>
      </c>
      <c r="B7" s="122" t="s">
        <v>99</v>
      </c>
      <c r="C7" s="122"/>
      <c r="D7" s="122"/>
      <c r="E7" s="123"/>
      <c r="F7" s="123" t="s">
        <v>63</v>
      </c>
      <c r="G7" s="123"/>
      <c r="H7" s="123">
        <v>6</v>
      </c>
      <c r="I7" s="124">
        <f t="shared" si="0"/>
        <v>1.1538461538461537</v>
      </c>
      <c r="J7" s="125">
        <f t="shared" si="1"/>
        <v>1.1538461538461537</v>
      </c>
    </row>
    <row r="8" spans="1:10" ht="18" customHeight="1">
      <c r="A8" s="52">
        <v>4</v>
      </c>
      <c r="B8" s="122" t="s">
        <v>100</v>
      </c>
      <c r="C8" s="122"/>
      <c r="D8" s="122"/>
      <c r="E8" s="123"/>
      <c r="F8" s="123" t="s">
        <v>63</v>
      </c>
      <c r="G8" s="123"/>
      <c r="H8" s="123">
        <v>6</v>
      </c>
      <c r="I8" s="124">
        <f t="shared" si="0"/>
        <v>1.1538461538461537</v>
      </c>
      <c r="J8" s="125">
        <f t="shared" si="1"/>
        <v>1.1538461538461537</v>
      </c>
    </row>
    <row r="9" spans="1:10" ht="30" customHeight="1">
      <c r="A9" s="52">
        <v>5</v>
      </c>
      <c r="B9" s="122" t="s">
        <v>101</v>
      </c>
      <c r="C9" s="122"/>
      <c r="D9" s="122"/>
      <c r="E9" s="123"/>
      <c r="F9" s="123" t="s">
        <v>63</v>
      </c>
      <c r="G9" s="123"/>
      <c r="H9" s="123">
        <v>10</v>
      </c>
      <c r="I9" s="124">
        <f t="shared" si="0"/>
        <v>1.9230769230769231</v>
      </c>
      <c r="J9" s="125">
        <f t="shared" si="1"/>
        <v>1.9230769230769231</v>
      </c>
    </row>
    <row r="10" spans="1:10" ht="47.25" customHeight="1">
      <c r="A10" s="52">
        <v>6</v>
      </c>
      <c r="B10" s="122" t="s">
        <v>102</v>
      </c>
      <c r="C10" s="122"/>
      <c r="D10" s="122"/>
      <c r="E10" s="123"/>
      <c r="F10" s="123" t="s">
        <v>63</v>
      </c>
      <c r="G10" s="123"/>
      <c r="H10" s="123">
        <v>6</v>
      </c>
      <c r="I10" s="124">
        <f t="shared" si="0"/>
        <v>1.1538461538461537</v>
      </c>
      <c r="J10" s="125">
        <f t="shared" si="1"/>
        <v>1.1538461538461537</v>
      </c>
    </row>
    <row r="11" spans="1:10" ht="47.25" customHeight="1">
      <c r="A11" s="52">
        <v>7</v>
      </c>
      <c r="B11" s="122" t="s">
        <v>103</v>
      </c>
      <c r="C11" s="122"/>
      <c r="D11" s="122"/>
      <c r="E11" s="123"/>
      <c r="F11" s="123" t="s">
        <v>63</v>
      </c>
      <c r="G11" s="123"/>
      <c r="H11" s="123">
        <v>2</v>
      </c>
      <c r="I11" s="124">
        <f t="shared" si="0"/>
        <v>0.38461538461538464</v>
      </c>
      <c r="J11" s="125">
        <f t="shared" si="1"/>
        <v>0.38461538461538464</v>
      </c>
    </row>
    <row r="12" spans="1:10" ht="47.25" customHeight="1">
      <c r="A12" s="52">
        <v>8</v>
      </c>
      <c r="B12" s="122" t="s">
        <v>104</v>
      </c>
      <c r="C12" s="122"/>
      <c r="D12" s="122"/>
      <c r="E12" s="123"/>
      <c r="F12" s="123" t="s">
        <v>63</v>
      </c>
      <c r="G12" s="123"/>
      <c r="H12" s="123">
        <v>6</v>
      </c>
      <c r="I12" s="124">
        <f t="shared" si="0"/>
        <v>1.1538461538461537</v>
      </c>
      <c r="J12" s="125">
        <f t="shared" si="1"/>
        <v>1.1538461538461537</v>
      </c>
    </row>
    <row r="13" spans="1:10" ht="35.25" customHeight="1">
      <c r="A13" s="52">
        <v>9</v>
      </c>
      <c r="B13" s="122" t="s">
        <v>105</v>
      </c>
      <c r="C13" s="122"/>
      <c r="D13" s="122"/>
      <c r="E13" s="123"/>
      <c r="F13" s="123" t="s">
        <v>63</v>
      </c>
      <c r="G13" s="123"/>
      <c r="H13" s="123">
        <v>2</v>
      </c>
      <c r="I13" s="124">
        <f t="shared" si="0"/>
        <v>0.38461538461538464</v>
      </c>
      <c r="J13" s="125">
        <f t="shared" si="1"/>
        <v>0.38461538461538464</v>
      </c>
    </row>
    <row r="14" spans="1:10" ht="33.75" customHeight="1">
      <c r="A14" s="52">
        <v>10</v>
      </c>
      <c r="B14" s="122" t="s">
        <v>106</v>
      </c>
      <c r="C14" s="122"/>
      <c r="D14" s="122"/>
      <c r="E14" s="123" t="s">
        <v>63</v>
      </c>
      <c r="F14" s="123"/>
      <c r="G14" s="123"/>
      <c r="H14" s="123">
        <v>2</v>
      </c>
      <c r="I14" s="126">
        <f t="shared" si="0"/>
        <v>0.38461538461538464</v>
      </c>
      <c r="J14" s="125">
        <f t="shared" si="1"/>
        <v>0</v>
      </c>
    </row>
    <row r="15" spans="1:10" ht="15" customHeight="1">
      <c r="A15" s="71" t="s">
        <v>71</v>
      </c>
      <c r="B15" s="72"/>
      <c r="C15" s="72"/>
      <c r="D15" s="72"/>
      <c r="E15" s="72"/>
      <c r="F15" s="72"/>
      <c r="G15" s="72"/>
      <c r="H15" s="82"/>
      <c r="I15" s="28">
        <f>SUM(I5:I14)</f>
        <v>10</v>
      </c>
      <c r="J15" s="30">
        <f>SUM(J5:J14)</f>
        <v>9.615384615384615</v>
      </c>
    </row>
  </sheetData>
  <mergeCells count="18">
    <mergeCell ref="B11:D11"/>
    <mergeCell ref="B12:D12"/>
    <mergeCell ref="B13:D13"/>
    <mergeCell ref="B14:D14"/>
    <mergeCell ref="A15:H15"/>
    <mergeCell ref="B10:D10"/>
    <mergeCell ref="A3:B3"/>
    <mergeCell ref="B4:D4"/>
    <mergeCell ref="B5:D5"/>
    <mergeCell ref="B6:D6"/>
    <mergeCell ref="B7:D7"/>
    <mergeCell ref="B8:D8"/>
    <mergeCell ref="B9:D9"/>
    <mergeCell ref="A1:B1"/>
    <mergeCell ref="A2:B2"/>
    <mergeCell ref="C1:J1"/>
    <mergeCell ref="C2:J2"/>
    <mergeCell ref="E3:J3"/>
  </mergeCell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C591D-05B4-4F05-A65B-139F9E4FF897}">
  <sheetPr>
    <tabColor rgb="FF00B0F0"/>
  </sheetPr>
  <dimension ref="A1:J17"/>
  <sheetViews>
    <sheetView workbookViewId="0">
      <selection activeCell="B7" sqref="A1:J17"/>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48</v>
      </c>
      <c r="D2" s="74"/>
      <c r="E2" s="74"/>
      <c r="F2" s="74"/>
      <c r="G2" s="74"/>
      <c r="H2" s="74"/>
      <c r="I2" s="74"/>
      <c r="J2" s="75"/>
    </row>
    <row r="3" spans="1:10" ht="45">
      <c r="A3" s="70" t="s">
        <v>81</v>
      </c>
      <c r="B3" s="70"/>
      <c r="C3" s="18" t="s">
        <v>93</v>
      </c>
      <c r="D3" s="55" t="s">
        <v>107</v>
      </c>
      <c r="E3" s="122" t="s">
        <v>108</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8" customHeight="1">
      <c r="A5" s="52">
        <v>1</v>
      </c>
      <c r="B5" s="122" t="s">
        <v>109</v>
      </c>
      <c r="C5" s="122"/>
      <c r="D5" s="122"/>
      <c r="E5" s="123" t="s">
        <v>63</v>
      </c>
      <c r="F5" s="123"/>
      <c r="G5" s="123"/>
      <c r="H5" s="123">
        <v>2</v>
      </c>
      <c r="I5" s="124">
        <f t="shared" ref="I5:I10" si="0">(H5*10)/SUM($H$5:$H$16)</f>
        <v>0.33333333333333331</v>
      </c>
      <c r="J5" s="125">
        <f>IF(F5="X",((H5*10)/SUM($H$5:$H$16)),0)</f>
        <v>0</v>
      </c>
    </row>
    <row r="6" spans="1:10" ht="46.5" customHeight="1">
      <c r="A6" s="52">
        <v>2</v>
      </c>
      <c r="B6" s="122" t="s">
        <v>110</v>
      </c>
      <c r="C6" s="122"/>
      <c r="D6" s="122"/>
      <c r="E6" s="123"/>
      <c r="F6" s="123"/>
      <c r="G6" s="123" t="s">
        <v>63</v>
      </c>
      <c r="H6" s="123">
        <v>6</v>
      </c>
      <c r="I6" s="124">
        <f t="shared" si="0"/>
        <v>1</v>
      </c>
      <c r="J6" s="125">
        <f t="shared" ref="J6:J15" si="1">IF(F6="X",((H6*10)/SUM($H$5:$H$16)),0)</f>
        <v>0</v>
      </c>
    </row>
    <row r="7" spans="1:10" ht="62.25" customHeight="1">
      <c r="A7" s="52">
        <v>3</v>
      </c>
      <c r="B7" s="122" t="s">
        <v>111</v>
      </c>
      <c r="C7" s="122"/>
      <c r="D7" s="122"/>
      <c r="E7" s="123"/>
      <c r="F7" s="123"/>
      <c r="G7" s="123" t="s">
        <v>63</v>
      </c>
      <c r="H7" s="123">
        <v>10</v>
      </c>
      <c r="I7" s="124">
        <f t="shared" si="0"/>
        <v>1.6666666666666667</v>
      </c>
      <c r="J7" s="125">
        <f t="shared" si="1"/>
        <v>0</v>
      </c>
    </row>
    <row r="8" spans="1:10" ht="48" customHeight="1">
      <c r="A8" s="52">
        <v>4</v>
      </c>
      <c r="B8" s="122" t="s">
        <v>112</v>
      </c>
      <c r="C8" s="122"/>
      <c r="D8" s="122"/>
      <c r="E8" s="123"/>
      <c r="F8" s="123"/>
      <c r="G8" s="123" t="s">
        <v>63</v>
      </c>
      <c r="H8" s="123">
        <v>10</v>
      </c>
      <c r="I8" s="124">
        <f t="shared" si="0"/>
        <v>1.6666666666666667</v>
      </c>
      <c r="J8" s="125">
        <f t="shared" si="1"/>
        <v>0</v>
      </c>
    </row>
    <row r="9" spans="1:10" ht="36" customHeight="1">
      <c r="A9" s="52">
        <v>5</v>
      </c>
      <c r="B9" s="122" t="s">
        <v>113</v>
      </c>
      <c r="C9" s="122"/>
      <c r="D9" s="122"/>
      <c r="E9" s="123"/>
      <c r="F9" s="123"/>
      <c r="G9" s="123" t="s">
        <v>63</v>
      </c>
      <c r="H9" s="123">
        <v>10</v>
      </c>
      <c r="I9" s="124">
        <f t="shared" si="0"/>
        <v>1.6666666666666667</v>
      </c>
      <c r="J9" s="125">
        <f t="shared" si="1"/>
        <v>0</v>
      </c>
    </row>
    <row r="10" spans="1:10" ht="47.25" customHeight="1">
      <c r="A10" s="52">
        <v>6</v>
      </c>
      <c r="B10" s="122" t="s">
        <v>114</v>
      </c>
      <c r="C10" s="122"/>
      <c r="D10" s="122"/>
      <c r="E10" s="123"/>
      <c r="F10" s="123"/>
      <c r="G10" s="123" t="s">
        <v>63</v>
      </c>
      <c r="H10" s="123">
        <v>2</v>
      </c>
      <c r="I10" s="124">
        <f t="shared" si="0"/>
        <v>0.33333333333333331</v>
      </c>
      <c r="J10" s="125">
        <f t="shared" si="1"/>
        <v>0</v>
      </c>
    </row>
    <row r="11" spans="1:10" ht="59.25" customHeight="1">
      <c r="A11" s="52">
        <v>7</v>
      </c>
      <c r="B11" s="122" t="s">
        <v>115</v>
      </c>
      <c r="C11" s="122"/>
      <c r="D11" s="122"/>
      <c r="E11" s="123" t="s">
        <v>63</v>
      </c>
      <c r="F11" s="123"/>
      <c r="G11" s="123"/>
      <c r="H11" s="123">
        <v>2</v>
      </c>
      <c r="I11" s="124">
        <f t="shared" ref="I11:I16" si="2">(H11*10)/SUM($H$5:$H$16)</f>
        <v>0.33333333333333331</v>
      </c>
      <c r="J11" s="125">
        <f t="shared" si="1"/>
        <v>0</v>
      </c>
    </row>
    <row r="12" spans="1:10" ht="47.25" customHeight="1">
      <c r="A12" s="52">
        <v>8</v>
      </c>
      <c r="B12" s="122" t="s">
        <v>116</v>
      </c>
      <c r="C12" s="122"/>
      <c r="D12" s="122"/>
      <c r="E12" s="123"/>
      <c r="F12" s="123" t="s">
        <v>63</v>
      </c>
      <c r="G12" s="123"/>
      <c r="H12" s="123">
        <v>6</v>
      </c>
      <c r="I12" s="124">
        <f t="shared" si="2"/>
        <v>1</v>
      </c>
      <c r="J12" s="125">
        <f t="shared" si="1"/>
        <v>1</v>
      </c>
    </row>
    <row r="13" spans="1:10" ht="33.75" customHeight="1">
      <c r="A13" s="52">
        <v>9</v>
      </c>
      <c r="B13" s="122" t="s">
        <v>117</v>
      </c>
      <c r="C13" s="122"/>
      <c r="D13" s="122"/>
      <c r="E13" s="123"/>
      <c r="F13" s="123" t="s">
        <v>63</v>
      </c>
      <c r="G13" s="123"/>
      <c r="H13" s="123">
        <v>6</v>
      </c>
      <c r="I13" s="124">
        <f t="shared" si="2"/>
        <v>1</v>
      </c>
      <c r="J13" s="125">
        <f t="shared" si="1"/>
        <v>1</v>
      </c>
    </row>
    <row r="14" spans="1:10" ht="33" customHeight="1">
      <c r="A14" s="52">
        <v>10</v>
      </c>
      <c r="B14" s="122" t="s">
        <v>118</v>
      </c>
      <c r="C14" s="122"/>
      <c r="D14" s="122"/>
      <c r="E14" s="123"/>
      <c r="F14" s="123" t="s">
        <v>63</v>
      </c>
      <c r="G14" s="123"/>
      <c r="H14" s="123">
        <v>2</v>
      </c>
      <c r="I14" s="124">
        <f t="shared" si="2"/>
        <v>0.33333333333333331</v>
      </c>
      <c r="J14" s="125">
        <f t="shared" si="1"/>
        <v>0.33333333333333331</v>
      </c>
    </row>
    <row r="15" spans="1:10" ht="31.5" customHeight="1">
      <c r="A15" s="52">
        <v>11</v>
      </c>
      <c r="B15" s="122" t="s">
        <v>119</v>
      </c>
      <c r="C15" s="122"/>
      <c r="D15" s="122"/>
      <c r="E15" s="123"/>
      <c r="F15" s="123" t="s">
        <v>63</v>
      </c>
      <c r="G15" s="123"/>
      <c r="H15" s="123">
        <v>2</v>
      </c>
      <c r="I15" s="124">
        <f t="shared" si="2"/>
        <v>0.33333333333333331</v>
      </c>
      <c r="J15" s="125">
        <f t="shared" si="1"/>
        <v>0.33333333333333331</v>
      </c>
    </row>
    <row r="16" spans="1:10" ht="58.5" customHeight="1">
      <c r="A16" s="52">
        <v>12</v>
      </c>
      <c r="B16" s="122" t="s">
        <v>120</v>
      </c>
      <c r="C16" s="122"/>
      <c r="D16" s="122"/>
      <c r="E16" s="123"/>
      <c r="F16" s="123" t="s">
        <v>63</v>
      </c>
      <c r="G16" s="123"/>
      <c r="H16" s="123">
        <v>2</v>
      </c>
      <c r="I16" s="124">
        <f t="shared" si="2"/>
        <v>0.33333333333333331</v>
      </c>
      <c r="J16" s="125">
        <f>IF(F16="X",((H16*10)/SUM($H$5:$H$16)),0)</f>
        <v>0.33333333333333331</v>
      </c>
    </row>
    <row r="17" spans="1:10" ht="15" customHeight="1">
      <c r="A17" s="83" t="s">
        <v>71</v>
      </c>
      <c r="B17" s="83"/>
      <c r="C17" s="83"/>
      <c r="D17" s="83"/>
      <c r="E17" s="83"/>
      <c r="F17" s="83"/>
      <c r="G17" s="83"/>
      <c r="H17" s="83"/>
      <c r="I17" s="28">
        <f>SUM(I5:I16)</f>
        <v>10.000000000000002</v>
      </c>
      <c r="J17" s="19">
        <f>SUM(J5:J16)</f>
        <v>3.0000000000000004</v>
      </c>
    </row>
  </sheetData>
  <mergeCells count="20">
    <mergeCell ref="A17:H17"/>
    <mergeCell ref="B10:D10"/>
    <mergeCell ref="A3:B3"/>
    <mergeCell ref="B4:D4"/>
    <mergeCell ref="B5:D5"/>
    <mergeCell ref="B6:D6"/>
    <mergeCell ref="B7:D7"/>
    <mergeCell ref="B8:D8"/>
    <mergeCell ref="B9:D9"/>
    <mergeCell ref="E3:J3"/>
    <mergeCell ref="B11:D11"/>
    <mergeCell ref="B12:D12"/>
    <mergeCell ref="B13:D13"/>
    <mergeCell ref="B14:D14"/>
    <mergeCell ref="B15:D15"/>
    <mergeCell ref="A1:B1"/>
    <mergeCell ref="A2:B2"/>
    <mergeCell ref="C1:J1"/>
    <mergeCell ref="C2:J2"/>
    <mergeCell ref="B16:D16"/>
  </mergeCell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EADB3-E03F-4809-B191-C1C89A38BBB9}">
  <sheetPr>
    <tabColor rgb="FF00B0F0"/>
  </sheetPr>
  <dimension ref="A1:J17"/>
  <sheetViews>
    <sheetView workbookViewId="0">
      <selection activeCell="B8" sqref="A1:J17"/>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48</v>
      </c>
      <c r="D2" s="74"/>
      <c r="E2" s="74"/>
      <c r="F2" s="74"/>
      <c r="G2" s="74"/>
      <c r="H2" s="74"/>
      <c r="I2" s="74"/>
      <c r="J2" s="75"/>
    </row>
    <row r="3" spans="1:10" ht="45">
      <c r="A3" s="70" t="s">
        <v>81</v>
      </c>
      <c r="B3" s="70"/>
      <c r="C3" s="18" t="s">
        <v>93</v>
      </c>
      <c r="D3" s="55" t="s">
        <v>121</v>
      </c>
      <c r="E3" s="122" t="s">
        <v>122</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36" customHeight="1">
      <c r="A5" s="52">
        <v>1</v>
      </c>
      <c r="B5" s="122" t="s">
        <v>124</v>
      </c>
      <c r="C5" s="122"/>
      <c r="D5" s="122"/>
      <c r="E5" s="123" t="s">
        <v>63</v>
      </c>
      <c r="F5" s="123"/>
      <c r="G5" s="123"/>
      <c r="H5" s="123">
        <v>6</v>
      </c>
      <c r="I5" s="124">
        <f>(H5*10)/SUM($H$5:$H$16)</f>
        <v>1.0714285714285714</v>
      </c>
      <c r="J5" s="125">
        <f>IF(F5="X",((H5*10)/SUM($H$5:$H$16)),0)</f>
        <v>0</v>
      </c>
    </row>
    <row r="6" spans="1:10" ht="31.5" customHeight="1">
      <c r="A6" s="52">
        <v>2</v>
      </c>
      <c r="B6" s="122" t="s">
        <v>125</v>
      </c>
      <c r="C6" s="122"/>
      <c r="D6" s="122"/>
      <c r="E6" s="123" t="s">
        <v>63</v>
      </c>
      <c r="F6" s="123"/>
      <c r="G6" s="123"/>
      <c r="H6" s="123">
        <v>2</v>
      </c>
      <c r="I6" s="124">
        <f t="shared" ref="I6:I16" si="0">(H6*10)/SUM($H$5:$H$16)</f>
        <v>0.35714285714285715</v>
      </c>
      <c r="J6" s="125">
        <f t="shared" ref="J6:J16" si="1">IF(F6="X",((H6*10)/SUM($H$5:$H$16)),0)</f>
        <v>0</v>
      </c>
    </row>
    <row r="7" spans="1:10" ht="35.25" customHeight="1">
      <c r="A7" s="52">
        <v>3</v>
      </c>
      <c r="B7" s="122" t="s">
        <v>126</v>
      </c>
      <c r="C7" s="122"/>
      <c r="D7" s="122"/>
      <c r="E7" s="123" t="s">
        <v>63</v>
      </c>
      <c r="F7" s="123"/>
      <c r="G7" s="123"/>
      <c r="H7" s="123">
        <v>2</v>
      </c>
      <c r="I7" s="124">
        <f t="shared" si="0"/>
        <v>0.35714285714285715</v>
      </c>
      <c r="J7" s="125">
        <f t="shared" si="1"/>
        <v>0</v>
      </c>
    </row>
    <row r="8" spans="1:10" ht="75.75" customHeight="1">
      <c r="A8" s="52">
        <v>4</v>
      </c>
      <c r="B8" s="122" t="s">
        <v>127</v>
      </c>
      <c r="C8" s="122"/>
      <c r="D8" s="122"/>
      <c r="E8" s="123" t="s">
        <v>63</v>
      </c>
      <c r="F8" s="123"/>
      <c r="G8" s="123"/>
      <c r="H8" s="123">
        <v>6</v>
      </c>
      <c r="I8" s="124">
        <f t="shared" si="0"/>
        <v>1.0714285714285714</v>
      </c>
      <c r="J8" s="125">
        <f t="shared" si="1"/>
        <v>0</v>
      </c>
    </row>
    <row r="9" spans="1:10" ht="59.25" customHeight="1">
      <c r="A9" s="52">
        <v>5</v>
      </c>
      <c r="B9" s="122" t="s">
        <v>128</v>
      </c>
      <c r="C9" s="122"/>
      <c r="D9" s="122"/>
      <c r="E9" s="123"/>
      <c r="F9" s="123" t="s">
        <v>63</v>
      </c>
      <c r="G9" s="123"/>
      <c r="H9" s="123">
        <v>10</v>
      </c>
      <c r="I9" s="124">
        <f t="shared" si="0"/>
        <v>1.7857142857142858</v>
      </c>
      <c r="J9" s="125">
        <f>IF(F9="X",((H9*10)/SUM($H$5:$H$16)),0)</f>
        <v>1.7857142857142858</v>
      </c>
    </row>
    <row r="10" spans="1:10" ht="90.75" customHeight="1">
      <c r="A10" s="52">
        <v>6</v>
      </c>
      <c r="B10" s="122" t="s">
        <v>129</v>
      </c>
      <c r="C10" s="122"/>
      <c r="D10" s="122"/>
      <c r="E10" s="123" t="s">
        <v>63</v>
      </c>
      <c r="F10" s="123"/>
      <c r="G10" s="123"/>
      <c r="H10" s="123">
        <v>6</v>
      </c>
      <c r="I10" s="124">
        <f t="shared" si="0"/>
        <v>1.0714285714285714</v>
      </c>
      <c r="J10" s="125">
        <f t="shared" si="1"/>
        <v>0</v>
      </c>
    </row>
    <row r="11" spans="1:10" ht="45.75" customHeight="1">
      <c r="A11" s="52">
        <v>7</v>
      </c>
      <c r="B11" s="122" t="s">
        <v>130</v>
      </c>
      <c r="C11" s="122"/>
      <c r="D11" s="122"/>
      <c r="E11" s="123" t="s">
        <v>63</v>
      </c>
      <c r="F11" s="123"/>
      <c r="G11" s="123"/>
      <c r="H11" s="123">
        <v>6</v>
      </c>
      <c r="I11" s="124">
        <f t="shared" si="0"/>
        <v>1.0714285714285714</v>
      </c>
      <c r="J11" s="125">
        <f t="shared" si="1"/>
        <v>0</v>
      </c>
    </row>
    <row r="12" spans="1:10" ht="31.5" customHeight="1">
      <c r="A12" s="52">
        <v>8</v>
      </c>
      <c r="B12" s="122" t="s">
        <v>131</v>
      </c>
      <c r="C12" s="122"/>
      <c r="D12" s="122"/>
      <c r="E12" s="123" t="s">
        <v>63</v>
      </c>
      <c r="F12" s="123"/>
      <c r="G12" s="123"/>
      <c r="H12" s="123">
        <v>2</v>
      </c>
      <c r="I12" s="124">
        <f t="shared" si="0"/>
        <v>0.35714285714285715</v>
      </c>
      <c r="J12" s="125">
        <f t="shared" si="1"/>
        <v>0</v>
      </c>
    </row>
    <row r="13" spans="1:10" ht="33.75" customHeight="1">
      <c r="A13" s="52">
        <v>9</v>
      </c>
      <c r="B13" s="122" t="s">
        <v>132</v>
      </c>
      <c r="C13" s="122"/>
      <c r="D13" s="122"/>
      <c r="E13" s="123" t="s">
        <v>63</v>
      </c>
      <c r="F13" s="123"/>
      <c r="G13" s="123"/>
      <c r="H13" s="123">
        <v>2</v>
      </c>
      <c r="I13" s="124">
        <f t="shared" si="0"/>
        <v>0.35714285714285715</v>
      </c>
      <c r="J13" s="125">
        <f t="shared" si="1"/>
        <v>0</v>
      </c>
    </row>
    <row r="14" spans="1:10" ht="35.25" customHeight="1">
      <c r="A14" s="52">
        <v>10</v>
      </c>
      <c r="B14" s="122" t="s">
        <v>133</v>
      </c>
      <c r="C14" s="122"/>
      <c r="D14" s="122"/>
      <c r="E14" s="123" t="s">
        <v>63</v>
      </c>
      <c r="F14" s="123"/>
      <c r="G14" s="123"/>
      <c r="H14" s="123">
        <v>2</v>
      </c>
      <c r="I14" s="124">
        <f t="shared" si="0"/>
        <v>0.35714285714285715</v>
      </c>
      <c r="J14" s="125">
        <f t="shared" si="1"/>
        <v>0</v>
      </c>
    </row>
    <row r="15" spans="1:10" ht="37.5" customHeight="1">
      <c r="A15" s="52">
        <v>11</v>
      </c>
      <c r="B15" s="122" t="s">
        <v>134</v>
      </c>
      <c r="C15" s="122"/>
      <c r="D15" s="122"/>
      <c r="E15" s="123" t="s">
        <v>63</v>
      </c>
      <c r="F15" s="123"/>
      <c r="G15" s="123"/>
      <c r="H15" s="123">
        <v>6</v>
      </c>
      <c r="I15" s="124">
        <f t="shared" si="0"/>
        <v>1.0714285714285714</v>
      </c>
      <c r="J15" s="125">
        <f t="shared" si="1"/>
        <v>0</v>
      </c>
    </row>
    <row r="16" spans="1:10" ht="61.5" customHeight="1">
      <c r="A16" s="52">
        <v>12</v>
      </c>
      <c r="B16" s="122" t="s">
        <v>135</v>
      </c>
      <c r="C16" s="122"/>
      <c r="D16" s="122"/>
      <c r="E16" s="123" t="s">
        <v>63</v>
      </c>
      <c r="F16" s="123"/>
      <c r="G16" s="123"/>
      <c r="H16" s="123">
        <v>6</v>
      </c>
      <c r="I16" s="124">
        <f t="shared" si="0"/>
        <v>1.0714285714285714</v>
      </c>
      <c r="J16" s="125">
        <f t="shared" si="1"/>
        <v>0</v>
      </c>
    </row>
    <row r="17" spans="1:10" ht="15" customHeight="1">
      <c r="A17" s="83" t="s">
        <v>71</v>
      </c>
      <c r="B17" s="83"/>
      <c r="C17" s="83"/>
      <c r="D17" s="83"/>
      <c r="E17" s="83"/>
      <c r="F17" s="83"/>
      <c r="G17" s="83"/>
      <c r="H17" s="83"/>
      <c r="I17" s="28">
        <f>SUM(I5:I16)</f>
        <v>9.9999999999999982</v>
      </c>
      <c r="J17" s="19">
        <f>SUM(J5:J16)</f>
        <v>1.7857142857142858</v>
      </c>
    </row>
  </sheetData>
  <mergeCells count="20">
    <mergeCell ref="A17:H17"/>
    <mergeCell ref="B10:D10"/>
    <mergeCell ref="A3:B3"/>
    <mergeCell ref="B4:D4"/>
    <mergeCell ref="B5:D5"/>
    <mergeCell ref="B6:D6"/>
    <mergeCell ref="B7:D7"/>
    <mergeCell ref="B8:D8"/>
    <mergeCell ref="B9:D9"/>
    <mergeCell ref="E3:J3"/>
    <mergeCell ref="B11:D11"/>
    <mergeCell ref="B12:D12"/>
    <mergeCell ref="B13:D13"/>
    <mergeCell ref="B14:D14"/>
    <mergeCell ref="B15:D15"/>
    <mergeCell ref="A1:B1"/>
    <mergeCell ref="A2:B2"/>
    <mergeCell ref="C1:J1"/>
    <mergeCell ref="C2:J2"/>
    <mergeCell ref="B16:D16"/>
  </mergeCell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2A4D9-5A70-415E-BBBE-004BA809F392}">
  <sheetPr>
    <tabColor rgb="FF00B0F0"/>
  </sheetPr>
  <dimension ref="A1:J13"/>
  <sheetViews>
    <sheetView workbookViewId="0">
      <selection activeCell="B7" sqref="A1:J13"/>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48</v>
      </c>
      <c r="D2" s="74"/>
      <c r="E2" s="74"/>
      <c r="F2" s="74"/>
      <c r="G2" s="74"/>
      <c r="H2" s="74"/>
      <c r="I2" s="74"/>
      <c r="J2" s="75"/>
    </row>
    <row r="3" spans="1:10" ht="45">
      <c r="A3" s="70" t="s">
        <v>81</v>
      </c>
      <c r="B3" s="70"/>
      <c r="C3" s="18" t="s">
        <v>93</v>
      </c>
      <c r="D3" s="55" t="s">
        <v>136</v>
      </c>
      <c r="E3" s="122" t="s">
        <v>137</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7.25" customHeight="1">
      <c r="A5" s="52">
        <v>1</v>
      </c>
      <c r="B5" s="122" t="s">
        <v>138</v>
      </c>
      <c r="C5" s="122"/>
      <c r="D5" s="122"/>
      <c r="E5" s="123"/>
      <c r="F5" s="123" t="s">
        <v>63</v>
      </c>
      <c r="G5" s="123"/>
      <c r="H5" s="123">
        <v>6</v>
      </c>
      <c r="I5" s="124">
        <f>(H5*10)/SUM($H$5:$H$12)</f>
        <v>1.25</v>
      </c>
      <c r="J5" s="125">
        <f>IF(F5="X",((H5*10)/SUM($H$5:$H$12)),0)</f>
        <v>1.25</v>
      </c>
    </row>
    <row r="6" spans="1:10" ht="47.25" customHeight="1">
      <c r="A6" s="52">
        <v>2</v>
      </c>
      <c r="B6" s="122" t="s">
        <v>139</v>
      </c>
      <c r="C6" s="122"/>
      <c r="D6" s="122"/>
      <c r="E6" s="123"/>
      <c r="F6" s="123" t="s">
        <v>63</v>
      </c>
      <c r="G6" s="123"/>
      <c r="H6" s="123">
        <v>6</v>
      </c>
      <c r="I6" s="124">
        <f t="shared" ref="I6:I12" si="0">(H6*10)/SUM($H$5:$H$12)</f>
        <v>1.25</v>
      </c>
      <c r="J6" s="125">
        <f t="shared" ref="J6:J12" si="1">IF(F6="X",((H6*10)/SUM($H$5:$H$12)),0)</f>
        <v>1.25</v>
      </c>
    </row>
    <row r="7" spans="1:10" ht="63" customHeight="1">
      <c r="A7" s="52">
        <v>3</v>
      </c>
      <c r="B7" s="122" t="s">
        <v>140</v>
      </c>
      <c r="C7" s="122"/>
      <c r="D7" s="122"/>
      <c r="E7" s="123"/>
      <c r="F7" s="123" t="s">
        <v>63</v>
      </c>
      <c r="G7" s="123"/>
      <c r="H7" s="123">
        <v>6</v>
      </c>
      <c r="I7" s="124">
        <f t="shared" si="0"/>
        <v>1.25</v>
      </c>
      <c r="J7" s="125">
        <f t="shared" si="1"/>
        <v>1.25</v>
      </c>
    </row>
    <row r="8" spans="1:10" ht="31.5" customHeight="1">
      <c r="A8" s="52">
        <v>4</v>
      </c>
      <c r="B8" s="122" t="s">
        <v>141</v>
      </c>
      <c r="C8" s="122"/>
      <c r="D8" s="122"/>
      <c r="E8" s="123" t="s">
        <v>63</v>
      </c>
      <c r="F8" s="123"/>
      <c r="G8" s="123"/>
      <c r="H8" s="123">
        <v>2</v>
      </c>
      <c r="I8" s="124">
        <f t="shared" si="0"/>
        <v>0.41666666666666669</v>
      </c>
      <c r="J8" s="125">
        <f t="shared" si="1"/>
        <v>0</v>
      </c>
    </row>
    <row r="9" spans="1:10" ht="31.5" customHeight="1">
      <c r="A9" s="52">
        <v>5</v>
      </c>
      <c r="B9" s="122" t="s">
        <v>142</v>
      </c>
      <c r="C9" s="122"/>
      <c r="D9" s="122"/>
      <c r="E9" s="123" t="s">
        <v>63</v>
      </c>
      <c r="F9" s="123"/>
      <c r="G9" s="123"/>
      <c r="H9" s="123">
        <v>10</v>
      </c>
      <c r="I9" s="124">
        <f t="shared" si="0"/>
        <v>2.0833333333333335</v>
      </c>
      <c r="J9" s="125">
        <f t="shared" si="1"/>
        <v>0</v>
      </c>
    </row>
    <row r="10" spans="1:10" ht="48.75" customHeight="1">
      <c r="A10" s="52">
        <v>6</v>
      </c>
      <c r="B10" s="122" t="s">
        <v>143</v>
      </c>
      <c r="C10" s="122"/>
      <c r="D10" s="122"/>
      <c r="E10" s="123" t="s">
        <v>63</v>
      </c>
      <c r="F10" s="123"/>
      <c r="G10" s="123"/>
      <c r="H10" s="123">
        <v>10</v>
      </c>
      <c r="I10" s="124">
        <f t="shared" si="0"/>
        <v>2.0833333333333335</v>
      </c>
      <c r="J10" s="125">
        <f t="shared" si="1"/>
        <v>0</v>
      </c>
    </row>
    <row r="11" spans="1:10" ht="47.25" customHeight="1">
      <c r="A11" s="52">
        <v>7</v>
      </c>
      <c r="B11" s="122" t="s">
        <v>144</v>
      </c>
      <c r="C11" s="122"/>
      <c r="D11" s="122"/>
      <c r="E11" s="123" t="s">
        <v>63</v>
      </c>
      <c r="F11" s="123"/>
      <c r="G11" s="123"/>
      <c r="H11" s="123">
        <v>6</v>
      </c>
      <c r="I11" s="124">
        <f t="shared" si="0"/>
        <v>1.25</v>
      </c>
      <c r="J11" s="125">
        <f t="shared" si="1"/>
        <v>0</v>
      </c>
    </row>
    <row r="12" spans="1:10" ht="47.25" customHeight="1">
      <c r="A12" s="52">
        <v>8</v>
      </c>
      <c r="B12" s="122" t="s">
        <v>145</v>
      </c>
      <c r="C12" s="122"/>
      <c r="D12" s="122"/>
      <c r="E12" s="123" t="s">
        <v>63</v>
      </c>
      <c r="F12" s="123"/>
      <c r="G12" s="123"/>
      <c r="H12" s="123">
        <v>2</v>
      </c>
      <c r="I12" s="124">
        <f t="shared" si="0"/>
        <v>0.41666666666666669</v>
      </c>
      <c r="J12" s="125">
        <f t="shared" si="1"/>
        <v>0</v>
      </c>
    </row>
    <row r="13" spans="1:10" ht="15" customHeight="1">
      <c r="A13" s="83" t="s">
        <v>71</v>
      </c>
      <c r="B13" s="83"/>
      <c r="C13" s="83"/>
      <c r="D13" s="83"/>
      <c r="E13" s="83"/>
      <c r="F13" s="83"/>
      <c r="G13" s="83"/>
      <c r="H13" s="83"/>
      <c r="I13" s="28">
        <f>SUM(I5:I12)</f>
        <v>10</v>
      </c>
      <c r="J13" s="19">
        <f>SUM(J5:J12)</f>
        <v>3.75</v>
      </c>
    </row>
  </sheetData>
  <mergeCells count="16">
    <mergeCell ref="A13:H13"/>
    <mergeCell ref="A3:B3"/>
    <mergeCell ref="B4:D4"/>
    <mergeCell ref="B11:D11"/>
    <mergeCell ref="B12:D12"/>
    <mergeCell ref="E3:J3"/>
    <mergeCell ref="B5:D5"/>
    <mergeCell ref="B6:D6"/>
    <mergeCell ref="B7:D7"/>
    <mergeCell ref="B8:D8"/>
    <mergeCell ref="B9:D9"/>
    <mergeCell ref="A1:B1"/>
    <mergeCell ref="A2:B2"/>
    <mergeCell ref="C1:J1"/>
    <mergeCell ref="C2:J2"/>
    <mergeCell ref="B10:D10"/>
  </mergeCell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FE029-7873-494E-A2F0-0071EB7777EE}">
  <sheetPr>
    <tabColor rgb="FF00B0F0"/>
  </sheetPr>
  <dimension ref="A1:J15"/>
  <sheetViews>
    <sheetView workbookViewId="0">
      <selection activeCell="B6" sqref="A1:J15"/>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48</v>
      </c>
      <c r="D2" s="74"/>
      <c r="E2" s="74"/>
      <c r="F2" s="74"/>
      <c r="G2" s="74"/>
      <c r="H2" s="74"/>
      <c r="I2" s="74"/>
      <c r="J2" s="75"/>
    </row>
    <row r="3" spans="1:10" ht="92.25" customHeight="1">
      <c r="A3" s="70" t="s">
        <v>81</v>
      </c>
      <c r="B3" s="70"/>
      <c r="C3" s="18" t="s">
        <v>93</v>
      </c>
      <c r="D3" s="55" t="s">
        <v>176</v>
      </c>
      <c r="E3" s="122" t="s">
        <v>318</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7.25" customHeight="1">
      <c r="A5" s="52">
        <v>1</v>
      </c>
      <c r="B5" s="122" t="s">
        <v>178</v>
      </c>
      <c r="C5" s="122"/>
      <c r="D5" s="122"/>
      <c r="E5" s="123"/>
      <c r="F5" s="123" t="s">
        <v>63</v>
      </c>
      <c r="G5" s="123"/>
      <c r="H5" s="123">
        <v>10</v>
      </c>
      <c r="I5" s="124">
        <f>(H5*10)/SUM($H$5:$H$14)</f>
        <v>1.9230769230769231</v>
      </c>
      <c r="J5" s="125">
        <f>IF(F5="X",((H5*10)/SUM($H$5:$H$14)),0)</f>
        <v>1.9230769230769231</v>
      </c>
    </row>
    <row r="6" spans="1:10" ht="33" customHeight="1">
      <c r="A6" s="52">
        <v>2</v>
      </c>
      <c r="B6" s="122" t="s">
        <v>179</v>
      </c>
      <c r="C6" s="122"/>
      <c r="D6" s="122"/>
      <c r="E6" s="123"/>
      <c r="F6" s="123" t="s">
        <v>63</v>
      </c>
      <c r="G6" s="123"/>
      <c r="H6" s="123">
        <v>6</v>
      </c>
      <c r="I6" s="124">
        <f t="shared" ref="I6:I14" si="0">(H6*10)/SUM($H$5:$H$14)</f>
        <v>1.1538461538461537</v>
      </c>
      <c r="J6" s="125">
        <f t="shared" ref="J6:J14" si="1">IF(F6="X",((H6*10)/SUM($H$5:$H$14)),0)</f>
        <v>1.1538461538461537</v>
      </c>
    </row>
    <row r="7" spans="1:10" ht="35.25" customHeight="1">
      <c r="A7" s="52">
        <v>3</v>
      </c>
      <c r="B7" s="122" t="s">
        <v>180</v>
      </c>
      <c r="C7" s="122"/>
      <c r="D7" s="122"/>
      <c r="E7" s="123" t="s">
        <v>63</v>
      </c>
      <c r="F7" s="123"/>
      <c r="G7" s="123"/>
      <c r="H7" s="123">
        <v>6</v>
      </c>
      <c r="I7" s="124">
        <f t="shared" si="0"/>
        <v>1.1538461538461537</v>
      </c>
      <c r="J7" s="125">
        <f t="shared" si="1"/>
        <v>0</v>
      </c>
    </row>
    <row r="8" spans="1:10" ht="31.5" customHeight="1">
      <c r="A8" s="52">
        <v>4</v>
      </c>
      <c r="B8" s="122" t="s">
        <v>181</v>
      </c>
      <c r="C8" s="122"/>
      <c r="D8" s="122"/>
      <c r="E8" s="123" t="s">
        <v>63</v>
      </c>
      <c r="F8" s="123"/>
      <c r="G8" s="123"/>
      <c r="H8" s="123">
        <v>10</v>
      </c>
      <c r="I8" s="124">
        <f t="shared" si="0"/>
        <v>1.9230769230769231</v>
      </c>
      <c r="J8" s="125">
        <f t="shared" si="1"/>
        <v>0</v>
      </c>
    </row>
    <row r="9" spans="1:10" ht="31.5" customHeight="1">
      <c r="A9" s="52">
        <v>5</v>
      </c>
      <c r="B9" s="122" t="s">
        <v>182</v>
      </c>
      <c r="C9" s="122"/>
      <c r="D9" s="122"/>
      <c r="E9" s="123" t="s">
        <v>63</v>
      </c>
      <c r="F9" s="123"/>
      <c r="G9" s="123"/>
      <c r="H9" s="123">
        <v>2</v>
      </c>
      <c r="I9" s="124">
        <f t="shared" si="0"/>
        <v>0.38461538461538464</v>
      </c>
      <c r="J9" s="125">
        <f t="shared" si="1"/>
        <v>0</v>
      </c>
    </row>
    <row r="10" spans="1:10" ht="58.5" customHeight="1">
      <c r="A10" s="52">
        <v>6</v>
      </c>
      <c r="B10" s="122" t="s">
        <v>183</v>
      </c>
      <c r="C10" s="122"/>
      <c r="D10" s="122"/>
      <c r="E10" s="123"/>
      <c r="F10" s="123" t="s">
        <v>63</v>
      </c>
      <c r="G10" s="123"/>
      <c r="H10" s="123">
        <v>6</v>
      </c>
      <c r="I10" s="124">
        <f t="shared" si="0"/>
        <v>1.1538461538461537</v>
      </c>
      <c r="J10" s="125">
        <f t="shared" si="1"/>
        <v>1.1538461538461537</v>
      </c>
    </row>
    <row r="11" spans="1:10" ht="31.5" customHeight="1">
      <c r="A11" s="52">
        <v>7</v>
      </c>
      <c r="B11" s="122" t="s">
        <v>184</v>
      </c>
      <c r="C11" s="122"/>
      <c r="D11" s="122"/>
      <c r="E11" s="123"/>
      <c r="F11" s="123" t="s">
        <v>63</v>
      </c>
      <c r="G11" s="123"/>
      <c r="H11" s="123">
        <v>2</v>
      </c>
      <c r="I11" s="124">
        <f t="shared" si="0"/>
        <v>0.38461538461538464</v>
      </c>
      <c r="J11" s="125">
        <f t="shared" si="1"/>
        <v>0.38461538461538464</v>
      </c>
    </row>
    <row r="12" spans="1:10" ht="43.5" customHeight="1">
      <c r="A12" s="52">
        <v>8</v>
      </c>
      <c r="B12" s="122" t="s">
        <v>185</v>
      </c>
      <c r="C12" s="122"/>
      <c r="D12" s="122"/>
      <c r="E12" s="123" t="s">
        <v>63</v>
      </c>
      <c r="F12" s="123"/>
      <c r="G12" s="123"/>
      <c r="H12" s="123">
        <v>2</v>
      </c>
      <c r="I12" s="124">
        <f t="shared" si="0"/>
        <v>0.38461538461538464</v>
      </c>
      <c r="J12" s="125">
        <f t="shared" si="1"/>
        <v>0</v>
      </c>
    </row>
    <row r="13" spans="1:10" ht="31.5" customHeight="1">
      <c r="A13" s="52">
        <v>9</v>
      </c>
      <c r="B13" s="122" t="s">
        <v>186</v>
      </c>
      <c r="C13" s="122"/>
      <c r="D13" s="122"/>
      <c r="E13" s="123"/>
      <c r="F13" s="123" t="s">
        <v>63</v>
      </c>
      <c r="G13" s="123"/>
      <c r="H13" s="123">
        <v>2</v>
      </c>
      <c r="I13" s="124">
        <f t="shared" si="0"/>
        <v>0.38461538461538464</v>
      </c>
      <c r="J13" s="125">
        <f t="shared" si="1"/>
        <v>0.38461538461538464</v>
      </c>
    </row>
    <row r="14" spans="1:10" ht="45.75" customHeight="1">
      <c r="A14" s="52">
        <v>10</v>
      </c>
      <c r="B14" s="122" t="s">
        <v>187</v>
      </c>
      <c r="C14" s="122"/>
      <c r="D14" s="122"/>
      <c r="E14" s="123" t="s">
        <v>63</v>
      </c>
      <c r="F14" s="123"/>
      <c r="G14" s="123"/>
      <c r="H14" s="123">
        <v>6</v>
      </c>
      <c r="I14" s="124">
        <f t="shared" si="0"/>
        <v>1.1538461538461537</v>
      </c>
      <c r="J14" s="125">
        <f t="shared" si="1"/>
        <v>0</v>
      </c>
    </row>
    <row r="15" spans="1:10" ht="15" customHeight="1">
      <c r="A15" s="83" t="s">
        <v>71</v>
      </c>
      <c r="B15" s="83"/>
      <c r="C15" s="83"/>
      <c r="D15" s="83"/>
      <c r="E15" s="83"/>
      <c r="F15" s="83"/>
      <c r="G15" s="83"/>
      <c r="H15" s="83"/>
      <c r="I15" s="28">
        <f>SUM(I5:I14)</f>
        <v>10</v>
      </c>
      <c r="J15" s="19">
        <f>SUM(J5:J14)</f>
        <v>5</v>
      </c>
    </row>
  </sheetData>
  <mergeCells count="18">
    <mergeCell ref="A15:H15"/>
    <mergeCell ref="B8:D8"/>
    <mergeCell ref="B9:D9"/>
    <mergeCell ref="B10:D10"/>
    <mergeCell ref="B11:D11"/>
    <mergeCell ref="B12:D12"/>
    <mergeCell ref="B13:D13"/>
    <mergeCell ref="A1:B1"/>
    <mergeCell ref="A2:B2"/>
    <mergeCell ref="C1:J1"/>
    <mergeCell ref="C2:J2"/>
    <mergeCell ref="B14:D14"/>
    <mergeCell ref="B7:D7"/>
    <mergeCell ref="A3:B3"/>
    <mergeCell ref="E3:J3"/>
    <mergeCell ref="B4:D4"/>
    <mergeCell ref="B5:D5"/>
    <mergeCell ref="B6:D6"/>
  </mergeCell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F580A-841A-4D37-865D-AF2BD144EA17}">
  <sheetPr>
    <tabColor rgb="FF00B0F0"/>
  </sheetPr>
  <dimension ref="A1:J15"/>
  <sheetViews>
    <sheetView workbookViewId="0">
      <selection activeCell="B6" sqref="A1:J15"/>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48</v>
      </c>
      <c r="D2" s="74"/>
      <c r="E2" s="74"/>
      <c r="F2" s="74"/>
      <c r="G2" s="74"/>
      <c r="H2" s="74"/>
      <c r="I2" s="74"/>
      <c r="J2" s="75"/>
    </row>
    <row r="3" spans="1:10" ht="90">
      <c r="A3" s="70" t="s">
        <v>81</v>
      </c>
      <c r="B3" s="70"/>
      <c r="C3" s="18" t="s">
        <v>93</v>
      </c>
      <c r="D3" s="55" t="s">
        <v>188</v>
      </c>
      <c r="E3" s="122" t="s">
        <v>319</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7.25" customHeight="1">
      <c r="A5" s="52">
        <v>1</v>
      </c>
      <c r="B5" s="122" t="s">
        <v>190</v>
      </c>
      <c r="C5" s="122"/>
      <c r="D5" s="122"/>
      <c r="E5" s="123"/>
      <c r="F5" s="123" t="s">
        <v>63</v>
      </c>
      <c r="G5" s="123"/>
      <c r="H5" s="123">
        <v>6</v>
      </c>
      <c r="I5" s="124">
        <f>(H5*10)/SUM($H$5:$H$14)</f>
        <v>1.5</v>
      </c>
      <c r="J5" s="125">
        <f>IF(F5="X",((H5*10)/SUM($H$5:$H$14)),0)</f>
        <v>1.5</v>
      </c>
    </row>
    <row r="6" spans="1:10" ht="44.25" customHeight="1">
      <c r="A6" s="52">
        <v>2</v>
      </c>
      <c r="B6" s="122" t="s">
        <v>191</v>
      </c>
      <c r="C6" s="122"/>
      <c r="D6" s="122"/>
      <c r="E6" s="123" t="s">
        <v>63</v>
      </c>
      <c r="F6" s="123"/>
      <c r="G6" s="123"/>
      <c r="H6" s="123">
        <v>6</v>
      </c>
      <c r="I6" s="124">
        <f t="shared" ref="I6:I14" si="0">(H6*10)/SUM($H$5:$H$14)</f>
        <v>1.5</v>
      </c>
      <c r="J6" s="125">
        <f t="shared" ref="J6:J14" si="1">IF(F6="X",((H6*10)/SUM($H$5:$H$14)),0)</f>
        <v>0</v>
      </c>
    </row>
    <row r="7" spans="1:10" ht="43.5" customHeight="1">
      <c r="A7" s="52">
        <v>3</v>
      </c>
      <c r="B7" s="122" t="s">
        <v>192</v>
      </c>
      <c r="C7" s="122"/>
      <c r="D7" s="122"/>
      <c r="E7" s="123" t="s">
        <v>63</v>
      </c>
      <c r="F7" s="123"/>
      <c r="G7" s="123"/>
      <c r="H7" s="123">
        <v>2</v>
      </c>
      <c r="I7" s="124">
        <f t="shared" si="0"/>
        <v>0.5</v>
      </c>
      <c r="J7" s="125">
        <f t="shared" si="1"/>
        <v>0</v>
      </c>
    </row>
    <row r="8" spans="1:10" ht="15">
      <c r="A8" s="52">
        <v>4</v>
      </c>
      <c r="B8" s="122" t="s">
        <v>193</v>
      </c>
      <c r="C8" s="122"/>
      <c r="D8" s="122"/>
      <c r="E8" s="123" t="s">
        <v>63</v>
      </c>
      <c r="F8" s="123"/>
      <c r="G8" s="123"/>
      <c r="H8" s="123">
        <v>2</v>
      </c>
      <c r="I8" s="124">
        <f t="shared" si="0"/>
        <v>0.5</v>
      </c>
      <c r="J8" s="125">
        <f t="shared" si="1"/>
        <v>0</v>
      </c>
    </row>
    <row r="9" spans="1:10" ht="31.5" customHeight="1">
      <c r="A9" s="52">
        <v>5</v>
      </c>
      <c r="B9" s="122" t="s">
        <v>194</v>
      </c>
      <c r="C9" s="122"/>
      <c r="D9" s="122"/>
      <c r="E9" s="123" t="s">
        <v>63</v>
      </c>
      <c r="F9" s="123"/>
      <c r="G9" s="123"/>
      <c r="H9" s="123">
        <v>2</v>
      </c>
      <c r="I9" s="124">
        <f t="shared" si="0"/>
        <v>0.5</v>
      </c>
      <c r="J9" s="125">
        <f t="shared" si="1"/>
        <v>0</v>
      </c>
    </row>
    <row r="10" spans="1:10" ht="42.75" customHeight="1">
      <c r="A10" s="52">
        <v>6</v>
      </c>
      <c r="B10" s="122" t="s">
        <v>195</v>
      </c>
      <c r="C10" s="122"/>
      <c r="D10" s="122"/>
      <c r="E10" s="123"/>
      <c r="F10" s="123" t="s">
        <v>63</v>
      </c>
      <c r="G10" s="123"/>
      <c r="H10" s="123">
        <v>2</v>
      </c>
      <c r="I10" s="124">
        <f t="shared" si="0"/>
        <v>0.5</v>
      </c>
      <c r="J10" s="125">
        <f t="shared" si="1"/>
        <v>0.5</v>
      </c>
    </row>
    <row r="11" spans="1:10" ht="29.25" customHeight="1">
      <c r="A11" s="52">
        <v>7</v>
      </c>
      <c r="B11" s="122" t="s">
        <v>196</v>
      </c>
      <c r="C11" s="122"/>
      <c r="D11" s="122"/>
      <c r="E11" s="123"/>
      <c r="F11" s="123" t="s">
        <v>63</v>
      </c>
      <c r="G11" s="123"/>
      <c r="H11" s="123">
        <v>6</v>
      </c>
      <c r="I11" s="124">
        <f t="shared" si="0"/>
        <v>1.5</v>
      </c>
      <c r="J11" s="125">
        <f t="shared" si="1"/>
        <v>1.5</v>
      </c>
    </row>
    <row r="12" spans="1:10" ht="44.25" customHeight="1">
      <c r="A12" s="52">
        <v>8</v>
      </c>
      <c r="B12" s="122" t="s">
        <v>197</v>
      </c>
      <c r="C12" s="122"/>
      <c r="D12" s="122"/>
      <c r="E12" s="123" t="s">
        <v>63</v>
      </c>
      <c r="F12" s="123"/>
      <c r="G12" s="123"/>
      <c r="H12" s="123">
        <v>6</v>
      </c>
      <c r="I12" s="124">
        <f t="shared" si="0"/>
        <v>1.5</v>
      </c>
      <c r="J12" s="125">
        <f t="shared" si="1"/>
        <v>0</v>
      </c>
    </row>
    <row r="13" spans="1:10" ht="31.5" customHeight="1">
      <c r="A13" s="52">
        <v>9</v>
      </c>
      <c r="B13" s="122" t="s">
        <v>198</v>
      </c>
      <c r="C13" s="122"/>
      <c r="D13" s="122"/>
      <c r="E13" s="123"/>
      <c r="F13" s="123" t="s">
        <v>63</v>
      </c>
      <c r="G13" s="123"/>
      <c r="H13" s="123">
        <v>2</v>
      </c>
      <c r="I13" s="124">
        <f t="shared" si="0"/>
        <v>0.5</v>
      </c>
      <c r="J13" s="125">
        <f t="shared" si="1"/>
        <v>0.5</v>
      </c>
    </row>
    <row r="14" spans="1:10" ht="60" customHeight="1">
      <c r="A14" s="52">
        <v>10</v>
      </c>
      <c r="B14" s="122" t="s">
        <v>199</v>
      </c>
      <c r="C14" s="122"/>
      <c r="D14" s="122"/>
      <c r="E14" s="123" t="s">
        <v>63</v>
      </c>
      <c r="F14" s="123"/>
      <c r="G14" s="123"/>
      <c r="H14" s="123">
        <v>6</v>
      </c>
      <c r="I14" s="124">
        <f t="shared" si="0"/>
        <v>1.5</v>
      </c>
      <c r="J14" s="125">
        <f t="shared" si="1"/>
        <v>0</v>
      </c>
    </row>
    <row r="15" spans="1:10" ht="15" customHeight="1">
      <c r="A15" s="83" t="s">
        <v>71</v>
      </c>
      <c r="B15" s="83"/>
      <c r="C15" s="83"/>
      <c r="D15" s="83"/>
      <c r="E15" s="83"/>
      <c r="F15" s="83"/>
      <c r="G15" s="83"/>
      <c r="H15" s="83"/>
      <c r="I15" s="28">
        <f>SUM(I5:I14)</f>
        <v>10</v>
      </c>
      <c r="J15" s="19">
        <f>SUM(J5:J14)</f>
        <v>4</v>
      </c>
    </row>
  </sheetData>
  <mergeCells count="18">
    <mergeCell ref="A15:H15"/>
    <mergeCell ref="B8:D8"/>
    <mergeCell ref="B9:D9"/>
    <mergeCell ref="B10:D10"/>
    <mergeCell ref="B11:D11"/>
    <mergeCell ref="B12:D12"/>
    <mergeCell ref="B13:D13"/>
    <mergeCell ref="A1:B1"/>
    <mergeCell ref="A2:B2"/>
    <mergeCell ref="C1:J1"/>
    <mergeCell ref="C2:J2"/>
    <mergeCell ref="B14:D14"/>
    <mergeCell ref="B7:D7"/>
    <mergeCell ref="A3:B3"/>
    <mergeCell ref="E3:J3"/>
    <mergeCell ref="B4:D4"/>
    <mergeCell ref="B5:D5"/>
    <mergeCell ref="B6:D6"/>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20F42-9527-41DF-B53F-372527A065E6}">
  <sheetPr>
    <tabColor rgb="FF00B0F0"/>
  </sheetPr>
  <dimension ref="A1:J20"/>
  <sheetViews>
    <sheetView workbookViewId="0">
      <selection activeCell="B8" sqref="A1:J20"/>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48</v>
      </c>
      <c r="D2" s="74"/>
      <c r="E2" s="74"/>
      <c r="F2" s="74"/>
      <c r="G2" s="74"/>
      <c r="H2" s="74"/>
      <c r="I2" s="74"/>
      <c r="J2" s="75"/>
    </row>
    <row r="3" spans="1:10" ht="30">
      <c r="A3" s="70" t="s">
        <v>81</v>
      </c>
      <c r="B3" s="70"/>
      <c r="C3" s="18" t="s">
        <v>200</v>
      </c>
      <c r="D3" s="55" t="s">
        <v>201</v>
      </c>
      <c r="E3" s="122" t="s">
        <v>202</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7.25" customHeight="1">
      <c r="A5" s="52">
        <v>1</v>
      </c>
      <c r="B5" s="122" t="s">
        <v>203</v>
      </c>
      <c r="C5" s="122"/>
      <c r="D5" s="122"/>
      <c r="E5" s="123"/>
      <c r="F5" s="123" t="s">
        <v>63</v>
      </c>
      <c r="G5" s="123"/>
      <c r="H5" s="123">
        <v>10</v>
      </c>
      <c r="I5" s="124">
        <f>(H5*10)/SUM($H$5:$H$19)</f>
        <v>1.3513513513513513</v>
      </c>
      <c r="J5" s="125">
        <f>IF(F5="X",((H5*10)/SUM($H$5:$H$19)),0)</f>
        <v>1.3513513513513513</v>
      </c>
    </row>
    <row r="6" spans="1:10" ht="47.25" customHeight="1">
      <c r="A6" s="52">
        <v>2</v>
      </c>
      <c r="B6" s="122" t="s">
        <v>204</v>
      </c>
      <c r="C6" s="122"/>
      <c r="D6" s="122"/>
      <c r="E6" s="123"/>
      <c r="F6" s="123" t="s">
        <v>63</v>
      </c>
      <c r="G6" s="123"/>
      <c r="H6" s="123">
        <v>6</v>
      </c>
      <c r="I6" s="124">
        <f t="shared" ref="I6:I19" si="0">(H6*10)/SUM($H$5:$H$19)</f>
        <v>0.81081081081081086</v>
      </c>
      <c r="J6" s="125">
        <f t="shared" ref="J6:J19" si="1">IF(F6="X",((H6*10)/SUM($H$5:$H$19)),0)</f>
        <v>0.81081081081081086</v>
      </c>
    </row>
    <row r="7" spans="1:10" ht="31.5" customHeight="1">
      <c r="A7" s="52">
        <v>3</v>
      </c>
      <c r="B7" s="122" t="s">
        <v>205</v>
      </c>
      <c r="C7" s="122"/>
      <c r="D7" s="122"/>
      <c r="E7" s="123"/>
      <c r="F7" s="123" t="s">
        <v>63</v>
      </c>
      <c r="G7" s="123"/>
      <c r="H7" s="123">
        <v>10</v>
      </c>
      <c r="I7" s="124">
        <f t="shared" si="0"/>
        <v>1.3513513513513513</v>
      </c>
      <c r="J7" s="125">
        <f t="shared" si="1"/>
        <v>1.3513513513513513</v>
      </c>
    </row>
    <row r="8" spans="1:10" ht="47.25" customHeight="1">
      <c r="A8" s="52">
        <v>4</v>
      </c>
      <c r="B8" s="122" t="s">
        <v>206</v>
      </c>
      <c r="C8" s="122"/>
      <c r="D8" s="122"/>
      <c r="E8" s="123"/>
      <c r="F8" s="123" t="s">
        <v>63</v>
      </c>
      <c r="G8" s="123"/>
      <c r="H8" s="123">
        <v>10</v>
      </c>
      <c r="I8" s="124">
        <f t="shared" si="0"/>
        <v>1.3513513513513513</v>
      </c>
      <c r="J8" s="125">
        <f t="shared" si="1"/>
        <v>1.3513513513513513</v>
      </c>
    </row>
    <row r="9" spans="1:10" ht="47.25" customHeight="1">
      <c r="A9" s="52">
        <v>5</v>
      </c>
      <c r="B9" s="122" t="s">
        <v>207</v>
      </c>
      <c r="C9" s="122"/>
      <c r="D9" s="122"/>
      <c r="E9" s="123"/>
      <c r="F9" s="123" t="s">
        <v>63</v>
      </c>
      <c r="G9" s="123"/>
      <c r="H9" s="123">
        <v>6</v>
      </c>
      <c r="I9" s="124">
        <f t="shared" si="0"/>
        <v>0.81081081081081086</v>
      </c>
      <c r="J9" s="125">
        <f t="shared" si="1"/>
        <v>0.81081081081081086</v>
      </c>
    </row>
    <row r="10" spans="1:10" ht="31.5" customHeight="1">
      <c r="A10" s="52">
        <v>6</v>
      </c>
      <c r="B10" s="122" t="s">
        <v>208</v>
      </c>
      <c r="C10" s="122"/>
      <c r="D10" s="122"/>
      <c r="E10" s="123" t="s">
        <v>63</v>
      </c>
      <c r="F10" s="123"/>
      <c r="G10" s="123"/>
      <c r="H10" s="123">
        <v>2</v>
      </c>
      <c r="I10" s="124">
        <f t="shared" si="0"/>
        <v>0.27027027027027029</v>
      </c>
      <c r="J10" s="125">
        <f t="shared" si="1"/>
        <v>0</v>
      </c>
    </row>
    <row r="11" spans="1:10" ht="47.25" customHeight="1">
      <c r="A11" s="52">
        <v>7</v>
      </c>
      <c r="B11" s="122" t="s">
        <v>209</v>
      </c>
      <c r="C11" s="122"/>
      <c r="D11" s="122"/>
      <c r="E11" s="123" t="s">
        <v>63</v>
      </c>
      <c r="F11" s="123"/>
      <c r="G11" s="123"/>
      <c r="H11" s="123">
        <v>6</v>
      </c>
      <c r="I11" s="124">
        <f t="shared" si="0"/>
        <v>0.81081081081081086</v>
      </c>
      <c r="J11" s="125">
        <f t="shared" si="1"/>
        <v>0</v>
      </c>
    </row>
    <row r="12" spans="1:10" ht="47.25" customHeight="1">
      <c r="A12" s="52">
        <v>8</v>
      </c>
      <c r="B12" s="122" t="s">
        <v>210</v>
      </c>
      <c r="C12" s="122"/>
      <c r="D12" s="122"/>
      <c r="E12" s="123" t="s">
        <v>63</v>
      </c>
      <c r="F12" s="123"/>
      <c r="G12" s="123"/>
      <c r="H12" s="123">
        <v>2</v>
      </c>
      <c r="I12" s="124">
        <f t="shared" si="0"/>
        <v>0.27027027027027029</v>
      </c>
      <c r="J12" s="125">
        <f t="shared" si="1"/>
        <v>0</v>
      </c>
    </row>
    <row r="13" spans="1:10" ht="45" customHeight="1">
      <c r="A13" s="52">
        <v>9</v>
      </c>
      <c r="B13" s="122" t="s">
        <v>211</v>
      </c>
      <c r="C13" s="122"/>
      <c r="D13" s="122"/>
      <c r="E13" s="123"/>
      <c r="F13" s="123" t="s">
        <v>63</v>
      </c>
      <c r="G13" s="123"/>
      <c r="H13" s="123">
        <v>2</v>
      </c>
      <c r="I13" s="124">
        <f t="shared" si="0"/>
        <v>0.27027027027027029</v>
      </c>
      <c r="J13" s="125">
        <f t="shared" si="1"/>
        <v>0.27027027027027029</v>
      </c>
    </row>
    <row r="14" spans="1:10" ht="31.5" customHeight="1">
      <c r="A14" s="52">
        <v>10</v>
      </c>
      <c r="B14" s="122" t="s">
        <v>212</v>
      </c>
      <c r="C14" s="122"/>
      <c r="D14" s="122"/>
      <c r="E14" s="123"/>
      <c r="F14" s="123" t="s">
        <v>63</v>
      </c>
      <c r="G14" s="123"/>
      <c r="H14" s="123">
        <v>2</v>
      </c>
      <c r="I14" s="124">
        <f t="shared" si="0"/>
        <v>0.27027027027027029</v>
      </c>
      <c r="J14" s="125">
        <f t="shared" si="1"/>
        <v>0.27027027027027029</v>
      </c>
    </row>
    <row r="15" spans="1:10" ht="43.5" customHeight="1">
      <c r="A15" s="52">
        <v>11</v>
      </c>
      <c r="B15" s="122" t="s">
        <v>213</v>
      </c>
      <c r="C15" s="122"/>
      <c r="D15" s="122"/>
      <c r="E15" s="123"/>
      <c r="F15" s="123" t="s">
        <v>63</v>
      </c>
      <c r="G15" s="123"/>
      <c r="H15" s="123">
        <v>2</v>
      </c>
      <c r="I15" s="124">
        <f t="shared" si="0"/>
        <v>0.27027027027027029</v>
      </c>
      <c r="J15" s="125">
        <f t="shared" si="1"/>
        <v>0.27027027027027029</v>
      </c>
    </row>
    <row r="16" spans="1:10" ht="31.5" customHeight="1">
      <c r="A16" s="52">
        <v>12</v>
      </c>
      <c r="B16" s="122" t="s">
        <v>214</v>
      </c>
      <c r="C16" s="122"/>
      <c r="D16" s="122"/>
      <c r="E16" s="123"/>
      <c r="F16" s="123" t="s">
        <v>63</v>
      </c>
      <c r="G16" s="123"/>
      <c r="H16" s="123">
        <v>6</v>
      </c>
      <c r="I16" s="124">
        <f t="shared" si="0"/>
        <v>0.81081081081081086</v>
      </c>
      <c r="J16" s="125">
        <f t="shared" si="1"/>
        <v>0.81081081081081086</v>
      </c>
    </row>
    <row r="17" spans="1:10" ht="47.25" customHeight="1">
      <c r="A17" s="52">
        <v>13</v>
      </c>
      <c r="B17" s="122" t="s">
        <v>215</v>
      </c>
      <c r="C17" s="122"/>
      <c r="D17" s="122"/>
      <c r="E17" s="123"/>
      <c r="F17" s="123" t="s">
        <v>63</v>
      </c>
      <c r="G17" s="123"/>
      <c r="H17" s="123">
        <v>6</v>
      </c>
      <c r="I17" s="124">
        <f t="shared" si="0"/>
        <v>0.81081081081081086</v>
      </c>
      <c r="J17" s="125">
        <f t="shared" si="1"/>
        <v>0.81081081081081086</v>
      </c>
    </row>
    <row r="18" spans="1:10" ht="31.5" customHeight="1">
      <c r="A18" s="52">
        <v>14</v>
      </c>
      <c r="B18" s="122" t="s">
        <v>216</v>
      </c>
      <c r="C18" s="122"/>
      <c r="D18" s="122"/>
      <c r="E18" s="123" t="s">
        <v>63</v>
      </c>
      <c r="F18" s="123"/>
      <c r="G18" s="123"/>
      <c r="H18" s="123">
        <v>2</v>
      </c>
      <c r="I18" s="124">
        <f t="shared" si="0"/>
        <v>0.27027027027027029</v>
      </c>
      <c r="J18" s="125">
        <f t="shared" si="1"/>
        <v>0</v>
      </c>
    </row>
    <row r="19" spans="1:10" ht="47.25" customHeight="1">
      <c r="A19" s="52">
        <v>15</v>
      </c>
      <c r="B19" s="122" t="s">
        <v>217</v>
      </c>
      <c r="C19" s="122"/>
      <c r="D19" s="122"/>
      <c r="E19" s="123" t="s">
        <v>63</v>
      </c>
      <c r="F19" s="123"/>
      <c r="G19" s="123"/>
      <c r="H19" s="123">
        <v>2</v>
      </c>
      <c r="I19" s="124">
        <f t="shared" si="0"/>
        <v>0.27027027027027029</v>
      </c>
      <c r="J19" s="125">
        <f t="shared" si="1"/>
        <v>0</v>
      </c>
    </row>
    <row r="20" spans="1:10" ht="15" customHeight="1">
      <c r="A20" s="83" t="s">
        <v>71</v>
      </c>
      <c r="B20" s="83"/>
      <c r="C20" s="83"/>
      <c r="D20" s="83"/>
      <c r="E20" s="83"/>
      <c r="F20" s="83"/>
      <c r="G20" s="83"/>
      <c r="H20" s="83"/>
      <c r="I20" s="28">
        <f>SUM(I5:I19)</f>
        <v>9.9999999999999982</v>
      </c>
      <c r="J20" s="19">
        <f>SUM(J5:J19)</f>
        <v>8.108108108108107</v>
      </c>
    </row>
  </sheetData>
  <mergeCells count="23">
    <mergeCell ref="A20:H20"/>
    <mergeCell ref="B10:D10"/>
    <mergeCell ref="B19:D19"/>
    <mergeCell ref="B8:D8"/>
    <mergeCell ref="B9:D9"/>
    <mergeCell ref="B17:D17"/>
    <mergeCell ref="B18:D18"/>
    <mergeCell ref="B15:D15"/>
    <mergeCell ref="B16:D16"/>
    <mergeCell ref="B4:D4"/>
    <mergeCell ref="B5:D5"/>
    <mergeCell ref="B6:D6"/>
    <mergeCell ref="B7:D7"/>
    <mergeCell ref="B14:D14"/>
    <mergeCell ref="B11:D11"/>
    <mergeCell ref="B12:D12"/>
    <mergeCell ref="B13:D13"/>
    <mergeCell ref="A1:B1"/>
    <mergeCell ref="A2:B2"/>
    <mergeCell ref="C1:J1"/>
    <mergeCell ref="C2:J2"/>
    <mergeCell ref="E3:J3"/>
    <mergeCell ref="A3:B3"/>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DD56-342B-41A7-988F-C70BD64BD98F}">
  <sheetPr>
    <tabColor rgb="FF00B0F0"/>
  </sheetPr>
  <dimension ref="A1:I15"/>
  <sheetViews>
    <sheetView workbookViewId="0">
      <selection activeCell="B7" sqref="A1:I15"/>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52</v>
      </c>
      <c r="D1" s="120"/>
      <c r="E1" s="120"/>
      <c r="F1" s="120"/>
      <c r="G1" s="120"/>
      <c r="H1" s="120"/>
      <c r="I1" s="121"/>
    </row>
    <row r="2" spans="1:9" ht="15">
      <c r="A2" s="70" t="s">
        <v>0</v>
      </c>
      <c r="B2" s="70"/>
      <c r="C2" s="84" t="s">
        <v>48</v>
      </c>
      <c r="D2" s="120"/>
      <c r="E2" s="120"/>
      <c r="F2" s="120"/>
      <c r="G2" s="120"/>
      <c r="H2" s="120"/>
      <c r="I2" s="121"/>
    </row>
    <row r="3" spans="1:9" ht="15">
      <c r="A3" s="70" t="s">
        <v>218</v>
      </c>
      <c r="B3" s="70"/>
      <c r="C3" s="55" t="s">
        <v>219</v>
      </c>
      <c r="D3" s="122">
        <v>130</v>
      </c>
      <c r="E3" s="122"/>
      <c r="F3" s="122"/>
      <c r="G3" s="122"/>
      <c r="H3" s="122"/>
      <c r="I3" s="122"/>
    </row>
    <row r="4" spans="1:9" ht="60">
      <c r="A4" s="52" t="s">
        <v>55</v>
      </c>
      <c r="B4" s="70" t="s">
        <v>56</v>
      </c>
      <c r="C4" s="70"/>
      <c r="D4" s="52" t="s">
        <v>24</v>
      </c>
      <c r="E4" s="52" t="s">
        <v>57</v>
      </c>
      <c r="F4" s="52" t="s">
        <v>58</v>
      </c>
      <c r="G4" s="52" t="s">
        <v>59</v>
      </c>
      <c r="H4" s="52" t="s">
        <v>60</v>
      </c>
      <c r="I4" s="52" t="s">
        <v>61</v>
      </c>
    </row>
    <row r="5" spans="1:9" ht="42.75" customHeight="1">
      <c r="A5" s="52">
        <v>1</v>
      </c>
      <c r="B5" s="122" t="s">
        <v>220</v>
      </c>
      <c r="C5" s="122"/>
      <c r="D5" s="123"/>
      <c r="E5" s="123" t="s">
        <v>63</v>
      </c>
      <c r="F5" s="123"/>
      <c r="G5" s="123">
        <v>10</v>
      </c>
      <c r="H5" s="124">
        <f>(G5*10)/SUM($G$5:$G$14)</f>
        <v>1.0869565217391304</v>
      </c>
      <c r="I5" s="125">
        <f>IF(E5="X",((G5*10)/SUM($G$5:$G$14)),0)</f>
        <v>1.0869565217391304</v>
      </c>
    </row>
    <row r="6" spans="1:9" ht="45" customHeight="1">
      <c r="A6" s="52">
        <v>2</v>
      </c>
      <c r="B6" s="122" t="s">
        <v>221</v>
      </c>
      <c r="C6" s="122"/>
      <c r="D6" s="123"/>
      <c r="E6" s="123" t="s">
        <v>63</v>
      </c>
      <c r="F6" s="123"/>
      <c r="G6" s="123">
        <v>6</v>
      </c>
      <c r="H6" s="124">
        <f t="shared" ref="H6:H14" si="0">(G6*10)/SUM($G$5:$G$14)</f>
        <v>0.65217391304347827</v>
      </c>
      <c r="I6" s="125">
        <f t="shared" ref="I6:I14" si="1">IF(E6="X",((G6*10)/SUM($G$5:$G$14)),0)</f>
        <v>0.65217391304347827</v>
      </c>
    </row>
    <row r="7" spans="1:9" ht="31.5" customHeight="1">
      <c r="A7" s="52">
        <v>3</v>
      </c>
      <c r="B7" s="122" t="s">
        <v>222</v>
      </c>
      <c r="C7" s="122"/>
      <c r="D7" s="123"/>
      <c r="E7" s="123" t="s">
        <v>63</v>
      </c>
      <c r="F7" s="123"/>
      <c r="G7" s="123">
        <v>6</v>
      </c>
      <c r="H7" s="124">
        <f t="shared" si="0"/>
        <v>0.65217391304347827</v>
      </c>
      <c r="I7" s="125">
        <f t="shared" si="1"/>
        <v>0.65217391304347827</v>
      </c>
    </row>
    <row r="8" spans="1:9" ht="58.5" customHeight="1">
      <c r="A8" s="52">
        <v>4</v>
      </c>
      <c r="B8" s="122" t="s">
        <v>223</v>
      </c>
      <c r="C8" s="122"/>
      <c r="D8" s="123"/>
      <c r="E8" s="123" t="s">
        <v>63</v>
      </c>
      <c r="F8" s="123"/>
      <c r="G8" s="123">
        <v>10</v>
      </c>
      <c r="H8" s="124">
        <f t="shared" si="0"/>
        <v>1.0869565217391304</v>
      </c>
      <c r="I8" s="125">
        <f t="shared" si="1"/>
        <v>1.0869565217391304</v>
      </c>
    </row>
    <row r="9" spans="1:9" ht="47.25" customHeight="1">
      <c r="A9" s="52">
        <v>5</v>
      </c>
      <c r="B9" s="122" t="s">
        <v>224</v>
      </c>
      <c r="C9" s="122"/>
      <c r="D9" s="123"/>
      <c r="E9" s="123" t="s">
        <v>63</v>
      </c>
      <c r="F9" s="123"/>
      <c r="G9" s="123">
        <v>10</v>
      </c>
      <c r="H9" s="124">
        <f t="shared" si="0"/>
        <v>1.0869565217391304</v>
      </c>
      <c r="I9" s="125">
        <f t="shared" si="1"/>
        <v>1.0869565217391304</v>
      </c>
    </row>
    <row r="10" spans="1:9" ht="63" customHeight="1">
      <c r="A10" s="52">
        <v>6</v>
      </c>
      <c r="B10" s="122" t="s">
        <v>225</v>
      </c>
      <c r="C10" s="122"/>
      <c r="D10" s="123"/>
      <c r="E10" s="123" t="s">
        <v>63</v>
      </c>
      <c r="F10" s="123"/>
      <c r="G10" s="123">
        <v>10</v>
      </c>
      <c r="H10" s="124">
        <f t="shared" si="0"/>
        <v>1.0869565217391304</v>
      </c>
      <c r="I10" s="125">
        <f t="shared" si="1"/>
        <v>1.0869565217391304</v>
      </c>
    </row>
    <row r="11" spans="1:9" ht="47.25" customHeight="1">
      <c r="A11" s="52">
        <v>7</v>
      </c>
      <c r="B11" s="122" t="s">
        <v>226</v>
      </c>
      <c r="C11" s="122"/>
      <c r="D11" s="123"/>
      <c r="E11" s="123" t="s">
        <v>63</v>
      </c>
      <c r="F11" s="123"/>
      <c r="G11" s="123">
        <v>10</v>
      </c>
      <c r="H11" s="124">
        <f t="shared" si="0"/>
        <v>1.0869565217391304</v>
      </c>
      <c r="I11" s="125">
        <f t="shared" si="1"/>
        <v>1.0869565217391304</v>
      </c>
    </row>
    <row r="12" spans="1:9" ht="47.25" customHeight="1">
      <c r="A12" s="52">
        <v>8</v>
      </c>
      <c r="B12" s="122" t="s">
        <v>227</v>
      </c>
      <c r="C12" s="122"/>
      <c r="D12" s="123"/>
      <c r="E12" s="123" t="s">
        <v>63</v>
      </c>
      <c r="F12" s="123"/>
      <c r="G12" s="123">
        <v>10</v>
      </c>
      <c r="H12" s="124">
        <f t="shared" si="0"/>
        <v>1.0869565217391304</v>
      </c>
      <c r="I12" s="125">
        <f t="shared" si="1"/>
        <v>1.0869565217391304</v>
      </c>
    </row>
    <row r="13" spans="1:9" ht="47.25" customHeight="1">
      <c r="A13" s="52">
        <v>9</v>
      </c>
      <c r="B13" s="122" t="s">
        <v>228</v>
      </c>
      <c r="C13" s="122"/>
      <c r="D13" s="123"/>
      <c r="E13" s="123" t="s">
        <v>63</v>
      </c>
      <c r="F13" s="123"/>
      <c r="G13" s="123">
        <v>10</v>
      </c>
      <c r="H13" s="124">
        <f t="shared" si="0"/>
        <v>1.0869565217391304</v>
      </c>
      <c r="I13" s="125">
        <f t="shared" si="1"/>
        <v>1.0869565217391304</v>
      </c>
    </row>
    <row r="14" spans="1:9" ht="63" customHeight="1">
      <c r="A14" s="52">
        <v>10</v>
      </c>
      <c r="B14" s="122" t="s">
        <v>229</v>
      </c>
      <c r="C14" s="122"/>
      <c r="D14" s="123"/>
      <c r="E14" s="123" t="s">
        <v>63</v>
      </c>
      <c r="F14" s="123"/>
      <c r="G14" s="123">
        <v>10</v>
      </c>
      <c r="H14" s="124">
        <f t="shared" si="0"/>
        <v>1.0869565217391304</v>
      </c>
      <c r="I14" s="125">
        <f t="shared" si="1"/>
        <v>1.0869565217391304</v>
      </c>
    </row>
    <row r="15" spans="1:9" ht="15.75" customHeight="1">
      <c r="A15" s="83" t="s">
        <v>71</v>
      </c>
      <c r="B15" s="83"/>
      <c r="C15" s="83"/>
      <c r="D15" s="83"/>
      <c r="E15" s="83"/>
      <c r="F15" s="83"/>
      <c r="G15" s="83"/>
      <c r="H15" s="28">
        <f>SUM(H5:H14)</f>
        <v>10.000000000000002</v>
      </c>
      <c r="I15" s="20">
        <f>SUM(I5:I14)</f>
        <v>10.000000000000002</v>
      </c>
    </row>
  </sheetData>
  <mergeCells count="18">
    <mergeCell ref="B11:C11"/>
    <mergeCell ref="B12:C12"/>
    <mergeCell ref="B13:C13"/>
    <mergeCell ref="B14:C14"/>
    <mergeCell ref="A15:G15"/>
    <mergeCell ref="B10:C10"/>
    <mergeCell ref="A3:B3"/>
    <mergeCell ref="B4:C4"/>
    <mergeCell ref="B5:C5"/>
    <mergeCell ref="B6:C6"/>
    <mergeCell ref="B7:C7"/>
    <mergeCell ref="B8:C8"/>
    <mergeCell ref="B9:C9"/>
    <mergeCell ref="A1:B1"/>
    <mergeCell ref="A2:B2"/>
    <mergeCell ref="C1:I1"/>
    <mergeCell ref="C2:I2"/>
    <mergeCell ref="D3:I3"/>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AD762-53FC-4E44-B38E-00F63581D25C}">
  <sheetPr>
    <tabColor rgb="FF99FFCC"/>
  </sheetPr>
  <dimension ref="A1:I13"/>
  <sheetViews>
    <sheetView workbookViewId="0">
      <selection activeCell="H8" sqref="A1:I13"/>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52</v>
      </c>
      <c r="D1" s="120"/>
      <c r="E1" s="120"/>
      <c r="F1" s="120"/>
      <c r="G1" s="120"/>
      <c r="H1" s="120"/>
      <c r="I1" s="121"/>
    </row>
    <row r="2" spans="1:9" ht="15">
      <c r="A2" s="70" t="s">
        <v>0</v>
      </c>
      <c r="B2" s="70"/>
      <c r="C2" s="84" t="s">
        <v>49</v>
      </c>
      <c r="D2" s="120"/>
      <c r="E2" s="120"/>
      <c r="F2" s="120"/>
      <c r="G2" s="120"/>
      <c r="H2" s="120"/>
      <c r="I2" s="121"/>
    </row>
    <row r="3" spans="1:9" ht="15">
      <c r="A3" s="70" t="s">
        <v>53</v>
      </c>
      <c r="B3" s="70"/>
      <c r="C3" s="55" t="s">
        <v>54</v>
      </c>
      <c r="D3" s="122">
        <v>330</v>
      </c>
      <c r="E3" s="122"/>
      <c r="F3" s="122"/>
      <c r="G3" s="122"/>
      <c r="H3" s="122"/>
      <c r="I3" s="122"/>
    </row>
    <row r="4" spans="1:9" ht="60">
      <c r="A4" s="52" t="s">
        <v>55</v>
      </c>
      <c r="B4" s="70" t="s">
        <v>56</v>
      </c>
      <c r="C4" s="70"/>
      <c r="D4" s="52" t="s">
        <v>24</v>
      </c>
      <c r="E4" s="52" t="s">
        <v>57</v>
      </c>
      <c r="F4" s="52" t="s">
        <v>58</v>
      </c>
      <c r="G4" s="52" t="s">
        <v>59</v>
      </c>
      <c r="H4" s="52" t="s">
        <v>60</v>
      </c>
      <c r="I4" s="52" t="s">
        <v>61</v>
      </c>
    </row>
    <row r="5" spans="1:9" ht="47.25" customHeight="1">
      <c r="A5" s="52">
        <v>1</v>
      </c>
      <c r="B5" s="122" t="s">
        <v>62</v>
      </c>
      <c r="C5" s="122"/>
      <c r="D5" s="123"/>
      <c r="E5" s="123" t="s">
        <v>63</v>
      </c>
      <c r="F5" s="123"/>
      <c r="G5" s="123">
        <v>10</v>
      </c>
      <c r="H5" s="124">
        <f>(G5*10)/SUM($G$5:$G$12)</f>
        <v>1.5625</v>
      </c>
      <c r="I5" s="125">
        <f t="shared" ref="I5:I12" si="0">IF(E5="X",((G5*10)/SUM($G$5:$G$12)),0)</f>
        <v>1.5625</v>
      </c>
    </row>
    <row r="6" spans="1:9" ht="63" customHeight="1">
      <c r="A6" s="52">
        <v>2</v>
      </c>
      <c r="B6" s="122" t="s">
        <v>64</v>
      </c>
      <c r="C6" s="122"/>
      <c r="D6" s="123"/>
      <c r="E6" s="123" t="s">
        <v>63</v>
      </c>
      <c r="F6" s="123"/>
      <c r="G6" s="123">
        <v>6</v>
      </c>
      <c r="H6" s="124">
        <f t="shared" ref="H6:H12" si="1">(G6*10)/SUM($G$5:$G$12)</f>
        <v>0.9375</v>
      </c>
      <c r="I6" s="125">
        <f t="shared" si="0"/>
        <v>0.9375</v>
      </c>
    </row>
    <row r="7" spans="1:9" ht="47.25" customHeight="1">
      <c r="A7" s="52">
        <v>3</v>
      </c>
      <c r="B7" s="122" t="s">
        <v>65</v>
      </c>
      <c r="C7" s="122"/>
      <c r="D7" s="123"/>
      <c r="E7" s="123" t="s">
        <v>63</v>
      </c>
      <c r="F7" s="123"/>
      <c r="G7" s="123">
        <v>10</v>
      </c>
      <c r="H7" s="124">
        <f t="shared" si="1"/>
        <v>1.5625</v>
      </c>
      <c r="I7" s="125">
        <f t="shared" si="0"/>
        <v>1.5625</v>
      </c>
    </row>
    <row r="8" spans="1:9" ht="47.25" customHeight="1">
      <c r="A8" s="52">
        <v>4</v>
      </c>
      <c r="B8" s="122" t="s">
        <v>66</v>
      </c>
      <c r="C8" s="122"/>
      <c r="D8" s="123"/>
      <c r="E8" s="123" t="s">
        <v>63</v>
      </c>
      <c r="F8" s="123"/>
      <c r="G8" s="123">
        <v>2</v>
      </c>
      <c r="H8" s="124">
        <f t="shared" si="1"/>
        <v>0.3125</v>
      </c>
      <c r="I8" s="125">
        <f t="shared" si="0"/>
        <v>0.3125</v>
      </c>
    </row>
    <row r="9" spans="1:9" ht="78.75" customHeight="1">
      <c r="A9" s="52">
        <v>5</v>
      </c>
      <c r="B9" s="122" t="s">
        <v>67</v>
      </c>
      <c r="C9" s="122"/>
      <c r="D9" s="123"/>
      <c r="E9" s="123" t="s">
        <v>63</v>
      </c>
      <c r="F9" s="123"/>
      <c r="G9" s="123">
        <v>10</v>
      </c>
      <c r="H9" s="124">
        <f t="shared" si="1"/>
        <v>1.5625</v>
      </c>
      <c r="I9" s="125">
        <f t="shared" si="0"/>
        <v>1.5625</v>
      </c>
    </row>
    <row r="10" spans="1:9" ht="47.25" customHeight="1">
      <c r="A10" s="52">
        <v>6</v>
      </c>
      <c r="B10" s="122" t="s">
        <v>68</v>
      </c>
      <c r="C10" s="122"/>
      <c r="D10" s="123"/>
      <c r="E10" s="123" t="s">
        <v>63</v>
      </c>
      <c r="F10" s="123"/>
      <c r="G10" s="123">
        <v>6</v>
      </c>
      <c r="H10" s="124">
        <f t="shared" si="1"/>
        <v>0.9375</v>
      </c>
      <c r="I10" s="125">
        <f t="shared" si="0"/>
        <v>0.9375</v>
      </c>
    </row>
    <row r="11" spans="1:9" ht="50.25" customHeight="1">
      <c r="A11" s="52">
        <v>7</v>
      </c>
      <c r="B11" s="122" t="s">
        <v>69</v>
      </c>
      <c r="C11" s="122"/>
      <c r="D11" s="123"/>
      <c r="E11" s="123" t="s">
        <v>63</v>
      </c>
      <c r="F11" s="123"/>
      <c r="G11" s="123">
        <v>10</v>
      </c>
      <c r="H11" s="124">
        <f t="shared" si="1"/>
        <v>1.5625</v>
      </c>
      <c r="I11" s="125">
        <f t="shared" si="0"/>
        <v>1.5625</v>
      </c>
    </row>
    <row r="12" spans="1:9" ht="61.5" customHeight="1">
      <c r="A12" s="52">
        <v>8</v>
      </c>
      <c r="B12" s="122" t="s">
        <v>70</v>
      </c>
      <c r="C12" s="122"/>
      <c r="D12" s="123"/>
      <c r="E12" s="123" t="s">
        <v>63</v>
      </c>
      <c r="F12" s="123"/>
      <c r="G12" s="123">
        <v>10</v>
      </c>
      <c r="H12" s="124">
        <f t="shared" si="1"/>
        <v>1.5625</v>
      </c>
      <c r="I12" s="125">
        <f t="shared" si="0"/>
        <v>1.5625</v>
      </c>
    </row>
    <row r="13" spans="1:9" ht="15.75" customHeight="1">
      <c r="A13" s="71" t="s">
        <v>71</v>
      </c>
      <c r="B13" s="72"/>
      <c r="C13" s="72"/>
      <c r="D13" s="72"/>
      <c r="E13" s="72"/>
      <c r="F13" s="72"/>
      <c r="G13" s="72"/>
      <c r="H13" s="29">
        <f>SUM(H5:H12)</f>
        <v>10</v>
      </c>
      <c r="I13" s="20">
        <f>SUM(I5:I12)</f>
        <v>10</v>
      </c>
    </row>
  </sheetData>
  <mergeCells count="16">
    <mergeCell ref="A13:G13"/>
    <mergeCell ref="A3:B3"/>
    <mergeCell ref="B4:C4"/>
    <mergeCell ref="B11:C11"/>
    <mergeCell ref="B12:C12"/>
    <mergeCell ref="D3:I3"/>
    <mergeCell ref="B5:C5"/>
    <mergeCell ref="B6:C6"/>
    <mergeCell ref="B7:C7"/>
    <mergeCell ref="B8:C8"/>
    <mergeCell ref="B9:C9"/>
    <mergeCell ref="A1:B1"/>
    <mergeCell ref="A2:B2"/>
    <mergeCell ref="C1:I1"/>
    <mergeCell ref="C2:I2"/>
    <mergeCell ref="B10:C10"/>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580B7-2F08-4FC2-8E20-FB902F908667}">
  <sheetPr>
    <tabColor rgb="FF99FFCC"/>
  </sheetPr>
  <dimension ref="A1:I13"/>
  <sheetViews>
    <sheetView workbookViewId="0">
      <selection activeCell="B8" sqref="A1:I13"/>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52</v>
      </c>
      <c r="D1" s="120"/>
      <c r="E1" s="120"/>
      <c r="F1" s="120"/>
      <c r="G1" s="120"/>
      <c r="H1" s="120"/>
      <c r="I1" s="121"/>
    </row>
    <row r="2" spans="1:9" ht="15">
      <c r="A2" s="70" t="s">
        <v>0</v>
      </c>
      <c r="B2" s="70"/>
      <c r="C2" s="84" t="s">
        <v>49</v>
      </c>
      <c r="D2" s="120"/>
      <c r="E2" s="120"/>
      <c r="F2" s="120"/>
      <c r="G2" s="120"/>
      <c r="H2" s="120"/>
      <c r="I2" s="121"/>
    </row>
    <row r="3" spans="1:9" ht="15">
      <c r="A3" s="70" t="s">
        <v>53</v>
      </c>
      <c r="B3" s="70"/>
      <c r="C3" s="55" t="s">
        <v>230</v>
      </c>
      <c r="D3" s="122">
        <v>340</v>
      </c>
      <c r="E3" s="122"/>
      <c r="F3" s="122"/>
      <c r="G3" s="122"/>
      <c r="H3" s="122"/>
      <c r="I3" s="122"/>
    </row>
    <row r="4" spans="1:9" ht="60">
      <c r="A4" s="52" t="s">
        <v>55</v>
      </c>
      <c r="B4" s="70" t="s">
        <v>56</v>
      </c>
      <c r="C4" s="70"/>
      <c r="D4" s="52" t="s">
        <v>24</v>
      </c>
      <c r="E4" s="52" t="s">
        <v>57</v>
      </c>
      <c r="F4" s="52" t="s">
        <v>58</v>
      </c>
      <c r="G4" s="52" t="s">
        <v>59</v>
      </c>
      <c r="H4" s="52" t="s">
        <v>60</v>
      </c>
      <c r="I4" s="52" t="s">
        <v>61</v>
      </c>
    </row>
    <row r="5" spans="1:9" ht="57.75" customHeight="1">
      <c r="A5" s="52">
        <v>1</v>
      </c>
      <c r="B5" s="122" t="s">
        <v>231</v>
      </c>
      <c r="C5" s="122"/>
      <c r="D5" s="123"/>
      <c r="E5" s="123" t="s">
        <v>63</v>
      </c>
      <c r="F5" s="123"/>
      <c r="G5" s="123">
        <v>6</v>
      </c>
      <c r="H5" s="124">
        <f>(G5*10)/SUM($G$5:$G$12)</f>
        <v>1</v>
      </c>
      <c r="I5" s="125">
        <f>IF(E5="X",((G5*10)/SUM($G$5:$G$12)),0)</f>
        <v>1</v>
      </c>
    </row>
    <row r="6" spans="1:9" ht="47.25" customHeight="1">
      <c r="A6" s="52">
        <v>2</v>
      </c>
      <c r="B6" s="122" t="s">
        <v>232</v>
      </c>
      <c r="C6" s="122"/>
      <c r="D6" s="123"/>
      <c r="E6" s="123" t="s">
        <v>63</v>
      </c>
      <c r="F6" s="123"/>
      <c r="G6" s="123">
        <v>6</v>
      </c>
      <c r="H6" s="124">
        <f t="shared" ref="H6:H12" si="0">(G6*10)/SUM($G$5:$G$12)</f>
        <v>1</v>
      </c>
      <c r="I6" s="125">
        <f t="shared" ref="I6:I12" si="1">IF(E6="X",((G6*10)/SUM($G$5:$G$12)),0)</f>
        <v>1</v>
      </c>
    </row>
    <row r="7" spans="1:9" ht="41.25" customHeight="1">
      <c r="A7" s="52">
        <v>3</v>
      </c>
      <c r="B7" s="122" t="s">
        <v>233</v>
      </c>
      <c r="C7" s="122"/>
      <c r="D7" s="123"/>
      <c r="E7" s="123" t="s">
        <v>63</v>
      </c>
      <c r="F7" s="123"/>
      <c r="G7" s="123">
        <v>2</v>
      </c>
      <c r="H7" s="124">
        <f t="shared" si="0"/>
        <v>0.33333333333333331</v>
      </c>
      <c r="I7" s="125">
        <f t="shared" si="1"/>
        <v>0.33333333333333331</v>
      </c>
    </row>
    <row r="8" spans="1:9" ht="74.25" customHeight="1">
      <c r="A8" s="52">
        <v>4</v>
      </c>
      <c r="B8" s="122" t="s">
        <v>234</v>
      </c>
      <c r="C8" s="122"/>
      <c r="D8" s="123"/>
      <c r="E8" s="123" t="s">
        <v>63</v>
      </c>
      <c r="F8" s="123"/>
      <c r="G8" s="123">
        <v>6</v>
      </c>
      <c r="H8" s="124">
        <f t="shared" si="0"/>
        <v>1</v>
      </c>
      <c r="I8" s="125">
        <f t="shared" si="1"/>
        <v>1</v>
      </c>
    </row>
    <row r="9" spans="1:9" ht="45" customHeight="1">
      <c r="A9" s="52">
        <v>5</v>
      </c>
      <c r="B9" s="122" t="s">
        <v>235</v>
      </c>
      <c r="C9" s="122"/>
      <c r="D9" s="123"/>
      <c r="E9" s="123" t="s">
        <v>63</v>
      </c>
      <c r="F9" s="123"/>
      <c r="G9" s="123">
        <v>10</v>
      </c>
      <c r="H9" s="124">
        <f t="shared" si="0"/>
        <v>1.6666666666666667</v>
      </c>
      <c r="I9" s="125">
        <f t="shared" si="1"/>
        <v>1.6666666666666667</v>
      </c>
    </row>
    <row r="10" spans="1:9" ht="47.25" customHeight="1">
      <c r="A10" s="52">
        <v>6</v>
      </c>
      <c r="B10" s="122" t="s">
        <v>236</v>
      </c>
      <c r="C10" s="122"/>
      <c r="D10" s="123"/>
      <c r="E10" s="123" t="s">
        <v>63</v>
      </c>
      <c r="F10" s="123"/>
      <c r="G10" s="123">
        <v>10</v>
      </c>
      <c r="H10" s="124">
        <f t="shared" si="0"/>
        <v>1.6666666666666667</v>
      </c>
      <c r="I10" s="125">
        <f t="shared" si="1"/>
        <v>1.6666666666666667</v>
      </c>
    </row>
    <row r="11" spans="1:9" ht="60" customHeight="1">
      <c r="A11" s="52">
        <v>7</v>
      </c>
      <c r="B11" s="122" t="s">
        <v>237</v>
      </c>
      <c r="C11" s="122"/>
      <c r="D11" s="123"/>
      <c r="E11" s="123" t="s">
        <v>63</v>
      </c>
      <c r="F11" s="123"/>
      <c r="G11" s="123">
        <v>10</v>
      </c>
      <c r="H11" s="124">
        <f t="shared" si="0"/>
        <v>1.6666666666666667</v>
      </c>
      <c r="I11" s="125">
        <f t="shared" si="1"/>
        <v>1.6666666666666667</v>
      </c>
    </row>
    <row r="12" spans="1:9" ht="63" customHeight="1">
      <c r="A12" s="52">
        <v>8</v>
      </c>
      <c r="B12" s="122" t="s">
        <v>238</v>
      </c>
      <c r="C12" s="122"/>
      <c r="D12" s="123"/>
      <c r="E12" s="123" t="s">
        <v>63</v>
      </c>
      <c r="F12" s="123"/>
      <c r="G12" s="123">
        <v>10</v>
      </c>
      <c r="H12" s="124">
        <f t="shared" si="0"/>
        <v>1.6666666666666667</v>
      </c>
      <c r="I12" s="125">
        <f t="shared" si="1"/>
        <v>1.6666666666666667</v>
      </c>
    </row>
    <row r="13" spans="1:9" ht="15.75" customHeight="1">
      <c r="A13" s="83" t="s">
        <v>71</v>
      </c>
      <c r="B13" s="83"/>
      <c r="C13" s="83"/>
      <c r="D13" s="83"/>
      <c r="E13" s="83"/>
      <c r="F13" s="83"/>
      <c r="G13" s="83"/>
      <c r="H13" s="28">
        <f>SUM(H5:H12)</f>
        <v>10</v>
      </c>
      <c r="I13" s="20">
        <f>SUM(I5:I12)</f>
        <v>10</v>
      </c>
    </row>
  </sheetData>
  <mergeCells count="16">
    <mergeCell ref="A13:G13"/>
    <mergeCell ref="A3:B3"/>
    <mergeCell ref="B4:C4"/>
    <mergeCell ref="B11:C11"/>
    <mergeCell ref="B12:C12"/>
    <mergeCell ref="D3:I3"/>
    <mergeCell ref="B5:C5"/>
    <mergeCell ref="B6:C6"/>
    <mergeCell ref="B7:C7"/>
    <mergeCell ref="B8:C8"/>
    <mergeCell ref="B9:C9"/>
    <mergeCell ref="A1:B1"/>
    <mergeCell ref="A2:B2"/>
    <mergeCell ref="C1:I1"/>
    <mergeCell ref="C2:I2"/>
    <mergeCell ref="B10:C10"/>
  </mergeCell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7B933-D885-41B7-AD8F-D1E69CA24292}">
  <sheetPr>
    <tabColor rgb="FF99FFCC"/>
  </sheetPr>
  <dimension ref="A1:I12"/>
  <sheetViews>
    <sheetView workbookViewId="0">
      <selection activeCell="B8" sqref="A1:I12"/>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52</v>
      </c>
      <c r="D1" s="120"/>
      <c r="E1" s="120"/>
      <c r="F1" s="120"/>
      <c r="G1" s="120"/>
      <c r="H1" s="120"/>
      <c r="I1" s="121"/>
    </row>
    <row r="2" spans="1:9" ht="15">
      <c r="A2" s="70" t="s">
        <v>0</v>
      </c>
      <c r="B2" s="70"/>
      <c r="C2" s="84" t="s">
        <v>49</v>
      </c>
      <c r="D2" s="120"/>
      <c r="E2" s="120"/>
      <c r="F2" s="120"/>
      <c r="G2" s="120"/>
      <c r="H2" s="120"/>
      <c r="I2" s="121"/>
    </row>
    <row r="3" spans="1:9" ht="15">
      <c r="A3" s="70" t="s">
        <v>72</v>
      </c>
      <c r="B3" s="70"/>
      <c r="C3" s="55" t="s">
        <v>73</v>
      </c>
      <c r="D3" s="122">
        <v>380</v>
      </c>
      <c r="E3" s="122"/>
      <c r="F3" s="122"/>
      <c r="G3" s="122"/>
      <c r="H3" s="122"/>
      <c r="I3" s="122"/>
    </row>
    <row r="4" spans="1:9" ht="60">
      <c r="A4" s="52" t="s">
        <v>55</v>
      </c>
      <c r="B4" s="70" t="s">
        <v>56</v>
      </c>
      <c r="C4" s="70"/>
      <c r="D4" s="52" t="s">
        <v>24</v>
      </c>
      <c r="E4" s="52" t="s">
        <v>57</v>
      </c>
      <c r="F4" s="52" t="s">
        <v>58</v>
      </c>
      <c r="G4" s="52" t="s">
        <v>59</v>
      </c>
      <c r="H4" s="52" t="s">
        <v>60</v>
      </c>
      <c r="I4" s="52" t="s">
        <v>61</v>
      </c>
    </row>
    <row r="5" spans="1:9" ht="56.25" customHeight="1">
      <c r="A5" s="52">
        <v>1</v>
      </c>
      <c r="B5" s="122" t="s">
        <v>317</v>
      </c>
      <c r="C5" s="122"/>
      <c r="D5" s="123" t="s">
        <v>63</v>
      </c>
      <c r="E5" s="123"/>
      <c r="F5" s="123"/>
      <c r="G5" s="123">
        <v>2</v>
      </c>
      <c r="H5" s="124">
        <f>(G5*10)/SUM($G$5:$G$11)</f>
        <v>0.52631578947368418</v>
      </c>
      <c r="I5" s="125">
        <f>IF(E5="X",((G5*10)/SUM($G$5:$G$11)),0)</f>
        <v>0</v>
      </c>
    </row>
    <row r="6" spans="1:9" ht="71.25" customHeight="1">
      <c r="A6" s="52">
        <v>2</v>
      </c>
      <c r="B6" s="122" t="s">
        <v>75</v>
      </c>
      <c r="C6" s="122"/>
      <c r="D6" s="123"/>
      <c r="E6" s="123" t="s">
        <v>63</v>
      </c>
      <c r="F6" s="123"/>
      <c r="G6" s="123">
        <v>6</v>
      </c>
      <c r="H6" s="124">
        <f t="shared" ref="H6:H11" si="0">(G6*10)/SUM($G$5:$G$11)</f>
        <v>1.5789473684210527</v>
      </c>
      <c r="I6" s="125">
        <f t="shared" ref="I6:I11" si="1">IF(E6="X",((G6*10)/SUM($G$5:$G$11)),0)</f>
        <v>1.5789473684210527</v>
      </c>
    </row>
    <row r="7" spans="1:9" ht="31.5" customHeight="1">
      <c r="A7" s="52">
        <v>3</v>
      </c>
      <c r="B7" s="122" t="s">
        <v>76</v>
      </c>
      <c r="C7" s="122"/>
      <c r="D7" s="123"/>
      <c r="E7" s="123" t="s">
        <v>63</v>
      </c>
      <c r="F7" s="123"/>
      <c r="G7" s="123">
        <v>10</v>
      </c>
      <c r="H7" s="124">
        <f t="shared" si="0"/>
        <v>2.6315789473684212</v>
      </c>
      <c r="I7" s="125">
        <f t="shared" si="1"/>
        <v>2.6315789473684212</v>
      </c>
    </row>
    <row r="8" spans="1:9" ht="47.25" customHeight="1">
      <c r="A8" s="52">
        <v>4</v>
      </c>
      <c r="B8" s="122" t="s">
        <v>77</v>
      </c>
      <c r="C8" s="122"/>
      <c r="D8" s="123"/>
      <c r="E8" s="123" t="s">
        <v>63</v>
      </c>
      <c r="F8" s="123"/>
      <c r="G8" s="123">
        <v>10</v>
      </c>
      <c r="H8" s="124">
        <f t="shared" si="0"/>
        <v>2.6315789473684212</v>
      </c>
      <c r="I8" s="125">
        <f t="shared" si="1"/>
        <v>2.6315789473684212</v>
      </c>
    </row>
    <row r="9" spans="1:9" ht="47.25" customHeight="1">
      <c r="A9" s="52">
        <v>5</v>
      </c>
      <c r="B9" s="122" t="s">
        <v>78</v>
      </c>
      <c r="C9" s="122"/>
      <c r="D9" s="123"/>
      <c r="E9" s="123" t="s">
        <v>63</v>
      </c>
      <c r="F9" s="123"/>
      <c r="G9" s="123">
        <v>6</v>
      </c>
      <c r="H9" s="124">
        <f t="shared" si="0"/>
        <v>1.5789473684210527</v>
      </c>
      <c r="I9" s="125">
        <f t="shared" si="1"/>
        <v>1.5789473684210527</v>
      </c>
    </row>
    <row r="10" spans="1:9" ht="47.25" customHeight="1">
      <c r="A10" s="52">
        <v>6</v>
      </c>
      <c r="B10" s="122" t="s">
        <v>79</v>
      </c>
      <c r="C10" s="122"/>
      <c r="D10" s="123"/>
      <c r="E10" s="123" t="s">
        <v>63</v>
      </c>
      <c r="F10" s="123"/>
      <c r="G10" s="123">
        <v>2</v>
      </c>
      <c r="H10" s="124">
        <f t="shared" si="0"/>
        <v>0.52631578947368418</v>
      </c>
      <c r="I10" s="125">
        <f t="shared" si="1"/>
        <v>0.52631578947368418</v>
      </c>
    </row>
    <row r="11" spans="1:9" ht="46.5" customHeight="1">
      <c r="A11" s="52">
        <v>7</v>
      </c>
      <c r="B11" s="122" t="s">
        <v>80</v>
      </c>
      <c r="C11" s="122"/>
      <c r="D11" s="123"/>
      <c r="E11" s="123" t="s">
        <v>63</v>
      </c>
      <c r="F11" s="123"/>
      <c r="G11" s="123">
        <v>2</v>
      </c>
      <c r="H11" s="124">
        <f t="shared" si="0"/>
        <v>0.52631578947368418</v>
      </c>
      <c r="I11" s="125">
        <f t="shared" si="1"/>
        <v>0.52631578947368418</v>
      </c>
    </row>
    <row r="12" spans="1:9" ht="15.75" customHeight="1">
      <c r="A12" s="71" t="s">
        <v>71</v>
      </c>
      <c r="B12" s="72"/>
      <c r="C12" s="72"/>
      <c r="D12" s="72"/>
      <c r="E12" s="72"/>
      <c r="F12" s="72"/>
      <c r="G12" s="72"/>
      <c r="H12" s="29">
        <f>SUM(H5:H11)</f>
        <v>10.000000000000002</v>
      </c>
      <c r="I12" s="20">
        <f>SUM(I5:I11)</f>
        <v>9.4736842105263186</v>
      </c>
    </row>
  </sheetData>
  <mergeCells count="15">
    <mergeCell ref="A1:B1"/>
    <mergeCell ref="A2:B2"/>
    <mergeCell ref="C1:I1"/>
    <mergeCell ref="C2:I2"/>
    <mergeCell ref="A12:G12"/>
    <mergeCell ref="A3:B3"/>
    <mergeCell ref="B4:C4"/>
    <mergeCell ref="B5:C5"/>
    <mergeCell ref="B6:C6"/>
    <mergeCell ref="D3:I3"/>
    <mergeCell ref="B7:C7"/>
    <mergeCell ref="B8:C8"/>
    <mergeCell ref="B9:C9"/>
    <mergeCell ref="B10:C10"/>
    <mergeCell ref="B11:C11"/>
  </mergeCell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97C96-A43A-4225-9B72-C81EC6789E1D}">
  <sheetPr>
    <tabColor rgb="FF99FFCC"/>
  </sheetPr>
  <dimension ref="A1:I16"/>
  <sheetViews>
    <sheetView topLeftCell="A2" workbookViewId="0">
      <selection activeCell="C2" sqref="A1:I16"/>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52</v>
      </c>
      <c r="D1" s="120"/>
      <c r="E1" s="120"/>
      <c r="F1" s="120"/>
      <c r="G1" s="120"/>
      <c r="H1" s="120"/>
      <c r="I1" s="121"/>
    </row>
    <row r="2" spans="1:9" ht="15">
      <c r="A2" s="70" t="s">
        <v>0</v>
      </c>
      <c r="B2" s="70"/>
      <c r="C2" s="84" t="s">
        <v>49</v>
      </c>
      <c r="D2" s="120"/>
      <c r="E2" s="120"/>
      <c r="F2" s="120"/>
      <c r="G2" s="120"/>
      <c r="H2" s="120"/>
      <c r="I2" s="121"/>
    </row>
    <row r="3" spans="1:9" ht="45">
      <c r="A3" s="70" t="s">
        <v>270</v>
      </c>
      <c r="B3" s="70"/>
      <c r="C3" s="55" t="s">
        <v>271</v>
      </c>
      <c r="D3" s="122">
        <v>170</v>
      </c>
      <c r="E3" s="122"/>
      <c r="F3" s="122"/>
      <c r="G3" s="122"/>
      <c r="H3" s="122"/>
      <c r="I3" s="122"/>
    </row>
    <row r="4" spans="1:9" ht="60">
      <c r="A4" s="52" t="s">
        <v>55</v>
      </c>
      <c r="B4" s="70" t="s">
        <v>56</v>
      </c>
      <c r="C4" s="70"/>
      <c r="D4" s="52" t="s">
        <v>24</v>
      </c>
      <c r="E4" s="52" t="s">
        <v>57</v>
      </c>
      <c r="F4" s="52" t="s">
        <v>58</v>
      </c>
      <c r="G4" s="52" t="s">
        <v>59</v>
      </c>
      <c r="H4" s="52" t="s">
        <v>60</v>
      </c>
      <c r="I4" s="52" t="s">
        <v>61</v>
      </c>
    </row>
    <row r="5" spans="1:9" ht="33" customHeight="1">
      <c r="A5" s="52">
        <v>1</v>
      </c>
      <c r="B5" s="122" t="s">
        <v>272</v>
      </c>
      <c r="C5" s="122"/>
      <c r="D5" s="123"/>
      <c r="E5" s="123" t="s">
        <v>63</v>
      </c>
      <c r="F5" s="123"/>
      <c r="G5" s="123">
        <v>10</v>
      </c>
      <c r="H5" s="124">
        <f>(G5*10)/SUM($G$5:$G$15)</f>
        <v>1.2195121951219512</v>
      </c>
      <c r="I5" s="125">
        <f t="shared" ref="I5:I15" si="0">IF(E5="X",((G5*10)/SUM($G$5:$G$15)),0)</f>
        <v>1.2195121951219512</v>
      </c>
    </row>
    <row r="6" spans="1:9" ht="47.25" customHeight="1">
      <c r="A6" s="52">
        <v>2</v>
      </c>
      <c r="B6" s="122" t="s">
        <v>273</v>
      </c>
      <c r="C6" s="122"/>
      <c r="D6" s="123"/>
      <c r="E6" s="123" t="s">
        <v>63</v>
      </c>
      <c r="F6" s="123"/>
      <c r="G6" s="123">
        <v>10</v>
      </c>
      <c r="H6" s="124">
        <f t="shared" ref="H6:H15" si="1">(G6*10)/SUM($G$5:$G$15)</f>
        <v>1.2195121951219512</v>
      </c>
      <c r="I6" s="125">
        <f t="shared" si="0"/>
        <v>1.2195121951219512</v>
      </c>
    </row>
    <row r="7" spans="1:9" ht="70.5" customHeight="1">
      <c r="A7" s="52">
        <v>3</v>
      </c>
      <c r="B7" s="122" t="s">
        <v>274</v>
      </c>
      <c r="C7" s="122"/>
      <c r="D7" s="123"/>
      <c r="E7" s="123" t="s">
        <v>63</v>
      </c>
      <c r="F7" s="123"/>
      <c r="G7" s="123">
        <v>6</v>
      </c>
      <c r="H7" s="124">
        <f t="shared" si="1"/>
        <v>0.73170731707317072</v>
      </c>
      <c r="I7" s="125">
        <f t="shared" si="0"/>
        <v>0.73170731707317072</v>
      </c>
    </row>
    <row r="8" spans="1:9" ht="59.25" customHeight="1">
      <c r="A8" s="52">
        <v>4</v>
      </c>
      <c r="B8" s="122" t="s">
        <v>275</v>
      </c>
      <c r="C8" s="122"/>
      <c r="D8" s="123"/>
      <c r="E8" s="123" t="s">
        <v>63</v>
      </c>
      <c r="F8" s="123"/>
      <c r="G8" s="123">
        <v>6</v>
      </c>
      <c r="H8" s="124">
        <f t="shared" si="1"/>
        <v>0.73170731707317072</v>
      </c>
      <c r="I8" s="125">
        <f t="shared" si="0"/>
        <v>0.73170731707317072</v>
      </c>
    </row>
    <row r="9" spans="1:9" ht="59.25" customHeight="1">
      <c r="A9" s="52">
        <v>5</v>
      </c>
      <c r="B9" s="122" t="s">
        <v>276</v>
      </c>
      <c r="C9" s="122"/>
      <c r="D9" s="123"/>
      <c r="E9" s="123" t="s">
        <v>63</v>
      </c>
      <c r="F9" s="123"/>
      <c r="G9" s="123">
        <v>10</v>
      </c>
      <c r="H9" s="124">
        <f t="shared" si="1"/>
        <v>1.2195121951219512</v>
      </c>
      <c r="I9" s="125">
        <f t="shared" si="0"/>
        <v>1.2195121951219512</v>
      </c>
    </row>
    <row r="10" spans="1:9" ht="58.5" customHeight="1">
      <c r="A10" s="52">
        <v>6</v>
      </c>
      <c r="B10" s="122" t="s">
        <v>277</v>
      </c>
      <c r="C10" s="122"/>
      <c r="D10" s="123"/>
      <c r="E10" s="123" t="s">
        <v>63</v>
      </c>
      <c r="F10" s="123"/>
      <c r="G10" s="123">
        <v>6</v>
      </c>
      <c r="H10" s="124">
        <f t="shared" si="1"/>
        <v>0.73170731707317072</v>
      </c>
      <c r="I10" s="125">
        <f t="shared" si="0"/>
        <v>0.73170731707317072</v>
      </c>
    </row>
    <row r="11" spans="1:9" ht="72" customHeight="1">
      <c r="A11" s="52">
        <v>7</v>
      </c>
      <c r="B11" s="122" t="s">
        <v>278</v>
      </c>
      <c r="C11" s="122"/>
      <c r="D11" s="123"/>
      <c r="E11" s="123" t="s">
        <v>63</v>
      </c>
      <c r="F11" s="123"/>
      <c r="G11" s="123">
        <v>10</v>
      </c>
      <c r="H11" s="124">
        <f t="shared" si="1"/>
        <v>1.2195121951219512</v>
      </c>
      <c r="I11" s="125">
        <f t="shared" si="0"/>
        <v>1.2195121951219512</v>
      </c>
    </row>
    <row r="12" spans="1:9" ht="47.25" customHeight="1">
      <c r="A12" s="52">
        <v>8</v>
      </c>
      <c r="B12" s="122" t="s">
        <v>279</v>
      </c>
      <c r="C12" s="122"/>
      <c r="D12" s="123"/>
      <c r="E12" s="123" t="s">
        <v>63</v>
      </c>
      <c r="F12" s="123"/>
      <c r="G12" s="123">
        <v>10</v>
      </c>
      <c r="H12" s="124">
        <f t="shared" si="1"/>
        <v>1.2195121951219512</v>
      </c>
      <c r="I12" s="125">
        <f t="shared" si="0"/>
        <v>1.2195121951219512</v>
      </c>
    </row>
    <row r="13" spans="1:9" ht="48" customHeight="1">
      <c r="A13" s="52">
        <v>9</v>
      </c>
      <c r="B13" s="122" t="s">
        <v>280</v>
      </c>
      <c r="C13" s="122"/>
      <c r="D13" s="123"/>
      <c r="E13" s="123" t="s">
        <v>63</v>
      </c>
      <c r="F13" s="123"/>
      <c r="G13" s="123">
        <v>6</v>
      </c>
      <c r="H13" s="124">
        <f t="shared" si="1"/>
        <v>0.73170731707317072</v>
      </c>
      <c r="I13" s="125">
        <f t="shared" si="0"/>
        <v>0.73170731707317072</v>
      </c>
    </row>
    <row r="14" spans="1:9" ht="47.25" customHeight="1">
      <c r="A14" s="52">
        <v>10</v>
      </c>
      <c r="B14" s="122" t="s">
        <v>281</v>
      </c>
      <c r="C14" s="122"/>
      <c r="D14" s="123"/>
      <c r="E14" s="123" t="s">
        <v>63</v>
      </c>
      <c r="F14" s="123"/>
      <c r="G14" s="123">
        <v>6</v>
      </c>
      <c r="H14" s="124">
        <f t="shared" si="1"/>
        <v>0.73170731707317072</v>
      </c>
      <c r="I14" s="125">
        <f t="shared" si="0"/>
        <v>0.73170731707317072</v>
      </c>
    </row>
    <row r="15" spans="1:9" ht="45" customHeight="1">
      <c r="A15" s="52">
        <v>11</v>
      </c>
      <c r="B15" s="122" t="s">
        <v>282</v>
      </c>
      <c r="C15" s="122"/>
      <c r="D15" s="123"/>
      <c r="E15" s="123" t="s">
        <v>63</v>
      </c>
      <c r="F15" s="123"/>
      <c r="G15" s="123">
        <v>2</v>
      </c>
      <c r="H15" s="124">
        <f t="shared" si="1"/>
        <v>0.24390243902439024</v>
      </c>
      <c r="I15" s="125">
        <f t="shared" si="0"/>
        <v>0.24390243902439024</v>
      </c>
    </row>
    <row r="16" spans="1:9" ht="15.75" customHeight="1">
      <c r="A16" s="83" t="s">
        <v>71</v>
      </c>
      <c r="B16" s="83"/>
      <c r="C16" s="83"/>
      <c r="D16" s="83"/>
      <c r="E16" s="83"/>
      <c r="F16" s="83"/>
      <c r="G16" s="83"/>
      <c r="H16" s="28">
        <f>SUM(H5:H15)</f>
        <v>10.000000000000002</v>
      </c>
      <c r="I16" s="20">
        <f>SUM(I5:I15)</f>
        <v>10.000000000000002</v>
      </c>
    </row>
  </sheetData>
  <mergeCells count="19">
    <mergeCell ref="B13:C13"/>
    <mergeCell ref="B14:C14"/>
    <mergeCell ref="B15:C15"/>
    <mergeCell ref="A16:G16"/>
    <mergeCell ref="B7:C7"/>
    <mergeCell ref="B8:C8"/>
    <mergeCell ref="B9:C9"/>
    <mergeCell ref="B10:C10"/>
    <mergeCell ref="B11:C11"/>
    <mergeCell ref="A1:B1"/>
    <mergeCell ref="A2:B2"/>
    <mergeCell ref="C1:I1"/>
    <mergeCell ref="C2:I2"/>
    <mergeCell ref="B12:C12"/>
    <mergeCell ref="D3:I3"/>
    <mergeCell ref="A3:B3"/>
    <mergeCell ref="B4:C4"/>
    <mergeCell ref="B5:C5"/>
    <mergeCell ref="B6:C6"/>
  </mergeCell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E7D2B-E3B3-43A6-86C3-0DE9F4D7917F}">
  <sheetPr>
    <tabColor rgb="FF99FFCC"/>
  </sheetPr>
  <dimension ref="A1:J14"/>
  <sheetViews>
    <sheetView workbookViewId="0">
      <selection activeCell="C2" sqref="A1:J14"/>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49</v>
      </c>
      <c r="D2" s="74"/>
      <c r="E2" s="74"/>
      <c r="F2" s="74"/>
      <c r="G2" s="74"/>
      <c r="H2" s="74"/>
      <c r="I2" s="74"/>
      <c r="J2" s="75"/>
    </row>
    <row r="3" spans="1:10" ht="45">
      <c r="A3" s="70" t="s">
        <v>81</v>
      </c>
      <c r="B3" s="70"/>
      <c r="C3" s="18" t="s">
        <v>82</v>
      </c>
      <c r="D3" s="55" t="s">
        <v>83</v>
      </c>
      <c r="E3" s="122">
        <v>570</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34.5" customHeight="1">
      <c r="A5" s="52">
        <v>1</v>
      </c>
      <c r="B5" s="122" t="s">
        <v>84</v>
      </c>
      <c r="C5" s="122"/>
      <c r="D5" s="122"/>
      <c r="E5" s="123"/>
      <c r="F5" s="123" t="s">
        <v>63</v>
      </c>
      <c r="G5" s="123"/>
      <c r="H5" s="123">
        <v>10</v>
      </c>
      <c r="I5" s="124">
        <f>(H5*10)/SUM($H$5:$H$13)</f>
        <v>1.3513513513513513</v>
      </c>
      <c r="J5" s="125">
        <f>IF(F5="X",((H5*10)/SUM($H$5:$H$13)),0)</f>
        <v>1.3513513513513513</v>
      </c>
    </row>
    <row r="6" spans="1:10" ht="21" customHeight="1">
      <c r="A6" s="52">
        <v>2</v>
      </c>
      <c r="B6" s="122" t="s">
        <v>85</v>
      </c>
      <c r="C6" s="122"/>
      <c r="D6" s="122"/>
      <c r="E6" s="123"/>
      <c r="F6" s="123" t="s">
        <v>63</v>
      </c>
      <c r="G6" s="123"/>
      <c r="H6" s="123">
        <v>10</v>
      </c>
      <c r="I6" s="124">
        <f t="shared" ref="I6:I13" si="0">(H6*10)/SUM($H$5:$H$13)</f>
        <v>1.3513513513513513</v>
      </c>
      <c r="J6" s="125">
        <f t="shared" ref="J6:J13" si="1">IF(F6="X",((H6*10)/SUM($H$5:$H$13)),0)</f>
        <v>1.3513513513513513</v>
      </c>
    </row>
    <row r="7" spans="1:10" ht="33" customHeight="1">
      <c r="A7" s="52">
        <v>3</v>
      </c>
      <c r="B7" s="122" t="s">
        <v>86</v>
      </c>
      <c r="C7" s="122"/>
      <c r="D7" s="122"/>
      <c r="E7" s="123"/>
      <c r="F7" s="123" t="s">
        <v>63</v>
      </c>
      <c r="G7" s="123"/>
      <c r="H7" s="123">
        <v>6</v>
      </c>
      <c r="I7" s="124">
        <f t="shared" si="0"/>
        <v>0.81081081081081086</v>
      </c>
      <c r="J7" s="125">
        <f t="shared" si="1"/>
        <v>0.81081081081081086</v>
      </c>
    </row>
    <row r="8" spans="1:10" ht="60" customHeight="1">
      <c r="A8" s="52">
        <v>4</v>
      </c>
      <c r="B8" s="122" t="s">
        <v>87</v>
      </c>
      <c r="C8" s="122"/>
      <c r="D8" s="122"/>
      <c r="E8" s="123"/>
      <c r="F8" s="123" t="s">
        <v>63</v>
      </c>
      <c r="G8" s="123"/>
      <c r="H8" s="123">
        <v>10</v>
      </c>
      <c r="I8" s="124">
        <f t="shared" si="0"/>
        <v>1.3513513513513513</v>
      </c>
      <c r="J8" s="125">
        <f t="shared" si="1"/>
        <v>1.3513513513513513</v>
      </c>
    </row>
    <row r="9" spans="1:10" ht="33" customHeight="1">
      <c r="A9" s="52">
        <v>5</v>
      </c>
      <c r="B9" s="122" t="s">
        <v>88</v>
      </c>
      <c r="C9" s="122"/>
      <c r="D9" s="122"/>
      <c r="E9" s="123"/>
      <c r="F9" s="123" t="s">
        <v>63</v>
      </c>
      <c r="G9" s="123"/>
      <c r="H9" s="123">
        <v>6</v>
      </c>
      <c r="I9" s="124">
        <f t="shared" si="0"/>
        <v>0.81081081081081086</v>
      </c>
      <c r="J9" s="125">
        <f t="shared" si="1"/>
        <v>0.81081081081081086</v>
      </c>
    </row>
    <row r="10" spans="1:10" ht="34.5" customHeight="1">
      <c r="A10" s="52">
        <v>6</v>
      </c>
      <c r="B10" s="122" t="s">
        <v>89</v>
      </c>
      <c r="C10" s="122"/>
      <c r="D10" s="122"/>
      <c r="E10" s="123"/>
      <c r="F10" s="123" t="s">
        <v>63</v>
      </c>
      <c r="G10" s="123"/>
      <c r="H10" s="123">
        <v>6</v>
      </c>
      <c r="I10" s="124">
        <f t="shared" si="0"/>
        <v>0.81081081081081086</v>
      </c>
      <c r="J10" s="125">
        <f t="shared" si="1"/>
        <v>0.81081081081081086</v>
      </c>
    </row>
    <row r="11" spans="1:10" ht="74.25" customHeight="1">
      <c r="A11" s="52">
        <v>7</v>
      </c>
      <c r="B11" s="122" t="s">
        <v>90</v>
      </c>
      <c r="C11" s="122"/>
      <c r="D11" s="122"/>
      <c r="E11" s="123"/>
      <c r="F11" s="123" t="s">
        <v>63</v>
      </c>
      <c r="G11" s="123"/>
      <c r="H11" s="123">
        <v>10</v>
      </c>
      <c r="I11" s="124">
        <f t="shared" si="0"/>
        <v>1.3513513513513513</v>
      </c>
      <c r="J11" s="125">
        <f>IF(F11="X",((H11*10)/SUM($H$5:$H$13)),0)</f>
        <v>1.3513513513513513</v>
      </c>
    </row>
    <row r="12" spans="1:10" ht="32.25" customHeight="1">
      <c r="A12" s="52">
        <v>8</v>
      </c>
      <c r="B12" s="122" t="s">
        <v>91</v>
      </c>
      <c r="C12" s="122"/>
      <c r="D12" s="122"/>
      <c r="E12" s="123"/>
      <c r="F12" s="123" t="s">
        <v>63</v>
      </c>
      <c r="G12" s="123"/>
      <c r="H12" s="123">
        <v>10</v>
      </c>
      <c r="I12" s="124">
        <f t="shared" si="0"/>
        <v>1.3513513513513513</v>
      </c>
      <c r="J12" s="125">
        <f t="shared" si="1"/>
        <v>1.3513513513513513</v>
      </c>
    </row>
    <row r="13" spans="1:10" ht="51" customHeight="1">
      <c r="A13" s="52">
        <v>9</v>
      </c>
      <c r="B13" s="122" t="s">
        <v>92</v>
      </c>
      <c r="C13" s="122"/>
      <c r="D13" s="122"/>
      <c r="E13" s="123"/>
      <c r="F13" s="123" t="s">
        <v>63</v>
      </c>
      <c r="G13" s="123"/>
      <c r="H13" s="123">
        <v>6</v>
      </c>
      <c r="I13" s="124">
        <f t="shared" si="0"/>
        <v>0.81081081081081086</v>
      </c>
      <c r="J13" s="125">
        <f t="shared" si="1"/>
        <v>0.81081081081081086</v>
      </c>
    </row>
    <row r="14" spans="1:10" ht="15" customHeight="1">
      <c r="A14" s="71" t="s">
        <v>71</v>
      </c>
      <c r="B14" s="72"/>
      <c r="C14" s="72"/>
      <c r="D14" s="72"/>
      <c r="E14" s="72"/>
      <c r="F14" s="72"/>
      <c r="G14" s="72"/>
      <c r="H14" s="72"/>
      <c r="I14" s="29">
        <f>SUM(I5:I13)</f>
        <v>9.9999999999999982</v>
      </c>
      <c r="J14" s="19">
        <f>SUM(J5:J13)</f>
        <v>9.9999999999999982</v>
      </c>
    </row>
  </sheetData>
  <mergeCells count="17">
    <mergeCell ref="A14:H14"/>
    <mergeCell ref="A3:B3"/>
    <mergeCell ref="B4:D4"/>
    <mergeCell ref="B11:D11"/>
    <mergeCell ref="B12:D12"/>
    <mergeCell ref="E3:J3"/>
    <mergeCell ref="B13:D13"/>
    <mergeCell ref="B5:D5"/>
    <mergeCell ref="B6:D6"/>
    <mergeCell ref="B7:D7"/>
    <mergeCell ref="B8:D8"/>
    <mergeCell ref="B9:D9"/>
    <mergeCell ref="B10:D10"/>
    <mergeCell ref="A1:B1"/>
    <mergeCell ref="A2:B2"/>
    <mergeCell ref="C1:J1"/>
    <mergeCell ref="C2:J2"/>
  </mergeCell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3BEBF-9DBD-4ACA-9DDC-3D29F611548F}">
  <sheetPr>
    <tabColor rgb="FF99FFCC"/>
  </sheetPr>
  <dimension ref="A1:J20"/>
  <sheetViews>
    <sheetView workbookViewId="0">
      <selection activeCell="B5" sqref="A1:J20"/>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49</v>
      </c>
      <c r="D2" s="74"/>
      <c r="E2" s="74"/>
      <c r="F2" s="74"/>
      <c r="G2" s="74"/>
      <c r="H2" s="74"/>
      <c r="I2" s="74"/>
      <c r="J2" s="75"/>
    </row>
    <row r="3" spans="1:10" ht="45">
      <c r="A3" s="70" t="s">
        <v>81</v>
      </c>
      <c r="B3" s="70"/>
      <c r="C3" s="18" t="s">
        <v>93</v>
      </c>
      <c r="D3" s="55" t="s">
        <v>239</v>
      </c>
      <c r="E3" s="122" t="s">
        <v>240</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31.5" customHeight="1">
      <c r="A5" s="52">
        <v>1</v>
      </c>
      <c r="B5" s="122" t="s">
        <v>241</v>
      </c>
      <c r="C5" s="122"/>
      <c r="D5" s="122"/>
      <c r="E5" s="123"/>
      <c r="F5" s="123" t="s">
        <v>63</v>
      </c>
      <c r="G5" s="123"/>
      <c r="H5" s="123">
        <v>10</v>
      </c>
      <c r="I5" s="124">
        <f>(H5*10)/SUM($H$5:$H$19)</f>
        <v>0.94339622641509435</v>
      </c>
      <c r="J5" s="125">
        <f>IF(F5="X",((H5*10)/SUM($H$5:$H$19)),0)</f>
        <v>0.94339622641509435</v>
      </c>
    </row>
    <row r="6" spans="1:10" ht="34.5" customHeight="1">
      <c r="A6" s="52">
        <v>2</v>
      </c>
      <c r="B6" s="122" t="s">
        <v>242</v>
      </c>
      <c r="C6" s="122"/>
      <c r="D6" s="122"/>
      <c r="E6" s="123"/>
      <c r="F6" s="123" t="s">
        <v>63</v>
      </c>
      <c r="G6" s="123"/>
      <c r="H6" s="123">
        <v>6</v>
      </c>
      <c r="I6" s="124">
        <f t="shared" ref="I6:I19" si="0">(H6*10)/SUM($H$5:$H$19)</f>
        <v>0.56603773584905659</v>
      </c>
      <c r="J6" s="125">
        <f t="shared" ref="J6:J19" si="1">IF(F6="X",((H6*10)/SUM($H$5:$H$19)),0)</f>
        <v>0.56603773584905659</v>
      </c>
    </row>
    <row r="7" spans="1:10" ht="32.25" customHeight="1">
      <c r="A7" s="52">
        <v>3</v>
      </c>
      <c r="B7" s="122" t="s">
        <v>243</v>
      </c>
      <c r="C7" s="122"/>
      <c r="D7" s="122"/>
      <c r="E7" s="123"/>
      <c r="F7" s="123" t="s">
        <v>63</v>
      </c>
      <c r="G7" s="123"/>
      <c r="H7" s="123">
        <v>2</v>
      </c>
      <c r="I7" s="124">
        <f t="shared" si="0"/>
        <v>0.18867924528301888</v>
      </c>
      <c r="J7" s="125">
        <f t="shared" si="1"/>
        <v>0.18867924528301888</v>
      </c>
    </row>
    <row r="8" spans="1:10" ht="31.5" customHeight="1">
      <c r="A8" s="52">
        <v>4</v>
      </c>
      <c r="B8" s="122" t="s">
        <v>244</v>
      </c>
      <c r="C8" s="122"/>
      <c r="D8" s="122"/>
      <c r="E8" s="123"/>
      <c r="F8" s="123" t="s">
        <v>63</v>
      </c>
      <c r="G8" s="123"/>
      <c r="H8" s="123">
        <v>6</v>
      </c>
      <c r="I8" s="124">
        <f t="shared" si="0"/>
        <v>0.56603773584905659</v>
      </c>
      <c r="J8" s="125">
        <f t="shared" si="1"/>
        <v>0.56603773584905659</v>
      </c>
    </row>
    <row r="9" spans="1:10" ht="47.25" customHeight="1">
      <c r="A9" s="52">
        <v>5</v>
      </c>
      <c r="B9" s="122" t="s">
        <v>245</v>
      </c>
      <c r="C9" s="122"/>
      <c r="D9" s="122"/>
      <c r="E9" s="123"/>
      <c r="F9" s="123" t="s">
        <v>63</v>
      </c>
      <c r="G9" s="123"/>
      <c r="H9" s="123">
        <v>10</v>
      </c>
      <c r="I9" s="124">
        <f t="shared" si="0"/>
        <v>0.94339622641509435</v>
      </c>
      <c r="J9" s="125">
        <f t="shared" si="1"/>
        <v>0.94339622641509435</v>
      </c>
    </row>
    <row r="10" spans="1:10" ht="58.5" customHeight="1">
      <c r="A10" s="52">
        <v>6</v>
      </c>
      <c r="B10" s="122" t="s">
        <v>246</v>
      </c>
      <c r="C10" s="122"/>
      <c r="D10" s="122"/>
      <c r="E10" s="123"/>
      <c r="F10" s="123"/>
      <c r="G10" s="123" t="s">
        <v>63</v>
      </c>
      <c r="H10" s="123">
        <v>10</v>
      </c>
      <c r="I10" s="124">
        <f t="shared" si="0"/>
        <v>0.94339622641509435</v>
      </c>
      <c r="J10" s="125">
        <f t="shared" si="1"/>
        <v>0</v>
      </c>
    </row>
    <row r="11" spans="1:10" ht="31.5" customHeight="1">
      <c r="A11" s="52">
        <v>7</v>
      </c>
      <c r="B11" s="122" t="s">
        <v>247</v>
      </c>
      <c r="C11" s="122"/>
      <c r="D11" s="122"/>
      <c r="E11" s="123"/>
      <c r="F11" s="123" t="s">
        <v>63</v>
      </c>
      <c r="G11" s="123"/>
      <c r="H11" s="123">
        <v>10</v>
      </c>
      <c r="I11" s="124">
        <f t="shared" si="0"/>
        <v>0.94339622641509435</v>
      </c>
      <c r="J11" s="125">
        <f t="shared" si="1"/>
        <v>0.94339622641509435</v>
      </c>
    </row>
    <row r="12" spans="1:10" ht="30" customHeight="1">
      <c r="A12" s="52">
        <v>8</v>
      </c>
      <c r="B12" s="122" t="s">
        <v>248</v>
      </c>
      <c r="C12" s="122"/>
      <c r="D12" s="122"/>
      <c r="E12" s="123"/>
      <c r="F12" s="123"/>
      <c r="G12" s="123" t="s">
        <v>63</v>
      </c>
      <c r="H12" s="123">
        <v>10</v>
      </c>
      <c r="I12" s="124">
        <f t="shared" si="0"/>
        <v>0.94339622641509435</v>
      </c>
      <c r="J12" s="125">
        <f t="shared" si="1"/>
        <v>0</v>
      </c>
    </row>
    <row r="13" spans="1:10" ht="45" customHeight="1">
      <c r="A13" s="52">
        <v>9</v>
      </c>
      <c r="B13" s="122" t="s">
        <v>249</v>
      </c>
      <c r="C13" s="122"/>
      <c r="D13" s="122"/>
      <c r="E13" s="123"/>
      <c r="F13" s="123" t="s">
        <v>63</v>
      </c>
      <c r="G13" s="123"/>
      <c r="H13" s="123">
        <v>6</v>
      </c>
      <c r="I13" s="124">
        <f t="shared" si="0"/>
        <v>0.56603773584905659</v>
      </c>
      <c r="J13" s="125">
        <f t="shared" si="1"/>
        <v>0.56603773584905659</v>
      </c>
    </row>
    <row r="14" spans="1:10" ht="44.25" customHeight="1">
      <c r="A14" s="52">
        <v>10</v>
      </c>
      <c r="B14" s="122" t="s">
        <v>250</v>
      </c>
      <c r="C14" s="122"/>
      <c r="D14" s="122"/>
      <c r="E14" s="123"/>
      <c r="F14" s="123" t="s">
        <v>63</v>
      </c>
      <c r="G14" s="123"/>
      <c r="H14" s="123">
        <v>10</v>
      </c>
      <c r="I14" s="124">
        <f t="shared" si="0"/>
        <v>0.94339622641509435</v>
      </c>
      <c r="J14" s="125">
        <f t="shared" si="1"/>
        <v>0.94339622641509435</v>
      </c>
    </row>
    <row r="15" spans="1:10" ht="60" customHeight="1">
      <c r="A15" s="52">
        <v>11</v>
      </c>
      <c r="B15" s="122" t="s">
        <v>251</v>
      </c>
      <c r="C15" s="122"/>
      <c r="D15" s="122"/>
      <c r="E15" s="123"/>
      <c r="F15" s="123" t="s">
        <v>63</v>
      </c>
      <c r="G15" s="123"/>
      <c r="H15" s="123">
        <v>6</v>
      </c>
      <c r="I15" s="124">
        <f t="shared" si="0"/>
        <v>0.56603773584905659</v>
      </c>
      <c r="J15" s="125">
        <f t="shared" si="1"/>
        <v>0.56603773584905659</v>
      </c>
    </row>
    <row r="16" spans="1:10" ht="62.25" customHeight="1">
      <c r="A16" s="52">
        <v>12</v>
      </c>
      <c r="B16" s="122" t="s">
        <v>252</v>
      </c>
      <c r="C16" s="122"/>
      <c r="D16" s="122"/>
      <c r="E16" s="123"/>
      <c r="F16" s="123" t="s">
        <v>63</v>
      </c>
      <c r="G16" s="123"/>
      <c r="H16" s="123">
        <v>6</v>
      </c>
      <c r="I16" s="124">
        <f t="shared" si="0"/>
        <v>0.56603773584905659</v>
      </c>
      <c r="J16" s="125">
        <f t="shared" si="1"/>
        <v>0.56603773584905659</v>
      </c>
    </row>
    <row r="17" spans="1:10" ht="59.25" customHeight="1">
      <c r="A17" s="52">
        <v>13</v>
      </c>
      <c r="B17" s="122" t="s">
        <v>253</v>
      </c>
      <c r="C17" s="122"/>
      <c r="D17" s="122"/>
      <c r="E17" s="123"/>
      <c r="F17" s="123" t="s">
        <v>63</v>
      </c>
      <c r="G17" s="123"/>
      <c r="H17" s="123">
        <v>6</v>
      </c>
      <c r="I17" s="124">
        <f t="shared" si="0"/>
        <v>0.56603773584905659</v>
      </c>
      <c r="J17" s="125">
        <f t="shared" si="1"/>
        <v>0.56603773584905659</v>
      </c>
    </row>
    <row r="18" spans="1:10" ht="72.75" customHeight="1">
      <c r="A18" s="52">
        <v>14</v>
      </c>
      <c r="B18" s="122" t="s">
        <v>254</v>
      </c>
      <c r="C18" s="122"/>
      <c r="D18" s="122"/>
      <c r="E18" s="123"/>
      <c r="F18" s="123"/>
      <c r="G18" s="123" t="s">
        <v>63</v>
      </c>
      <c r="H18" s="123">
        <v>2</v>
      </c>
      <c r="I18" s="124">
        <f t="shared" si="0"/>
        <v>0.18867924528301888</v>
      </c>
      <c r="J18" s="125">
        <f t="shared" si="1"/>
        <v>0</v>
      </c>
    </row>
    <row r="19" spans="1:10" ht="44.25" customHeight="1">
      <c r="A19" s="52">
        <v>15</v>
      </c>
      <c r="B19" s="122" t="s">
        <v>255</v>
      </c>
      <c r="C19" s="122"/>
      <c r="D19" s="122"/>
      <c r="E19" s="123" t="s">
        <v>63</v>
      </c>
      <c r="F19" s="123"/>
      <c r="G19" s="123"/>
      <c r="H19" s="123">
        <v>6</v>
      </c>
      <c r="I19" s="124">
        <f t="shared" si="0"/>
        <v>0.56603773584905659</v>
      </c>
      <c r="J19" s="125">
        <f t="shared" si="1"/>
        <v>0</v>
      </c>
    </row>
    <row r="20" spans="1:10" ht="15" customHeight="1">
      <c r="A20" s="83" t="s">
        <v>71</v>
      </c>
      <c r="B20" s="83"/>
      <c r="C20" s="83"/>
      <c r="D20" s="83"/>
      <c r="E20" s="83"/>
      <c r="F20" s="83"/>
      <c r="G20" s="83"/>
      <c r="H20" s="83"/>
      <c r="I20" s="28">
        <f>SUM(I5:I19)</f>
        <v>10</v>
      </c>
      <c r="J20" s="19">
        <f>SUM(J5:J19)</f>
        <v>7.3584905660377373</v>
      </c>
    </row>
  </sheetData>
  <mergeCells count="23">
    <mergeCell ref="A20:H20"/>
    <mergeCell ref="B10:D10"/>
    <mergeCell ref="B19:D19"/>
    <mergeCell ref="B8:D8"/>
    <mergeCell ref="B9:D9"/>
    <mergeCell ref="B17:D17"/>
    <mergeCell ref="B18:D18"/>
    <mergeCell ref="B15:D15"/>
    <mergeCell ref="B16:D16"/>
    <mergeCell ref="B4:D4"/>
    <mergeCell ref="B5:D5"/>
    <mergeCell ref="B6:D6"/>
    <mergeCell ref="B7:D7"/>
    <mergeCell ref="B14:D14"/>
    <mergeCell ref="B11:D11"/>
    <mergeCell ref="B12:D12"/>
    <mergeCell ref="B13:D13"/>
    <mergeCell ref="A1:B1"/>
    <mergeCell ref="A2:B2"/>
    <mergeCell ref="C1:J1"/>
    <mergeCell ref="C2:J2"/>
    <mergeCell ref="E3:J3"/>
    <mergeCell ref="A3:B3"/>
  </mergeCell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7E792-B1A8-4F06-9D81-347837033716}">
  <sheetPr>
    <tabColor rgb="FF99FFCC"/>
  </sheetPr>
  <dimension ref="A1:J15"/>
  <sheetViews>
    <sheetView topLeftCell="A2" workbookViewId="0">
      <selection activeCell="B6" sqref="A1:J15"/>
    </sheetView>
  </sheetViews>
  <sheetFormatPr defaultColWidth="11.42578125" defaultRowHeight="14.25"/>
  <cols>
    <col min="1" max="1" width="4.7109375" style="23"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49</v>
      </c>
      <c r="D2" s="74"/>
      <c r="E2" s="74"/>
      <c r="F2" s="74"/>
      <c r="G2" s="74"/>
      <c r="H2" s="74"/>
      <c r="I2" s="74"/>
      <c r="J2" s="75"/>
    </row>
    <row r="3" spans="1:10" ht="45">
      <c r="A3" s="70" t="s">
        <v>81</v>
      </c>
      <c r="B3" s="70"/>
      <c r="C3" s="18" t="s">
        <v>93</v>
      </c>
      <c r="D3" s="55" t="s">
        <v>94</v>
      </c>
      <c r="E3" s="122" t="s">
        <v>95</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33" customHeight="1">
      <c r="A5" s="52">
        <v>1</v>
      </c>
      <c r="B5" s="122" t="s">
        <v>97</v>
      </c>
      <c r="C5" s="122"/>
      <c r="D5" s="122"/>
      <c r="E5" s="123"/>
      <c r="F5" s="123" t="s">
        <v>63</v>
      </c>
      <c r="G5" s="123"/>
      <c r="H5" s="123">
        <v>10</v>
      </c>
      <c r="I5" s="124">
        <f>(H5*10)/SUM($H$5:$H$14)</f>
        <v>1.9230769230769231</v>
      </c>
      <c r="J5" s="125">
        <f>IF(F5="X",((H5*10)/SUM($H$5:$H$14)),0)</f>
        <v>1.9230769230769231</v>
      </c>
    </row>
    <row r="6" spans="1:10" ht="47.25" customHeight="1">
      <c r="A6" s="52">
        <v>2</v>
      </c>
      <c r="B6" s="122" t="s">
        <v>98</v>
      </c>
      <c r="C6" s="122"/>
      <c r="D6" s="122"/>
      <c r="E6" s="123"/>
      <c r="F6" s="123" t="s">
        <v>63</v>
      </c>
      <c r="G6" s="123"/>
      <c r="H6" s="123">
        <v>2</v>
      </c>
      <c r="I6" s="124">
        <f t="shared" ref="I6:I14" si="0">(H6*10)/SUM($H$5:$H$14)</f>
        <v>0.38461538461538464</v>
      </c>
      <c r="J6" s="125">
        <f t="shared" ref="J6:J14" si="1">IF(F6="X",((H6*10)/SUM($H$5:$H$14)),0)</f>
        <v>0.38461538461538464</v>
      </c>
    </row>
    <row r="7" spans="1:10" ht="33" customHeight="1">
      <c r="A7" s="52">
        <v>3</v>
      </c>
      <c r="B7" s="122" t="s">
        <v>99</v>
      </c>
      <c r="C7" s="122"/>
      <c r="D7" s="122"/>
      <c r="E7" s="123"/>
      <c r="F7" s="123" t="s">
        <v>63</v>
      </c>
      <c r="G7" s="123"/>
      <c r="H7" s="123">
        <v>6</v>
      </c>
      <c r="I7" s="124">
        <f t="shared" si="0"/>
        <v>1.1538461538461537</v>
      </c>
      <c r="J7" s="125">
        <f t="shared" si="1"/>
        <v>1.1538461538461537</v>
      </c>
    </row>
    <row r="8" spans="1:10" ht="18" customHeight="1">
      <c r="A8" s="52">
        <v>4</v>
      </c>
      <c r="B8" s="122" t="s">
        <v>100</v>
      </c>
      <c r="C8" s="122"/>
      <c r="D8" s="122"/>
      <c r="E8" s="123"/>
      <c r="F8" s="123" t="s">
        <v>63</v>
      </c>
      <c r="G8" s="123"/>
      <c r="H8" s="123">
        <v>6</v>
      </c>
      <c r="I8" s="124">
        <f t="shared" si="0"/>
        <v>1.1538461538461537</v>
      </c>
      <c r="J8" s="125">
        <f t="shared" si="1"/>
        <v>1.1538461538461537</v>
      </c>
    </row>
    <row r="9" spans="1:10" ht="30" customHeight="1">
      <c r="A9" s="52">
        <v>5</v>
      </c>
      <c r="B9" s="122" t="s">
        <v>101</v>
      </c>
      <c r="C9" s="122"/>
      <c r="D9" s="122"/>
      <c r="E9" s="123"/>
      <c r="F9" s="123" t="s">
        <v>63</v>
      </c>
      <c r="G9" s="123"/>
      <c r="H9" s="123">
        <v>10</v>
      </c>
      <c r="I9" s="124">
        <f t="shared" si="0"/>
        <v>1.9230769230769231</v>
      </c>
      <c r="J9" s="125">
        <f t="shared" si="1"/>
        <v>1.9230769230769231</v>
      </c>
    </row>
    <row r="10" spans="1:10" ht="47.25" customHeight="1">
      <c r="A10" s="52">
        <v>6</v>
      </c>
      <c r="B10" s="122" t="s">
        <v>102</v>
      </c>
      <c r="C10" s="122"/>
      <c r="D10" s="122"/>
      <c r="E10" s="123"/>
      <c r="F10" s="123" t="s">
        <v>63</v>
      </c>
      <c r="G10" s="123"/>
      <c r="H10" s="123">
        <v>6</v>
      </c>
      <c r="I10" s="124">
        <f t="shared" si="0"/>
        <v>1.1538461538461537</v>
      </c>
      <c r="J10" s="125">
        <f t="shared" si="1"/>
        <v>1.1538461538461537</v>
      </c>
    </row>
    <row r="11" spans="1:10" ht="47.25" customHeight="1">
      <c r="A11" s="52">
        <v>7</v>
      </c>
      <c r="B11" s="122" t="s">
        <v>103</v>
      </c>
      <c r="C11" s="122"/>
      <c r="D11" s="122"/>
      <c r="E11" s="123"/>
      <c r="F11" s="123" t="s">
        <v>63</v>
      </c>
      <c r="G11" s="123"/>
      <c r="H11" s="123">
        <v>2</v>
      </c>
      <c r="I11" s="124">
        <f t="shared" si="0"/>
        <v>0.38461538461538464</v>
      </c>
      <c r="J11" s="125">
        <f t="shared" si="1"/>
        <v>0.38461538461538464</v>
      </c>
    </row>
    <row r="12" spans="1:10" ht="47.25" customHeight="1">
      <c r="A12" s="52">
        <v>8</v>
      </c>
      <c r="B12" s="122" t="s">
        <v>104</v>
      </c>
      <c r="C12" s="122"/>
      <c r="D12" s="122"/>
      <c r="E12" s="123"/>
      <c r="F12" s="123"/>
      <c r="G12" s="123" t="s">
        <v>63</v>
      </c>
      <c r="H12" s="123">
        <v>6</v>
      </c>
      <c r="I12" s="124">
        <f t="shared" si="0"/>
        <v>1.1538461538461537</v>
      </c>
      <c r="J12" s="125">
        <f t="shared" si="1"/>
        <v>0</v>
      </c>
    </row>
    <row r="13" spans="1:10" ht="35.25" customHeight="1">
      <c r="A13" s="52">
        <v>9</v>
      </c>
      <c r="B13" s="122" t="s">
        <v>105</v>
      </c>
      <c r="C13" s="122"/>
      <c r="D13" s="122"/>
      <c r="E13" s="123" t="s">
        <v>63</v>
      </c>
      <c r="F13" s="123"/>
      <c r="G13" s="123"/>
      <c r="H13" s="123">
        <v>2</v>
      </c>
      <c r="I13" s="124">
        <f t="shared" si="0"/>
        <v>0.38461538461538464</v>
      </c>
      <c r="J13" s="125">
        <f t="shared" si="1"/>
        <v>0</v>
      </c>
    </row>
    <row r="14" spans="1:10" ht="33.75" customHeight="1">
      <c r="A14" s="52">
        <v>10</v>
      </c>
      <c r="B14" s="122" t="s">
        <v>106</v>
      </c>
      <c r="C14" s="122"/>
      <c r="D14" s="122"/>
      <c r="E14" s="123" t="s">
        <v>63</v>
      </c>
      <c r="F14" s="123"/>
      <c r="G14" s="123"/>
      <c r="H14" s="123">
        <v>2</v>
      </c>
      <c r="I14" s="126">
        <f t="shared" si="0"/>
        <v>0.38461538461538464</v>
      </c>
      <c r="J14" s="125">
        <f t="shared" si="1"/>
        <v>0</v>
      </c>
    </row>
    <row r="15" spans="1:10" ht="15" customHeight="1">
      <c r="A15" s="71" t="s">
        <v>71</v>
      </c>
      <c r="B15" s="72"/>
      <c r="C15" s="72"/>
      <c r="D15" s="72"/>
      <c r="E15" s="72"/>
      <c r="F15" s="72"/>
      <c r="G15" s="72"/>
      <c r="H15" s="82"/>
      <c r="I15" s="28">
        <f>SUM(I5:I14)</f>
        <v>10</v>
      </c>
      <c r="J15" s="30">
        <f>SUM(J5:J14)</f>
        <v>8.0769230769230766</v>
      </c>
    </row>
  </sheetData>
  <mergeCells count="18">
    <mergeCell ref="B11:D11"/>
    <mergeCell ref="B12:D12"/>
    <mergeCell ref="B13:D13"/>
    <mergeCell ref="B14:D14"/>
    <mergeCell ref="A15:H15"/>
    <mergeCell ref="B10:D10"/>
    <mergeCell ref="A3:B3"/>
    <mergeCell ref="B4:D4"/>
    <mergeCell ref="B5:D5"/>
    <mergeCell ref="B6:D6"/>
    <mergeCell ref="B7:D7"/>
    <mergeCell ref="B8:D8"/>
    <mergeCell ref="B9:D9"/>
    <mergeCell ref="A1:B1"/>
    <mergeCell ref="A2:B2"/>
    <mergeCell ref="C1:J1"/>
    <mergeCell ref="C2:J2"/>
    <mergeCell ref="E3:J3"/>
  </mergeCell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E799A-5980-4A1F-B3D0-B1F2B90C10EE}">
  <sheetPr>
    <tabColor rgb="FF99FFCC"/>
  </sheetPr>
  <dimension ref="A1:J17"/>
  <sheetViews>
    <sheetView workbookViewId="0">
      <selection activeCell="B7" sqref="A1:J17"/>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49</v>
      </c>
      <c r="D2" s="74"/>
      <c r="E2" s="74"/>
      <c r="F2" s="74"/>
      <c r="G2" s="74"/>
      <c r="H2" s="74"/>
      <c r="I2" s="74"/>
      <c r="J2" s="75"/>
    </row>
    <row r="3" spans="1:10" ht="45">
      <c r="A3" s="70" t="s">
        <v>81</v>
      </c>
      <c r="B3" s="70"/>
      <c r="C3" s="18" t="s">
        <v>93</v>
      </c>
      <c r="D3" s="55" t="s">
        <v>107</v>
      </c>
      <c r="E3" s="122" t="s">
        <v>108</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2.75" customHeight="1">
      <c r="A5" s="52">
        <v>1</v>
      </c>
      <c r="B5" s="122" t="s">
        <v>109</v>
      </c>
      <c r="C5" s="122"/>
      <c r="D5" s="122"/>
      <c r="E5" s="123" t="s">
        <v>63</v>
      </c>
      <c r="F5" s="123"/>
      <c r="G5" s="123"/>
      <c r="H5" s="123">
        <v>2</v>
      </c>
      <c r="I5" s="124">
        <f t="shared" ref="I5:I10" si="0">(H5*10)/SUM($H$5:$H$16)</f>
        <v>0.33333333333333331</v>
      </c>
      <c r="J5" s="125">
        <f>IF(F5="X",((H5*10)/SUM($H$5:$H$16)),0)</f>
        <v>0</v>
      </c>
    </row>
    <row r="6" spans="1:10" ht="46.5" customHeight="1">
      <c r="A6" s="52">
        <v>2</v>
      </c>
      <c r="B6" s="122" t="s">
        <v>110</v>
      </c>
      <c r="C6" s="122"/>
      <c r="D6" s="122"/>
      <c r="E6" s="123"/>
      <c r="F6" s="123" t="s">
        <v>63</v>
      </c>
      <c r="G6" s="123"/>
      <c r="H6" s="123">
        <v>6</v>
      </c>
      <c r="I6" s="124">
        <f t="shared" si="0"/>
        <v>1</v>
      </c>
      <c r="J6" s="125">
        <f t="shared" ref="J6:J15" si="1">IF(F6="X",((H6*10)/SUM($H$5:$H$16)),0)</f>
        <v>1</v>
      </c>
    </row>
    <row r="7" spans="1:10" ht="62.25" customHeight="1">
      <c r="A7" s="52">
        <v>3</v>
      </c>
      <c r="B7" s="122" t="s">
        <v>111</v>
      </c>
      <c r="C7" s="122"/>
      <c r="D7" s="122"/>
      <c r="E7" s="123"/>
      <c r="F7" s="123" t="s">
        <v>63</v>
      </c>
      <c r="G7" s="123"/>
      <c r="H7" s="123">
        <v>10</v>
      </c>
      <c r="I7" s="124">
        <f t="shared" si="0"/>
        <v>1.6666666666666667</v>
      </c>
      <c r="J7" s="125">
        <f t="shared" si="1"/>
        <v>1.6666666666666667</v>
      </c>
    </row>
    <row r="8" spans="1:10" ht="48" customHeight="1">
      <c r="A8" s="52">
        <v>4</v>
      </c>
      <c r="B8" s="122" t="s">
        <v>112</v>
      </c>
      <c r="C8" s="122"/>
      <c r="D8" s="122"/>
      <c r="E8" s="123"/>
      <c r="F8" s="123" t="s">
        <v>63</v>
      </c>
      <c r="G8" s="123"/>
      <c r="H8" s="123">
        <v>10</v>
      </c>
      <c r="I8" s="124">
        <f t="shared" si="0"/>
        <v>1.6666666666666667</v>
      </c>
      <c r="J8" s="125">
        <f t="shared" si="1"/>
        <v>1.6666666666666667</v>
      </c>
    </row>
    <row r="9" spans="1:10" ht="32.25" customHeight="1">
      <c r="A9" s="52">
        <v>5</v>
      </c>
      <c r="B9" s="122" t="s">
        <v>113</v>
      </c>
      <c r="C9" s="122"/>
      <c r="D9" s="122"/>
      <c r="E9" s="123"/>
      <c r="F9" s="123" t="s">
        <v>63</v>
      </c>
      <c r="G9" s="123"/>
      <c r="H9" s="123">
        <v>10</v>
      </c>
      <c r="I9" s="124">
        <f t="shared" si="0"/>
        <v>1.6666666666666667</v>
      </c>
      <c r="J9" s="125">
        <f t="shared" si="1"/>
        <v>1.6666666666666667</v>
      </c>
    </row>
    <row r="10" spans="1:10" ht="38.25" customHeight="1">
      <c r="A10" s="52">
        <v>6</v>
      </c>
      <c r="B10" s="122" t="s">
        <v>114</v>
      </c>
      <c r="C10" s="122"/>
      <c r="D10" s="122"/>
      <c r="E10" s="123"/>
      <c r="F10" s="123"/>
      <c r="G10" s="123" t="s">
        <v>63</v>
      </c>
      <c r="H10" s="123">
        <v>2</v>
      </c>
      <c r="I10" s="124">
        <f t="shared" si="0"/>
        <v>0.33333333333333331</v>
      </c>
      <c r="J10" s="125">
        <f t="shared" si="1"/>
        <v>0</v>
      </c>
    </row>
    <row r="11" spans="1:10" ht="59.25" customHeight="1">
      <c r="A11" s="52">
        <v>7</v>
      </c>
      <c r="B11" s="122" t="s">
        <v>115</v>
      </c>
      <c r="C11" s="122"/>
      <c r="D11" s="122"/>
      <c r="E11" s="123" t="s">
        <v>63</v>
      </c>
      <c r="F11" s="123"/>
      <c r="G11" s="123"/>
      <c r="H11" s="123">
        <v>2</v>
      </c>
      <c r="I11" s="124">
        <f t="shared" ref="I11:I16" si="2">(H11*10)/SUM($H$5:$H$16)</f>
        <v>0.33333333333333331</v>
      </c>
      <c r="J11" s="125">
        <f t="shared" si="1"/>
        <v>0</v>
      </c>
    </row>
    <row r="12" spans="1:10" ht="43.5" customHeight="1">
      <c r="A12" s="52">
        <v>8</v>
      </c>
      <c r="B12" s="122" t="s">
        <v>116</v>
      </c>
      <c r="C12" s="122"/>
      <c r="D12" s="122"/>
      <c r="E12" s="123"/>
      <c r="F12" s="123" t="s">
        <v>63</v>
      </c>
      <c r="G12" s="123"/>
      <c r="H12" s="123">
        <v>6</v>
      </c>
      <c r="I12" s="124">
        <f t="shared" si="2"/>
        <v>1</v>
      </c>
      <c r="J12" s="125">
        <f t="shared" si="1"/>
        <v>1</v>
      </c>
    </row>
    <row r="13" spans="1:10" ht="30" customHeight="1">
      <c r="A13" s="52">
        <v>9</v>
      </c>
      <c r="B13" s="122" t="s">
        <v>117</v>
      </c>
      <c r="C13" s="122"/>
      <c r="D13" s="122"/>
      <c r="E13" s="123" t="s">
        <v>63</v>
      </c>
      <c r="F13" s="123"/>
      <c r="G13" s="123"/>
      <c r="H13" s="123">
        <v>6</v>
      </c>
      <c r="I13" s="124">
        <f t="shared" si="2"/>
        <v>1</v>
      </c>
      <c r="J13" s="125">
        <f t="shared" si="1"/>
        <v>0</v>
      </c>
    </row>
    <row r="14" spans="1:10" ht="30.75" customHeight="1">
      <c r="A14" s="52">
        <v>10</v>
      </c>
      <c r="B14" s="122" t="s">
        <v>118</v>
      </c>
      <c r="C14" s="122"/>
      <c r="D14" s="122"/>
      <c r="E14" s="123" t="s">
        <v>63</v>
      </c>
      <c r="F14" s="123"/>
      <c r="G14" s="123"/>
      <c r="H14" s="123">
        <v>2</v>
      </c>
      <c r="I14" s="124">
        <f t="shared" si="2"/>
        <v>0.33333333333333331</v>
      </c>
      <c r="J14" s="125">
        <f t="shared" si="1"/>
        <v>0</v>
      </c>
    </row>
    <row r="15" spans="1:10" ht="31.5" customHeight="1">
      <c r="A15" s="52">
        <v>11</v>
      </c>
      <c r="B15" s="122" t="s">
        <v>119</v>
      </c>
      <c r="C15" s="122"/>
      <c r="D15" s="122"/>
      <c r="E15" s="123" t="s">
        <v>63</v>
      </c>
      <c r="F15" s="123"/>
      <c r="G15" s="123"/>
      <c r="H15" s="123">
        <v>2</v>
      </c>
      <c r="I15" s="124">
        <f t="shared" si="2"/>
        <v>0.33333333333333331</v>
      </c>
      <c r="J15" s="125">
        <f t="shared" si="1"/>
        <v>0</v>
      </c>
    </row>
    <row r="16" spans="1:10" ht="46.5" customHeight="1">
      <c r="A16" s="52">
        <v>12</v>
      </c>
      <c r="B16" s="122" t="s">
        <v>120</v>
      </c>
      <c r="C16" s="122"/>
      <c r="D16" s="122"/>
      <c r="E16" s="123"/>
      <c r="F16" s="123" t="s">
        <v>63</v>
      </c>
      <c r="G16" s="123"/>
      <c r="H16" s="123">
        <v>2</v>
      </c>
      <c r="I16" s="124">
        <f t="shared" si="2"/>
        <v>0.33333333333333331</v>
      </c>
      <c r="J16" s="125">
        <f>IF(F16="X",((H16*10)/SUM($H$5:$H$16)),0)</f>
        <v>0.33333333333333331</v>
      </c>
    </row>
    <row r="17" spans="1:10" ht="15" customHeight="1">
      <c r="A17" s="83" t="s">
        <v>71</v>
      </c>
      <c r="B17" s="83"/>
      <c r="C17" s="83"/>
      <c r="D17" s="83"/>
      <c r="E17" s="83"/>
      <c r="F17" s="83"/>
      <c r="G17" s="83"/>
      <c r="H17" s="83"/>
      <c r="I17" s="28">
        <f>SUM(I5:I16)</f>
        <v>10.000000000000002</v>
      </c>
      <c r="J17" s="19">
        <f>SUM(J5:J16)</f>
        <v>7.3333333333333339</v>
      </c>
    </row>
  </sheetData>
  <mergeCells count="20">
    <mergeCell ref="A17:H17"/>
    <mergeCell ref="B10:D10"/>
    <mergeCell ref="A3:B3"/>
    <mergeCell ref="B4:D4"/>
    <mergeCell ref="B5:D5"/>
    <mergeCell ref="B6:D6"/>
    <mergeCell ref="B7:D7"/>
    <mergeCell ref="B8:D8"/>
    <mergeCell ref="B9:D9"/>
    <mergeCell ref="E3:J3"/>
    <mergeCell ref="B11:D11"/>
    <mergeCell ref="B12:D12"/>
    <mergeCell ref="B13:D13"/>
    <mergeCell ref="B14:D14"/>
    <mergeCell ref="B15:D15"/>
    <mergeCell ref="A1:B1"/>
    <mergeCell ref="A2:B2"/>
    <mergeCell ref="C1:J1"/>
    <mergeCell ref="C2:J2"/>
    <mergeCell ref="B16:D16"/>
  </mergeCell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BA502-2505-4822-893A-79CEE83E90BC}">
  <sheetPr>
    <tabColor rgb="FF99FFCC"/>
  </sheetPr>
  <dimension ref="A1:J17"/>
  <sheetViews>
    <sheetView workbookViewId="0">
      <selection activeCell="B8" sqref="A1:J17"/>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49</v>
      </c>
      <c r="D2" s="74"/>
      <c r="E2" s="74"/>
      <c r="F2" s="74"/>
      <c r="G2" s="74"/>
      <c r="H2" s="74"/>
      <c r="I2" s="74"/>
      <c r="J2" s="75"/>
    </row>
    <row r="3" spans="1:10" ht="45">
      <c r="A3" s="70" t="s">
        <v>81</v>
      </c>
      <c r="B3" s="70"/>
      <c r="C3" s="18" t="s">
        <v>93</v>
      </c>
      <c r="D3" s="55" t="s">
        <v>121</v>
      </c>
      <c r="E3" s="122" t="s">
        <v>122</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30" customHeight="1">
      <c r="A5" s="52">
        <v>1</v>
      </c>
      <c r="B5" s="122" t="s">
        <v>124</v>
      </c>
      <c r="C5" s="122"/>
      <c r="D5" s="122"/>
      <c r="E5" s="123"/>
      <c r="F5" s="123" t="s">
        <v>63</v>
      </c>
      <c r="G5" s="123"/>
      <c r="H5" s="123">
        <v>6</v>
      </c>
      <c r="I5" s="124">
        <f>(H5*10)/SUM($H$5:$H$16)</f>
        <v>1.0714285714285714</v>
      </c>
      <c r="J5" s="125">
        <f>IF(F5="X",((H5*10)/SUM($H$5:$H$16)),0)</f>
        <v>1.0714285714285714</v>
      </c>
    </row>
    <row r="6" spans="1:10" ht="31.5" customHeight="1">
      <c r="A6" s="52">
        <v>2</v>
      </c>
      <c r="B6" s="122" t="s">
        <v>125</v>
      </c>
      <c r="C6" s="122"/>
      <c r="D6" s="122"/>
      <c r="E6" s="123" t="s">
        <v>63</v>
      </c>
      <c r="F6" s="123"/>
      <c r="G6" s="123"/>
      <c r="H6" s="123">
        <v>2</v>
      </c>
      <c r="I6" s="124">
        <f t="shared" ref="I6:I16" si="0">(H6*10)/SUM($H$5:$H$16)</f>
        <v>0.35714285714285715</v>
      </c>
      <c r="J6" s="125">
        <f t="shared" ref="J6:J16" si="1">IF(F6="X",((H6*10)/SUM($H$5:$H$16)),0)</f>
        <v>0</v>
      </c>
    </row>
    <row r="7" spans="1:10" ht="30.75" customHeight="1">
      <c r="A7" s="52">
        <v>3</v>
      </c>
      <c r="B7" s="122" t="s">
        <v>126</v>
      </c>
      <c r="C7" s="122"/>
      <c r="D7" s="122"/>
      <c r="E7" s="123" t="s">
        <v>63</v>
      </c>
      <c r="F7" s="123"/>
      <c r="G7" s="123"/>
      <c r="H7" s="123">
        <v>2</v>
      </c>
      <c r="I7" s="124">
        <f t="shared" si="0"/>
        <v>0.35714285714285715</v>
      </c>
      <c r="J7" s="125">
        <f t="shared" si="1"/>
        <v>0</v>
      </c>
    </row>
    <row r="8" spans="1:10" ht="70.5" customHeight="1">
      <c r="A8" s="52">
        <v>4</v>
      </c>
      <c r="B8" s="122" t="s">
        <v>127</v>
      </c>
      <c r="C8" s="122"/>
      <c r="D8" s="122"/>
      <c r="E8" s="123" t="s">
        <v>63</v>
      </c>
      <c r="F8" s="123"/>
      <c r="G8" s="123"/>
      <c r="H8" s="123">
        <v>6</v>
      </c>
      <c r="I8" s="124">
        <f t="shared" si="0"/>
        <v>1.0714285714285714</v>
      </c>
      <c r="J8" s="125">
        <f t="shared" si="1"/>
        <v>0</v>
      </c>
    </row>
    <row r="9" spans="1:10" ht="47.25" customHeight="1">
      <c r="A9" s="52">
        <v>5</v>
      </c>
      <c r="B9" s="122" t="s">
        <v>128</v>
      </c>
      <c r="C9" s="122"/>
      <c r="D9" s="122"/>
      <c r="E9" s="123"/>
      <c r="F9" s="123" t="s">
        <v>63</v>
      </c>
      <c r="G9" s="123"/>
      <c r="H9" s="123">
        <v>10</v>
      </c>
      <c r="I9" s="124">
        <f t="shared" si="0"/>
        <v>1.7857142857142858</v>
      </c>
      <c r="J9" s="125">
        <f>IF(F9="X",((H9*10)/SUM($H$5:$H$16)),0)</f>
        <v>1.7857142857142858</v>
      </c>
    </row>
    <row r="10" spans="1:10" ht="87.75" customHeight="1">
      <c r="A10" s="52">
        <v>6</v>
      </c>
      <c r="B10" s="122" t="s">
        <v>129</v>
      </c>
      <c r="C10" s="122"/>
      <c r="D10" s="122"/>
      <c r="E10" s="123" t="s">
        <v>63</v>
      </c>
      <c r="F10" s="123"/>
      <c r="G10" s="123"/>
      <c r="H10" s="123">
        <v>6</v>
      </c>
      <c r="I10" s="124">
        <f t="shared" si="0"/>
        <v>1.0714285714285714</v>
      </c>
      <c r="J10" s="125">
        <f t="shared" si="1"/>
        <v>0</v>
      </c>
    </row>
    <row r="11" spans="1:10" ht="42.75" customHeight="1">
      <c r="A11" s="52">
        <v>7</v>
      </c>
      <c r="B11" s="122" t="s">
        <v>130</v>
      </c>
      <c r="C11" s="122"/>
      <c r="D11" s="122"/>
      <c r="E11" s="123" t="s">
        <v>63</v>
      </c>
      <c r="F11" s="123"/>
      <c r="G11" s="123"/>
      <c r="H11" s="123">
        <v>6</v>
      </c>
      <c r="I11" s="124">
        <f t="shared" si="0"/>
        <v>1.0714285714285714</v>
      </c>
      <c r="J11" s="125">
        <f t="shared" si="1"/>
        <v>0</v>
      </c>
    </row>
    <row r="12" spans="1:10" ht="27.75" customHeight="1">
      <c r="A12" s="52">
        <v>8</v>
      </c>
      <c r="B12" s="122" t="s">
        <v>131</v>
      </c>
      <c r="C12" s="122"/>
      <c r="D12" s="122"/>
      <c r="E12" s="123" t="s">
        <v>63</v>
      </c>
      <c r="F12" s="123"/>
      <c r="G12" s="123"/>
      <c r="H12" s="123">
        <v>2</v>
      </c>
      <c r="I12" s="124">
        <f t="shared" si="0"/>
        <v>0.35714285714285715</v>
      </c>
      <c r="J12" s="125">
        <f t="shared" si="1"/>
        <v>0</v>
      </c>
    </row>
    <row r="13" spans="1:10" ht="30" customHeight="1">
      <c r="A13" s="52">
        <v>9</v>
      </c>
      <c r="B13" s="122" t="s">
        <v>132</v>
      </c>
      <c r="C13" s="122"/>
      <c r="D13" s="122"/>
      <c r="E13" s="123" t="s">
        <v>63</v>
      </c>
      <c r="F13" s="123"/>
      <c r="G13" s="123"/>
      <c r="H13" s="123">
        <v>2</v>
      </c>
      <c r="I13" s="124">
        <f t="shared" si="0"/>
        <v>0.35714285714285715</v>
      </c>
      <c r="J13" s="125">
        <f t="shared" si="1"/>
        <v>0</v>
      </c>
    </row>
    <row r="14" spans="1:10" ht="32.25" customHeight="1">
      <c r="A14" s="52">
        <v>10</v>
      </c>
      <c r="B14" s="122" t="s">
        <v>133</v>
      </c>
      <c r="C14" s="122"/>
      <c r="D14" s="122"/>
      <c r="E14" s="123" t="s">
        <v>63</v>
      </c>
      <c r="F14" s="123"/>
      <c r="G14" s="123"/>
      <c r="H14" s="123">
        <v>2</v>
      </c>
      <c r="I14" s="124">
        <f t="shared" si="0"/>
        <v>0.35714285714285715</v>
      </c>
      <c r="J14" s="125">
        <f t="shared" si="1"/>
        <v>0</v>
      </c>
    </row>
    <row r="15" spans="1:10" ht="30" customHeight="1">
      <c r="A15" s="52">
        <v>11</v>
      </c>
      <c r="B15" s="122" t="s">
        <v>134</v>
      </c>
      <c r="C15" s="122"/>
      <c r="D15" s="122"/>
      <c r="E15" s="123" t="s">
        <v>63</v>
      </c>
      <c r="F15" s="123"/>
      <c r="G15" s="123"/>
      <c r="H15" s="123">
        <v>6</v>
      </c>
      <c r="I15" s="124">
        <f t="shared" si="0"/>
        <v>1.0714285714285714</v>
      </c>
      <c r="J15" s="125">
        <f t="shared" si="1"/>
        <v>0</v>
      </c>
    </row>
    <row r="16" spans="1:10" ht="57.75" customHeight="1">
      <c r="A16" s="52">
        <v>12</v>
      </c>
      <c r="B16" s="122" t="s">
        <v>135</v>
      </c>
      <c r="C16" s="122"/>
      <c r="D16" s="122"/>
      <c r="E16" s="123" t="s">
        <v>63</v>
      </c>
      <c r="F16" s="123"/>
      <c r="G16" s="123"/>
      <c r="H16" s="123">
        <v>6</v>
      </c>
      <c r="I16" s="124">
        <f t="shared" si="0"/>
        <v>1.0714285714285714</v>
      </c>
      <c r="J16" s="125">
        <f t="shared" si="1"/>
        <v>0</v>
      </c>
    </row>
    <row r="17" spans="1:10" ht="15" customHeight="1">
      <c r="A17" s="83" t="s">
        <v>71</v>
      </c>
      <c r="B17" s="83"/>
      <c r="C17" s="83"/>
      <c r="D17" s="83"/>
      <c r="E17" s="83"/>
      <c r="F17" s="83"/>
      <c r="G17" s="83"/>
      <c r="H17" s="83"/>
      <c r="I17" s="28">
        <f>SUM(I5:I16)</f>
        <v>9.9999999999999982</v>
      </c>
      <c r="J17" s="19">
        <f>SUM(J5:J16)</f>
        <v>2.8571428571428572</v>
      </c>
    </row>
  </sheetData>
  <mergeCells count="20">
    <mergeCell ref="A17:H17"/>
    <mergeCell ref="B10:D10"/>
    <mergeCell ref="A3:B3"/>
    <mergeCell ref="B4:D4"/>
    <mergeCell ref="B5:D5"/>
    <mergeCell ref="B6:D6"/>
    <mergeCell ref="B7:D7"/>
    <mergeCell ref="B8:D8"/>
    <mergeCell ref="B9:D9"/>
    <mergeCell ref="E3:J3"/>
    <mergeCell ref="B11:D11"/>
    <mergeCell ref="B12:D12"/>
    <mergeCell ref="B13:D13"/>
    <mergeCell ref="B14:D14"/>
    <mergeCell ref="B15:D15"/>
    <mergeCell ref="A1:B1"/>
    <mergeCell ref="A2:B2"/>
    <mergeCell ref="C1:J1"/>
    <mergeCell ref="C2:J2"/>
    <mergeCell ref="B16:D16"/>
  </mergeCell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DB7A3-912B-47AC-A86B-99EE7B304B96}">
  <sheetPr>
    <tabColor rgb="FF99FFCC"/>
  </sheetPr>
  <dimension ref="A1:J13"/>
  <sheetViews>
    <sheetView workbookViewId="0">
      <selection activeCell="B7" sqref="A1:J13"/>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49</v>
      </c>
      <c r="D2" s="74"/>
      <c r="E2" s="74"/>
      <c r="F2" s="74"/>
      <c r="G2" s="74"/>
      <c r="H2" s="74"/>
      <c r="I2" s="74"/>
      <c r="J2" s="75"/>
    </row>
    <row r="3" spans="1:10" ht="45">
      <c r="A3" s="70" t="s">
        <v>81</v>
      </c>
      <c r="B3" s="70"/>
      <c r="C3" s="18" t="s">
        <v>93</v>
      </c>
      <c r="D3" s="55" t="s">
        <v>136</v>
      </c>
      <c r="E3" s="122" t="s">
        <v>137</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7.25" customHeight="1">
      <c r="A5" s="52">
        <v>1</v>
      </c>
      <c r="B5" s="122" t="s">
        <v>138</v>
      </c>
      <c r="C5" s="122"/>
      <c r="D5" s="122"/>
      <c r="E5" s="123"/>
      <c r="F5" s="123" t="s">
        <v>63</v>
      </c>
      <c r="G5" s="123"/>
      <c r="H5" s="123">
        <v>6</v>
      </c>
      <c r="I5" s="124">
        <f>(H5*10)/SUM($H$5:$H$12)</f>
        <v>1.25</v>
      </c>
      <c r="J5" s="125">
        <f>IF(F5="X",((H5*10)/SUM($H$5:$H$12)),0)</f>
        <v>1.25</v>
      </c>
    </row>
    <row r="6" spans="1:10" ht="47.25" customHeight="1">
      <c r="A6" s="52">
        <v>2</v>
      </c>
      <c r="B6" s="122" t="s">
        <v>139</v>
      </c>
      <c r="C6" s="122"/>
      <c r="D6" s="122"/>
      <c r="E6" s="123"/>
      <c r="F6" s="123" t="s">
        <v>63</v>
      </c>
      <c r="G6" s="123"/>
      <c r="H6" s="123">
        <v>6</v>
      </c>
      <c r="I6" s="124">
        <f t="shared" ref="I6:I12" si="0">(H6*10)/SUM($H$5:$H$12)</f>
        <v>1.25</v>
      </c>
      <c r="J6" s="125">
        <f t="shared" ref="J6:J12" si="1">IF(F6="X",((H6*10)/SUM($H$5:$H$12)),0)</f>
        <v>1.25</v>
      </c>
    </row>
    <row r="7" spans="1:10" ht="63" customHeight="1">
      <c r="A7" s="52">
        <v>3</v>
      </c>
      <c r="B7" s="122" t="s">
        <v>140</v>
      </c>
      <c r="C7" s="122"/>
      <c r="D7" s="122"/>
      <c r="E7" s="123"/>
      <c r="F7" s="123" t="s">
        <v>63</v>
      </c>
      <c r="G7" s="123"/>
      <c r="H7" s="123">
        <v>6</v>
      </c>
      <c r="I7" s="124">
        <f t="shared" si="0"/>
        <v>1.25</v>
      </c>
      <c r="J7" s="125">
        <f t="shared" si="1"/>
        <v>1.25</v>
      </c>
    </row>
    <row r="8" spans="1:10" ht="31.5" customHeight="1">
      <c r="A8" s="52">
        <v>4</v>
      </c>
      <c r="B8" s="122" t="s">
        <v>141</v>
      </c>
      <c r="C8" s="122"/>
      <c r="D8" s="122"/>
      <c r="E8" s="123" t="s">
        <v>63</v>
      </c>
      <c r="F8" s="123"/>
      <c r="G8" s="123"/>
      <c r="H8" s="123">
        <v>2</v>
      </c>
      <c r="I8" s="124">
        <f t="shared" si="0"/>
        <v>0.41666666666666669</v>
      </c>
      <c r="J8" s="125">
        <f t="shared" si="1"/>
        <v>0</v>
      </c>
    </row>
    <row r="9" spans="1:10" ht="31.5" customHeight="1">
      <c r="A9" s="52">
        <v>5</v>
      </c>
      <c r="B9" s="122" t="s">
        <v>142</v>
      </c>
      <c r="C9" s="122"/>
      <c r="D9" s="122"/>
      <c r="E9" s="123"/>
      <c r="F9" s="123" t="s">
        <v>63</v>
      </c>
      <c r="G9" s="123"/>
      <c r="H9" s="123">
        <v>10</v>
      </c>
      <c r="I9" s="124">
        <f t="shared" si="0"/>
        <v>2.0833333333333335</v>
      </c>
      <c r="J9" s="125">
        <f t="shared" si="1"/>
        <v>2.0833333333333335</v>
      </c>
    </row>
    <row r="10" spans="1:10" ht="48.75" customHeight="1">
      <c r="A10" s="52">
        <v>6</v>
      </c>
      <c r="B10" s="122" t="s">
        <v>143</v>
      </c>
      <c r="C10" s="122"/>
      <c r="D10" s="122"/>
      <c r="E10" s="123" t="s">
        <v>63</v>
      </c>
      <c r="F10" s="123"/>
      <c r="G10" s="123"/>
      <c r="H10" s="123">
        <v>10</v>
      </c>
      <c r="I10" s="124">
        <f t="shared" si="0"/>
        <v>2.0833333333333335</v>
      </c>
      <c r="J10" s="125">
        <f t="shared" si="1"/>
        <v>0</v>
      </c>
    </row>
    <row r="11" spans="1:10" ht="47.25" customHeight="1">
      <c r="A11" s="52">
        <v>7</v>
      </c>
      <c r="B11" s="122" t="s">
        <v>144</v>
      </c>
      <c r="C11" s="122"/>
      <c r="D11" s="122"/>
      <c r="E11" s="123" t="s">
        <v>63</v>
      </c>
      <c r="F11" s="123"/>
      <c r="G11" s="123"/>
      <c r="H11" s="123">
        <v>6</v>
      </c>
      <c r="I11" s="124">
        <f t="shared" si="0"/>
        <v>1.25</v>
      </c>
      <c r="J11" s="125">
        <f t="shared" si="1"/>
        <v>0</v>
      </c>
    </row>
    <row r="12" spans="1:10" ht="47.25" customHeight="1">
      <c r="A12" s="52">
        <v>8</v>
      </c>
      <c r="B12" s="122" t="s">
        <v>145</v>
      </c>
      <c r="C12" s="122"/>
      <c r="D12" s="122"/>
      <c r="E12" s="123" t="s">
        <v>63</v>
      </c>
      <c r="F12" s="123"/>
      <c r="G12" s="123"/>
      <c r="H12" s="123">
        <v>2</v>
      </c>
      <c r="I12" s="124">
        <f t="shared" si="0"/>
        <v>0.41666666666666669</v>
      </c>
      <c r="J12" s="125">
        <f t="shared" si="1"/>
        <v>0</v>
      </c>
    </row>
    <row r="13" spans="1:10" ht="15" customHeight="1">
      <c r="A13" s="83" t="s">
        <v>71</v>
      </c>
      <c r="B13" s="83"/>
      <c r="C13" s="83"/>
      <c r="D13" s="83"/>
      <c r="E13" s="83"/>
      <c r="F13" s="83"/>
      <c r="G13" s="83"/>
      <c r="H13" s="83"/>
      <c r="I13" s="28">
        <f>SUM(I5:I12)</f>
        <v>10</v>
      </c>
      <c r="J13" s="19">
        <f>SUM(J5:J12)</f>
        <v>5.8333333333333339</v>
      </c>
    </row>
  </sheetData>
  <mergeCells count="16">
    <mergeCell ref="A13:H13"/>
    <mergeCell ref="A3:B3"/>
    <mergeCell ref="B4:D4"/>
    <mergeCell ref="B11:D11"/>
    <mergeCell ref="B12:D12"/>
    <mergeCell ref="E3:J3"/>
    <mergeCell ref="B5:D5"/>
    <mergeCell ref="B6:D6"/>
    <mergeCell ref="B7:D7"/>
    <mergeCell ref="B8:D8"/>
    <mergeCell ref="B9:D9"/>
    <mergeCell ref="A1:B1"/>
    <mergeCell ref="A2:B2"/>
    <mergeCell ref="C1:J1"/>
    <mergeCell ref="C2:J2"/>
    <mergeCell ref="B10:D10"/>
  </mergeCell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0F02-9CCB-41F3-99D5-28669B879609}">
  <sheetPr>
    <tabColor rgb="FF99FFCC"/>
  </sheetPr>
  <dimension ref="A1:J15"/>
  <sheetViews>
    <sheetView workbookViewId="0">
      <selection activeCell="B6" sqref="A1:J15"/>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49</v>
      </c>
      <c r="D2" s="74"/>
      <c r="E2" s="74"/>
      <c r="F2" s="74"/>
      <c r="G2" s="74"/>
      <c r="H2" s="74"/>
      <c r="I2" s="74"/>
      <c r="J2" s="75"/>
    </row>
    <row r="3" spans="1:10" ht="92.25" customHeight="1">
      <c r="A3" s="70" t="s">
        <v>81</v>
      </c>
      <c r="B3" s="70"/>
      <c r="C3" s="18" t="s">
        <v>93</v>
      </c>
      <c r="D3" s="55" t="s">
        <v>176</v>
      </c>
      <c r="E3" s="122" t="s">
        <v>318</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7.25" customHeight="1">
      <c r="A5" s="52">
        <v>1</v>
      </c>
      <c r="B5" s="122" t="s">
        <v>178</v>
      </c>
      <c r="C5" s="122"/>
      <c r="D5" s="122"/>
      <c r="E5" s="123" t="s">
        <v>63</v>
      </c>
      <c r="F5" s="123"/>
      <c r="G5" s="123"/>
      <c r="H5" s="123">
        <v>10</v>
      </c>
      <c r="I5" s="124">
        <f>(H5*10)/SUM($H$5:$H$14)</f>
        <v>1.9230769230769231</v>
      </c>
      <c r="J5" s="125">
        <f>IF(F5="X",((H5*10)/SUM($H$5:$H$14)),0)</f>
        <v>0</v>
      </c>
    </row>
    <row r="6" spans="1:10" ht="33" customHeight="1">
      <c r="A6" s="52">
        <v>2</v>
      </c>
      <c r="B6" s="122" t="s">
        <v>179</v>
      </c>
      <c r="C6" s="122"/>
      <c r="D6" s="122"/>
      <c r="E6" s="123"/>
      <c r="F6" s="123" t="s">
        <v>63</v>
      </c>
      <c r="G6" s="123"/>
      <c r="H6" s="123">
        <v>6</v>
      </c>
      <c r="I6" s="124">
        <f t="shared" ref="I6:I14" si="0">(H6*10)/SUM($H$5:$H$14)</f>
        <v>1.1538461538461537</v>
      </c>
      <c r="J6" s="125">
        <f t="shared" ref="J6:J14" si="1">IF(F6="X",((H6*10)/SUM($H$5:$H$14)),0)</f>
        <v>1.1538461538461537</v>
      </c>
    </row>
    <row r="7" spans="1:10" ht="35.25" customHeight="1">
      <c r="A7" s="52">
        <v>3</v>
      </c>
      <c r="B7" s="122" t="s">
        <v>180</v>
      </c>
      <c r="C7" s="122"/>
      <c r="D7" s="122"/>
      <c r="E7" s="123" t="s">
        <v>63</v>
      </c>
      <c r="F7" s="123"/>
      <c r="G7" s="123"/>
      <c r="H7" s="123">
        <v>6</v>
      </c>
      <c r="I7" s="124">
        <f t="shared" si="0"/>
        <v>1.1538461538461537</v>
      </c>
      <c r="J7" s="125">
        <f t="shared" si="1"/>
        <v>0</v>
      </c>
    </row>
    <row r="8" spans="1:10" ht="31.5" customHeight="1">
      <c r="A8" s="52">
        <v>4</v>
      </c>
      <c r="B8" s="122" t="s">
        <v>181</v>
      </c>
      <c r="C8" s="122"/>
      <c r="D8" s="122"/>
      <c r="E8" s="123" t="s">
        <v>63</v>
      </c>
      <c r="F8" s="123"/>
      <c r="G8" s="123"/>
      <c r="H8" s="123">
        <v>10</v>
      </c>
      <c r="I8" s="124">
        <f t="shared" si="0"/>
        <v>1.9230769230769231</v>
      </c>
      <c r="J8" s="125">
        <f t="shared" si="1"/>
        <v>0</v>
      </c>
    </row>
    <row r="9" spans="1:10" ht="31.5" customHeight="1">
      <c r="A9" s="52">
        <v>5</v>
      </c>
      <c r="B9" s="122" t="s">
        <v>182</v>
      </c>
      <c r="C9" s="122"/>
      <c r="D9" s="122"/>
      <c r="E9" s="123" t="s">
        <v>63</v>
      </c>
      <c r="F9" s="123"/>
      <c r="G9" s="123"/>
      <c r="H9" s="123">
        <v>2</v>
      </c>
      <c r="I9" s="124">
        <f t="shared" si="0"/>
        <v>0.38461538461538464</v>
      </c>
      <c r="J9" s="125">
        <f t="shared" si="1"/>
        <v>0</v>
      </c>
    </row>
    <row r="10" spans="1:10" ht="58.5" customHeight="1">
      <c r="A10" s="52">
        <v>6</v>
      </c>
      <c r="B10" s="122" t="s">
        <v>183</v>
      </c>
      <c r="C10" s="122"/>
      <c r="D10" s="122"/>
      <c r="E10" s="123" t="s">
        <v>63</v>
      </c>
      <c r="F10" s="123"/>
      <c r="G10" s="123"/>
      <c r="H10" s="123">
        <v>6</v>
      </c>
      <c r="I10" s="124">
        <f t="shared" si="0"/>
        <v>1.1538461538461537</v>
      </c>
      <c r="J10" s="125">
        <f t="shared" si="1"/>
        <v>0</v>
      </c>
    </row>
    <row r="11" spans="1:10" ht="31.5" customHeight="1">
      <c r="A11" s="52">
        <v>7</v>
      </c>
      <c r="B11" s="122" t="s">
        <v>184</v>
      </c>
      <c r="C11" s="122"/>
      <c r="D11" s="122"/>
      <c r="E11" s="123"/>
      <c r="F11" s="123" t="s">
        <v>63</v>
      </c>
      <c r="G11" s="123"/>
      <c r="H11" s="123">
        <v>2</v>
      </c>
      <c r="I11" s="124">
        <f t="shared" si="0"/>
        <v>0.38461538461538464</v>
      </c>
      <c r="J11" s="125">
        <f t="shared" si="1"/>
        <v>0.38461538461538464</v>
      </c>
    </row>
    <row r="12" spans="1:10" ht="43.5" customHeight="1">
      <c r="A12" s="52">
        <v>8</v>
      </c>
      <c r="B12" s="122" t="s">
        <v>185</v>
      </c>
      <c r="C12" s="122"/>
      <c r="D12" s="122"/>
      <c r="E12" s="123" t="s">
        <v>63</v>
      </c>
      <c r="F12" s="123"/>
      <c r="G12" s="123"/>
      <c r="H12" s="123">
        <v>2</v>
      </c>
      <c r="I12" s="124">
        <f t="shared" si="0"/>
        <v>0.38461538461538464</v>
      </c>
      <c r="J12" s="125">
        <f t="shared" si="1"/>
        <v>0</v>
      </c>
    </row>
    <row r="13" spans="1:10" ht="31.5" customHeight="1">
      <c r="A13" s="52">
        <v>9</v>
      </c>
      <c r="B13" s="122" t="s">
        <v>186</v>
      </c>
      <c r="C13" s="122"/>
      <c r="D13" s="122"/>
      <c r="E13" s="123" t="s">
        <v>63</v>
      </c>
      <c r="F13" s="123"/>
      <c r="G13" s="123"/>
      <c r="H13" s="123">
        <v>2</v>
      </c>
      <c r="I13" s="124">
        <f t="shared" si="0"/>
        <v>0.38461538461538464</v>
      </c>
      <c r="J13" s="125">
        <f t="shared" si="1"/>
        <v>0</v>
      </c>
    </row>
    <row r="14" spans="1:10" ht="45.75" customHeight="1">
      <c r="A14" s="52">
        <v>10</v>
      </c>
      <c r="B14" s="122" t="s">
        <v>187</v>
      </c>
      <c r="C14" s="122"/>
      <c r="D14" s="122"/>
      <c r="E14" s="123" t="s">
        <v>63</v>
      </c>
      <c r="F14" s="123"/>
      <c r="G14" s="123"/>
      <c r="H14" s="123">
        <v>6</v>
      </c>
      <c r="I14" s="124">
        <f t="shared" si="0"/>
        <v>1.1538461538461537</v>
      </c>
      <c r="J14" s="125">
        <f t="shared" si="1"/>
        <v>0</v>
      </c>
    </row>
    <row r="15" spans="1:10" ht="15" customHeight="1">
      <c r="A15" s="83" t="s">
        <v>71</v>
      </c>
      <c r="B15" s="83"/>
      <c r="C15" s="83"/>
      <c r="D15" s="83"/>
      <c r="E15" s="83"/>
      <c r="F15" s="83"/>
      <c r="G15" s="83"/>
      <c r="H15" s="83"/>
      <c r="I15" s="28">
        <f>SUM(I5:I14)</f>
        <v>10</v>
      </c>
      <c r="J15" s="19">
        <f>SUM(J5:J14)</f>
        <v>1.5384615384615383</v>
      </c>
    </row>
  </sheetData>
  <mergeCells count="18">
    <mergeCell ref="A15:H15"/>
    <mergeCell ref="B8:D8"/>
    <mergeCell ref="B9:D9"/>
    <mergeCell ref="B10:D10"/>
    <mergeCell ref="B11:D11"/>
    <mergeCell ref="B12:D12"/>
    <mergeCell ref="B13:D13"/>
    <mergeCell ref="A1:B1"/>
    <mergeCell ref="A2:B2"/>
    <mergeCell ref="C1:J1"/>
    <mergeCell ref="C2:J2"/>
    <mergeCell ref="B14:D14"/>
    <mergeCell ref="B7:D7"/>
    <mergeCell ref="A3:B3"/>
    <mergeCell ref="E3:J3"/>
    <mergeCell ref="B4:D4"/>
    <mergeCell ref="B5:D5"/>
    <mergeCell ref="B6:D6"/>
  </mergeCell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4E506-9E2C-4EDD-8272-6A2F309F663E}">
  <sheetPr>
    <tabColor rgb="FF99FFCC"/>
  </sheetPr>
  <dimension ref="A1:J15"/>
  <sheetViews>
    <sheetView workbookViewId="0">
      <selection activeCell="B6" sqref="A1:J15"/>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49</v>
      </c>
      <c r="D2" s="74"/>
      <c r="E2" s="74"/>
      <c r="F2" s="74"/>
      <c r="G2" s="74"/>
      <c r="H2" s="74"/>
      <c r="I2" s="74"/>
      <c r="J2" s="75"/>
    </row>
    <row r="3" spans="1:10" ht="90">
      <c r="A3" s="70" t="s">
        <v>81</v>
      </c>
      <c r="B3" s="70"/>
      <c r="C3" s="18" t="s">
        <v>93</v>
      </c>
      <c r="D3" s="55" t="s">
        <v>188</v>
      </c>
      <c r="E3" s="122" t="s">
        <v>319</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7.25" customHeight="1">
      <c r="A5" s="52">
        <v>1</v>
      </c>
      <c r="B5" s="122" t="s">
        <v>190</v>
      </c>
      <c r="C5" s="122"/>
      <c r="D5" s="122"/>
      <c r="E5" s="123" t="s">
        <v>63</v>
      </c>
      <c r="F5" s="123"/>
      <c r="G5" s="123"/>
      <c r="H5" s="123">
        <v>6</v>
      </c>
      <c r="I5" s="124">
        <f>(H5*10)/SUM($H$5:$H$14)</f>
        <v>1.5</v>
      </c>
      <c r="J5" s="125">
        <f>IF(F5="X",((H5*10)/SUM($H$5:$H$14)),0)</f>
        <v>0</v>
      </c>
    </row>
    <row r="6" spans="1:10" ht="44.25" customHeight="1">
      <c r="A6" s="52">
        <v>2</v>
      </c>
      <c r="B6" s="122" t="s">
        <v>191</v>
      </c>
      <c r="C6" s="122"/>
      <c r="D6" s="122"/>
      <c r="E6" s="123" t="s">
        <v>63</v>
      </c>
      <c r="F6" s="123"/>
      <c r="G6" s="123"/>
      <c r="H6" s="123">
        <v>6</v>
      </c>
      <c r="I6" s="124">
        <f t="shared" ref="I6:I14" si="0">(H6*10)/SUM($H$5:$H$14)</f>
        <v>1.5</v>
      </c>
      <c r="J6" s="125">
        <f t="shared" ref="J6:J14" si="1">IF(F6="X",((H6*10)/SUM($H$5:$H$14)),0)</f>
        <v>0</v>
      </c>
    </row>
    <row r="7" spans="1:10" ht="43.5" customHeight="1">
      <c r="A7" s="52">
        <v>3</v>
      </c>
      <c r="B7" s="122" t="s">
        <v>192</v>
      </c>
      <c r="C7" s="122"/>
      <c r="D7" s="122"/>
      <c r="E7" s="123" t="s">
        <v>63</v>
      </c>
      <c r="F7" s="123"/>
      <c r="G7" s="123"/>
      <c r="H7" s="123">
        <v>2</v>
      </c>
      <c r="I7" s="124">
        <f t="shared" si="0"/>
        <v>0.5</v>
      </c>
      <c r="J7" s="125">
        <f t="shared" si="1"/>
        <v>0</v>
      </c>
    </row>
    <row r="8" spans="1:10" ht="15">
      <c r="A8" s="52">
        <v>4</v>
      </c>
      <c r="B8" s="122" t="s">
        <v>193</v>
      </c>
      <c r="C8" s="122"/>
      <c r="D8" s="122"/>
      <c r="E8" s="123" t="s">
        <v>63</v>
      </c>
      <c r="F8" s="123"/>
      <c r="G8" s="123"/>
      <c r="H8" s="123">
        <v>2</v>
      </c>
      <c r="I8" s="124">
        <f t="shared" si="0"/>
        <v>0.5</v>
      </c>
      <c r="J8" s="125">
        <f t="shared" si="1"/>
        <v>0</v>
      </c>
    </row>
    <row r="9" spans="1:10" ht="31.5" customHeight="1">
      <c r="A9" s="52">
        <v>5</v>
      </c>
      <c r="B9" s="122" t="s">
        <v>194</v>
      </c>
      <c r="C9" s="122"/>
      <c r="D9" s="122"/>
      <c r="E9" s="123" t="s">
        <v>63</v>
      </c>
      <c r="F9" s="123"/>
      <c r="G9" s="123"/>
      <c r="H9" s="123">
        <v>2</v>
      </c>
      <c r="I9" s="124">
        <f t="shared" si="0"/>
        <v>0.5</v>
      </c>
      <c r="J9" s="125">
        <f t="shared" si="1"/>
        <v>0</v>
      </c>
    </row>
    <row r="10" spans="1:10" ht="42.75" customHeight="1">
      <c r="A10" s="52">
        <v>6</v>
      </c>
      <c r="B10" s="122" t="s">
        <v>195</v>
      </c>
      <c r="C10" s="122"/>
      <c r="D10" s="122"/>
      <c r="E10" s="123"/>
      <c r="F10" s="123" t="s">
        <v>63</v>
      </c>
      <c r="G10" s="123"/>
      <c r="H10" s="123">
        <v>2</v>
      </c>
      <c r="I10" s="124">
        <f t="shared" si="0"/>
        <v>0.5</v>
      </c>
      <c r="J10" s="125">
        <f t="shared" si="1"/>
        <v>0.5</v>
      </c>
    </row>
    <row r="11" spans="1:10" ht="29.25" customHeight="1">
      <c r="A11" s="52">
        <v>7</v>
      </c>
      <c r="B11" s="122" t="s">
        <v>196</v>
      </c>
      <c r="C11" s="122"/>
      <c r="D11" s="122"/>
      <c r="E11" s="123"/>
      <c r="F11" s="123" t="s">
        <v>63</v>
      </c>
      <c r="G11" s="123"/>
      <c r="H11" s="123">
        <v>6</v>
      </c>
      <c r="I11" s="124">
        <f t="shared" si="0"/>
        <v>1.5</v>
      </c>
      <c r="J11" s="125">
        <f t="shared" si="1"/>
        <v>1.5</v>
      </c>
    </row>
    <row r="12" spans="1:10" ht="44.25" customHeight="1">
      <c r="A12" s="52">
        <v>8</v>
      </c>
      <c r="B12" s="122" t="s">
        <v>197</v>
      </c>
      <c r="C12" s="122"/>
      <c r="D12" s="122"/>
      <c r="E12" s="123" t="s">
        <v>63</v>
      </c>
      <c r="F12" s="123"/>
      <c r="G12" s="123"/>
      <c r="H12" s="123">
        <v>6</v>
      </c>
      <c r="I12" s="124">
        <f t="shared" si="0"/>
        <v>1.5</v>
      </c>
      <c r="J12" s="125">
        <f t="shared" si="1"/>
        <v>0</v>
      </c>
    </row>
    <row r="13" spans="1:10" ht="31.5" customHeight="1">
      <c r="A13" s="52">
        <v>9</v>
      </c>
      <c r="B13" s="122" t="s">
        <v>198</v>
      </c>
      <c r="C13" s="122"/>
      <c r="D13" s="122"/>
      <c r="E13" s="123" t="s">
        <v>63</v>
      </c>
      <c r="F13" s="123"/>
      <c r="G13" s="123"/>
      <c r="H13" s="123">
        <v>2</v>
      </c>
      <c r="I13" s="124">
        <f t="shared" si="0"/>
        <v>0.5</v>
      </c>
      <c r="J13" s="125">
        <f t="shared" si="1"/>
        <v>0</v>
      </c>
    </row>
    <row r="14" spans="1:10" ht="60" customHeight="1">
      <c r="A14" s="52">
        <v>10</v>
      </c>
      <c r="B14" s="122" t="s">
        <v>199</v>
      </c>
      <c r="C14" s="122"/>
      <c r="D14" s="122"/>
      <c r="E14" s="123" t="s">
        <v>63</v>
      </c>
      <c r="F14" s="123"/>
      <c r="G14" s="123"/>
      <c r="H14" s="123">
        <v>6</v>
      </c>
      <c r="I14" s="124">
        <f t="shared" si="0"/>
        <v>1.5</v>
      </c>
      <c r="J14" s="125">
        <f t="shared" si="1"/>
        <v>0</v>
      </c>
    </row>
    <row r="15" spans="1:10" ht="15" customHeight="1">
      <c r="A15" s="83" t="s">
        <v>71</v>
      </c>
      <c r="B15" s="83"/>
      <c r="C15" s="83"/>
      <c r="D15" s="83"/>
      <c r="E15" s="83"/>
      <c r="F15" s="83"/>
      <c r="G15" s="83"/>
      <c r="H15" s="83"/>
      <c r="I15" s="28">
        <f>SUM(I5:I14)</f>
        <v>10</v>
      </c>
      <c r="J15" s="19">
        <f>SUM(J5:J14)</f>
        <v>2</v>
      </c>
    </row>
  </sheetData>
  <mergeCells count="18">
    <mergeCell ref="A15:H15"/>
    <mergeCell ref="B8:D8"/>
    <mergeCell ref="B9:D9"/>
    <mergeCell ref="B10:D10"/>
    <mergeCell ref="B11:D11"/>
    <mergeCell ref="B12:D12"/>
    <mergeCell ref="B13:D13"/>
    <mergeCell ref="A1:B1"/>
    <mergeCell ref="A2:B2"/>
    <mergeCell ref="C1:J1"/>
    <mergeCell ref="C2:J2"/>
    <mergeCell ref="B14:D14"/>
    <mergeCell ref="B7:D7"/>
    <mergeCell ref="A3:B3"/>
    <mergeCell ref="E3:J3"/>
    <mergeCell ref="B4:D4"/>
    <mergeCell ref="B5:D5"/>
    <mergeCell ref="B6:D6"/>
  </mergeCell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1EDCF-C038-440A-89C2-2F23D4EB3C36}">
  <sheetPr>
    <tabColor rgb="FF99FFCC"/>
  </sheetPr>
  <dimension ref="A1:J20"/>
  <sheetViews>
    <sheetView workbookViewId="0">
      <selection activeCell="B8" sqref="A1:J20"/>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48</v>
      </c>
      <c r="D2" s="74"/>
      <c r="E2" s="74"/>
      <c r="F2" s="74"/>
      <c r="G2" s="74"/>
      <c r="H2" s="74"/>
      <c r="I2" s="74"/>
      <c r="J2" s="75"/>
    </row>
    <row r="3" spans="1:10" ht="30">
      <c r="A3" s="70" t="s">
        <v>81</v>
      </c>
      <c r="B3" s="70"/>
      <c r="C3" s="18" t="s">
        <v>200</v>
      </c>
      <c r="D3" s="55" t="s">
        <v>201</v>
      </c>
      <c r="E3" s="122" t="s">
        <v>202</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7.25" customHeight="1">
      <c r="A5" s="52">
        <v>1</v>
      </c>
      <c r="B5" s="122" t="s">
        <v>203</v>
      </c>
      <c r="C5" s="122"/>
      <c r="D5" s="122"/>
      <c r="E5" s="123"/>
      <c r="F5" s="123" t="s">
        <v>63</v>
      </c>
      <c r="G5" s="123"/>
      <c r="H5" s="123">
        <v>10</v>
      </c>
      <c r="I5" s="124">
        <f>(H5*10)/SUM($H$5:$H$19)</f>
        <v>1.3513513513513513</v>
      </c>
      <c r="J5" s="125">
        <f>IF(F5="X",((H5*10)/SUM($H$5:$H$19)),0)</f>
        <v>1.3513513513513513</v>
      </c>
    </row>
    <row r="6" spans="1:10" ht="47.25" customHeight="1">
      <c r="A6" s="52">
        <v>2</v>
      </c>
      <c r="B6" s="122" t="s">
        <v>204</v>
      </c>
      <c r="C6" s="122"/>
      <c r="D6" s="122"/>
      <c r="E6" s="123"/>
      <c r="F6" s="123" t="s">
        <v>63</v>
      </c>
      <c r="G6" s="123"/>
      <c r="H6" s="123">
        <v>6</v>
      </c>
      <c r="I6" s="124">
        <f t="shared" ref="I6:I19" si="0">(H6*10)/SUM($H$5:$H$19)</f>
        <v>0.81081081081081086</v>
      </c>
      <c r="J6" s="125">
        <f t="shared" ref="J6:J19" si="1">IF(F6="X",((H6*10)/SUM($H$5:$H$19)),0)</f>
        <v>0.81081081081081086</v>
      </c>
    </row>
    <row r="7" spans="1:10" ht="31.5" customHeight="1">
      <c r="A7" s="52">
        <v>3</v>
      </c>
      <c r="B7" s="122" t="s">
        <v>205</v>
      </c>
      <c r="C7" s="122"/>
      <c r="D7" s="122"/>
      <c r="E7" s="123"/>
      <c r="F7" s="123" t="s">
        <v>63</v>
      </c>
      <c r="G7" s="123"/>
      <c r="H7" s="123">
        <v>10</v>
      </c>
      <c r="I7" s="124">
        <f t="shared" si="0"/>
        <v>1.3513513513513513</v>
      </c>
      <c r="J7" s="125">
        <f t="shared" si="1"/>
        <v>1.3513513513513513</v>
      </c>
    </row>
    <row r="8" spans="1:10" ht="47.25" customHeight="1">
      <c r="A8" s="52">
        <v>4</v>
      </c>
      <c r="B8" s="122" t="s">
        <v>206</v>
      </c>
      <c r="C8" s="122"/>
      <c r="D8" s="122"/>
      <c r="E8" s="123"/>
      <c r="F8" s="123" t="s">
        <v>63</v>
      </c>
      <c r="G8" s="123"/>
      <c r="H8" s="123">
        <v>10</v>
      </c>
      <c r="I8" s="124">
        <f t="shared" si="0"/>
        <v>1.3513513513513513</v>
      </c>
      <c r="J8" s="125">
        <f t="shared" si="1"/>
        <v>1.3513513513513513</v>
      </c>
    </row>
    <row r="9" spans="1:10" ht="47.25" customHeight="1">
      <c r="A9" s="52">
        <v>5</v>
      </c>
      <c r="B9" s="122" t="s">
        <v>207</v>
      </c>
      <c r="C9" s="122"/>
      <c r="D9" s="122"/>
      <c r="E9" s="123"/>
      <c r="F9" s="123" t="s">
        <v>63</v>
      </c>
      <c r="G9" s="123"/>
      <c r="H9" s="123">
        <v>6</v>
      </c>
      <c r="I9" s="124">
        <f t="shared" si="0"/>
        <v>0.81081081081081086</v>
      </c>
      <c r="J9" s="125">
        <f t="shared" si="1"/>
        <v>0.81081081081081086</v>
      </c>
    </row>
    <row r="10" spans="1:10" ht="31.5" customHeight="1">
      <c r="A10" s="52">
        <v>6</v>
      </c>
      <c r="B10" s="122" t="s">
        <v>208</v>
      </c>
      <c r="C10" s="122"/>
      <c r="D10" s="122"/>
      <c r="E10" s="123" t="s">
        <v>63</v>
      </c>
      <c r="F10" s="123"/>
      <c r="G10" s="123"/>
      <c r="H10" s="123">
        <v>2</v>
      </c>
      <c r="I10" s="124">
        <f t="shared" si="0"/>
        <v>0.27027027027027029</v>
      </c>
      <c r="J10" s="125">
        <f t="shared" si="1"/>
        <v>0</v>
      </c>
    </row>
    <row r="11" spans="1:10" ht="47.25" customHeight="1">
      <c r="A11" s="52">
        <v>7</v>
      </c>
      <c r="B11" s="122" t="s">
        <v>209</v>
      </c>
      <c r="C11" s="122"/>
      <c r="D11" s="122"/>
      <c r="E11" s="123"/>
      <c r="F11" s="123" t="s">
        <v>63</v>
      </c>
      <c r="G11" s="123"/>
      <c r="H11" s="123">
        <v>6</v>
      </c>
      <c r="I11" s="124">
        <f t="shared" si="0"/>
        <v>0.81081081081081086</v>
      </c>
      <c r="J11" s="125">
        <f t="shared" si="1"/>
        <v>0.81081081081081086</v>
      </c>
    </row>
    <row r="12" spans="1:10" ht="47.25" customHeight="1">
      <c r="A12" s="52">
        <v>8</v>
      </c>
      <c r="B12" s="122" t="s">
        <v>210</v>
      </c>
      <c r="C12" s="122"/>
      <c r="D12" s="122"/>
      <c r="E12" s="123" t="s">
        <v>63</v>
      </c>
      <c r="F12" s="123"/>
      <c r="G12" s="123"/>
      <c r="H12" s="123">
        <v>2</v>
      </c>
      <c r="I12" s="124">
        <f t="shared" si="0"/>
        <v>0.27027027027027029</v>
      </c>
      <c r="J12" s="125">
        <f t="shared" si="1"/>
        <v>0</v>
      </c>
    </row>
    <row r="13" spans="1:10" ht="45" customHeight="1">
      <c r="A13" s="52">
        <v>9</v>
      </c>
      <c r="B13" s="122" t="s">
        <v>211</v>
      </c>
      <c r="C13" s="122"/>
      <c r="D13" s="122"/>
      <c r="E13" s="123"/>
      <c r="F13" s="123" t="s">
        <v>63</v>
      </c>
      <c r="G13" s="123"/>
      <c r="H13" s="123">
        <v>2</v>
      </c>
      <c r="I13" s="124">
        <f t="shared" si="0"/>
        <v>0.27027027027027029</v>
      </c>
      <c r="J13" s="125">
        <f t="shared" si="1"/>
        <v>0.27027027027027029</v>
      </c>
    </row>
    <row r="14" spans="1:10" ht="31.5" customHeight="1">
      <c r="A14" s="52">
        <v>10</v>
      </c>
      <c r="B14" s="122" t="s">
        <v>212</v>
      </c>
      <c r="C14" s="122"/>
      <c r="D14" s="122"/>
      <c r="E14" s="123"/>
      <c r="F14" s="123" t="s">
        <v>63</v>
      </c>
      <c r="G14" s="123"/>
      <c r="H14" s="123">
        <v>2</v>
      </c>
      <c r="I14" s="124">
        <f t="shared" si="0"/>
        <v>0.27027027027027029</v>
      </c>
      <c r="J14" s="125">
        <f t="shared" si="1"/>
        <v>0.27027027027027029</v>
      </c>
    </row>
    <row r="15" spans="1:10" ht="43.5" customHeight="1">
      <c r="A15" s="52">
        <v>11</v>
      </c>
      <c r="B15" s="122" t="s">
        <v>213</v>
      </c>
      <c r="C15" s="122"/>
      <c r="D15" s="122"/>
      <c r="E15" s="123"/>
      <c r="F15" s="123" t="s">
        <v>63</v>
      </c>
      <c r="G15" s="123"/>
      <c r="H15" s="123">
        <v>2</v>
      </c>
      <c r="I15" s="124">
        <f t="shared" si="0"/>
        <v>0.27027027027027029</v>
      </c>
      <c r="J15" s="125">
        <f t="shared" si="1"/>
        <v>0.27027027027027029</v>
      </c>
    </row>
    <row r="16" spans="1:10" ht="31.5" customHeight="1">
      <c r="A16" s="52">
        <v>12</v>
      </c>
      <c r="B16" s="122" t="s">
        <v>214</v>
      </c>
      <c r="C16" s="122"/>
      <c r="D16" s="122"/>
      <c r="E16" s="123"/>
      <c r="F16" s="123" t="s">
        <v>63</v>
      </c>
      <c r="G16" s="123"/>
      <c r="H16" s="123">
        <v>6</v>
      </c>
      <c r="I16" s="124">
        <f t="shared" si="0"/>
        <v>0.81081081081081086</v>
      </c>
      <c r="J16" s="125">
        <f t="shared" si="1"/>
        <v>0.81081081081081086</v>
      </c>
    </row>
    <row r="17" spans="1:10" ht="47.25" customHeight="1">
      <c r="A17" s="52">
        <v>13</v>
      </c>
      <c r="B17" s="122" t="s">
        <v>215</v>
      </c>
      <c r="C17" s="122"/>
      <c r="D17" s="122"/>
      <c r="E17" s="123" t="s">
        <v>63</v>
      </c>
      <c r="F17" s="123"/>
      <c r="G17" s="123"/>
      <c r="H17" s="123">
        <v>6</v>
      </c>
      <c r="I17" s="124">
        <f t="shared" si="0"/>
        <v>0.81081081081081086</v>
      </c>
      <c r="J17" s="125">
        <f t="shared" si="1"/>
        <v>0</v>
      </c>
    </row>
    <row r="18" spans="1:10" ht="31.5" customHeight="1">
      <c r="A18" s="52">
        <v>14</v>
      </c>
      <c r="B18" s="122" t="s">
        <v>216</v>
      </c>
      <c r="C18" s="122"/>
      <c r="D18" s="122"/>
      <c r="E18" s="123" t="s">
        <v>63</v>
      </c>
      <c r="F18" s="123"/>
      <c r="G18" s="123"/>
      <c r="H18" s="123">
        <v>2</v>
      </c>
      <c r="I18" s="124">
        <f t="shared" si="0"/>
        <v>0.27027027027027029</v>
      </c>
      <c r="J18" s="125">
        <f t="shared" si="1"/>
        <v>0</v>
      </c>
    </row>
    <row r="19" spans="1:10" ht="47.25" customHeight="1">
      <c r="A19" s="52">
        <v>15</v>
      </c>
      <c r="B19" s="122" t="s">
        <v>217</v>
      </c>
      <c r="C19" s="122"/>
      <c r="D19" s="122"/>
      <c r="E19" s="123" t="s">
        <v>63</v>
      </c>
      <c r="F19" s="123"/>
      <c r="G19" s="123"/>
      <c r="H19" s="123">
        <v>2</v>
      </c>
      <c r="I19" s="124">
        <f t="shared" si="0"/>
        <v>0.27027027027027029</v>
      </c>
      <c r="J19" s="125">
        <f t="shared" si="1"/>
        <v>0</v>
      </c>
    </row>
    <row r="20" spans="1:10" ht="15" customHeight="1">
      <c r="A20" s="83" t="s">
        <v>71</v>
      </c>
      <c r="B20" s="83"/>
      <c r="C20" s="83"/>
      <c r="D20" s="83"/>
      <c r="E20" s="83"/>
      <c r="F20" s="83"/>
      <c r="G20" s="83"/>
      <c r="H20" s="83"/>
      <c r="I20" s="28">
        <f>SUM(I5:I19)</f>
        <v>9.9999999999999982</v>
      </c>
      <c r="J20" s="19">
        <f>SUM(J5:J19)</f>
        <v>8.108108108108107</v>
      </c>
    </row>
  </sheetData>
  <mergeCells count="23">
    <mergeCell ref="A20:H20"/>
    <mergeCell ref="B10:D10"/>
    <mergeCell ref="B19:D19"/>
    <mergeCell ref="B8:D8"/>
    <mergeCell ref="B9:D9"/>
    <mergeCell ref="B17:D17"/>
    <mergeCell ref="B18:D18"/>
    <mergeCell ref="B15:D15"/>
    <mergeCell ref="B16:D16"/>
    <mergeCell ref="B4:D4"/>
    <mergeCell ref="B5:D5"/>
    <mergeCell ref="B6:D6"/>
    <mergeCell ref="B7:D7"/>
    <mergeCell ref="B14:D14"/>
    <mergeCell ref="B11:D11"/>
    <mergeCell ref="B12:D12"/>
    <mergeCell ref="B13:D13"/>
    <mergeCell ref="A1:B1"/>
    <mergeCell ref="A2:B2"/>
    <mergeCell ref="C1:J1"/>
    <mergeCell ref="C2:J2"/>
    <mergeCell ref="E3:J3"/>
    <mergeCell ref="A3:B3"/>
  </mergeCell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A8D77-D9B8-4FFB-BED6-DA9E87821406}">
  <sheetPr>
    <tabColor rgb="FF99FFCC"/>
  </sheetPr>
  <dimension ref="A1:I15"/>
  <sheetViews>
    <sheetView workbookViewId="0">
      <selection activeCell="B7" sqref="A1:I15"/>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52</v>
      </c>
      <c r="D1" s="120"/>
      <c r="E1" s="120"/>
      <c r="F1" s="120"/>
      <c r="G1" s="120"/>
      <c r="H1" s="120"/>
      <c r="I1" s="121"/>
    </row>
    <row r="2" spans="1:9" ht="15">
      <c r="A2" s="70" t="s">
        <v>0</v>
      </c>
      <c r="B2" s="70"/>
      <c r="C2" s="84" t="s">
        <v>49</v>
      </c>
      <c r="D2" s="120"/>
      <c r="E2" s="120"/>
      <c r="F2" s="120"/>
      <c r="G2" s="120"/>
      <c r="H2" s="120"/>
      <c r="I2" s="121"/>
    </row>
    <row r="3" spans="1:9" ht="15">
      <c r="A3" s="70" t="s">
        <v>218</v>
      </c>
      <c r="B3" s="70"/>
      <c r="C3" s="55" t="s">
        <v>219</v>
      </c>
      <c r="D3" s="122">
        <v>130</v>
      </c>
      <c r="E3" s="122"/>
      <c r="F3" s="122"/>
      <c r="G3" s="122"/>
      <c r="H3" s="122"/>
      <c r="I3" s="122"/>
    </row>
    <row r="4" spans="1:9" ht="60">
      <c r="A4" s="52" t="s">
        <v>55</v>
      </c>
      <c r="B4" s="70" t="s">
        <v>56</v>
      </c>
      <c r="C4" s="70"/>
      <c r="D4" s="52" t="s">
        <v>24</v>
      </c>
      <c r="E4" s="52" t="s">
        <v>57</v>
      </c>
      <c r="F4" s="52" t="s">
        <v>58</v>
      </c>
      <c r="G4" s="52" t="s">
        <v>59</v>
      </c>
      <c r="H4" s="52" t="s">
        <v>60</v>
      </c>
      <c r="I4" s="52" t="s">
        <v>61</v>
      </c>
    </row>
    <row r="5" spans="1:9" ht="42.75" customHeight="1">
      <c r="A5" s="52">
        <v>1</v>
      </c>
      <c r="B5" s="122" t="s">
        <v>220</v>
      </c>
      <c r="C5" s="122"/>
      <c r="D5" s="123"/>
      <c r="E5" s="123" t="s">
        <v>63</v>
      </c>
      <c r="F5" s="123"/>
      <c r="G5" s="123">
        <v>10</v>
      </c>
      <c r="H5" s="124">
        <f>(G5*10)/SUM($G$5:$G$14)</f>
        <v>1.0869565217391304</v>
      </c>
      <c r="I5" s="125">
        <f>IF(E5="X",((G5*10)/SUM($G$5:$G$14)),0)</f>
        <v>1.0869565217391304</v>
      </c>
    </row>
    <row r="6" spans="1:9" ht="45" customHeight="1">
      <c r="A6" s="52">
        <v>2</v>
      </c>
      <c r="B6" s="122" t="s">
        <v>221</v>
      </c>
      <c r="C6" s="122"/>
      <c r="D6" s="123"/>
      <c r="E6" s="123" t="s">
        <v>63</v>
      </c>
      <c r="F6" s="123"/>
      <c r="G6" s="123">
        <v>6</v>
      </c>
      <c r="H6" s="124">
        <f t="shared" ref="H6:H14" si="0">(G6*10)/SUM($G$5:$G$14)</f>
        <v>0.65217391304347827</v>
      </c>
      <c r="I6" s="125">
        <f t="shared" ref="I6:I14" si="1">IF(E6="X",((G6*10)/SUM($G$5:$G$14)),0)</f>
        <v>0.65217391304347827</v>
      </c>
    </row>
    <row r="7" spans="1:9" ht="31.5" customHeight="1">
      <c r="A7" s="52">
        <v>3</v>
      </c>
      <c r="B7" s="122" t="s">
        <v>222</v>
      </c>
      <c r="C7" s="122"/>
      <c r="D7" s="123"/>
      <c r="E7" s="123" t="s">
        <v>63</v>
      </c>
      <c r="F7" s="123"/>
      <c r="G7" s="123">
        <v>6</v>
      </c>
      <c r="H7" s="124">
        <f t="shared" si="0"/>
        <v>0.65217391304347827</v>
      </c>
      <c r="I7" s="125">
        <f t="shared" si="1"/>
        <v>0.65217391304347827</v>
      </c>
    </row>
    <row r="8" spans="1:9" ht="58.5" customHeight="1">
      <c r="A8" s="52">
        <v>4</v>
      </c>
      <c r="B8" s="122" t="s">
        <v>223</v>
      </c>
      <c r="C8" s="122"/>
      <c r="D8" s="123"/>
      <c r="E8" s="123" t="s">
        <v>63</v>
      </c>
      <c r="F8" s="123"/>
      <c r="G8" s="123">
        <v>10</v>
      </c>
      <c r="H8" s="124">
        <f t="shared" si="0"/>
        <v>1.0869565217391304</v>
      </c>
      <c r="I8" s="125">
        <f t="shared" si="1"/>
        <v>1.0869565217391304</v>
      </c>
    </row>
    <row r="9" spans="1:9" ht="47.25" customHeight="1">
      <c r="A9" s="52">
        <v>5</v>
      </c>
      <c r="B9" s="122" t="s">
        <v>224</v>
      </c>
      <c r="C9" s="122"/>
      <c r="D9" s="123"/>
      <c r="E9" s="123" t="s">
        <v>63</v>
      </c>
      <c r="F9" s="123"/>
      <c r="G9" s="123">
        <v>10</v>
      </c>
      <c r="H9" s="124">
        <f t="shared" si="0"/>
        <v>1.0869565217391304</v>
      </c>
      <c r="I9" s="125">
        <f t="shared" si="1"/>
        <v>1.0869565217391304</v>
      </c>
    </row>
    <row r="10" spans="1:9" ht="63" customHeight="1">
      <c r="A10" s="52">
        <v>6</v>
      </c>
      <c r="B10" s="122" t="s">
        <v>225</v>
      </c>
      <c r="C10" s="122"/>
      <c r="D10" s="123"/>
      <c r="E10" s="123" t="s">
        <v>63</v>
      </c>
      <c r="F10" s="123"/>
      <c r="G10" s="123">
        <v>10</v>
      </c>
      <c r="H10" s="124">
        <f t="shared" si="0"/>
        <v>1.0869565217391304</v>
      </c>
      <c r="I10" s="125">
        <f t="shared" si="1"/>
        <v>1.0869565217391304</v>
      </c>
    </row>
    <row r="11" spans="1:9" ht="47.25" customHeight="1">
      <c r="A11" s="52">
        <v>7</v>
      </c>
      <c r="B11" s="122" t="s">
        <v>226</v>
      </c>
      <c r="C11" s="122"/>
      <c r="D11" s="123"/>
      <c r="E11" s="123" t="s">
        <v>63</v>
      </c>
      <c r="F11" s="123"/>
      <c r="G11" s="123">
        <v>10</v>
      </c>
      <c r="H11" s="124">
        <f t="shared" si="0"/>
        <v>1.0869565217391304</v>
      </c>
      <c r="I11" s="125">
        <f t="shared" si="1"/>
        <v>1.0869565217391304</v>
      </c>
    </row>
    <row r="12" spans="1:9" ht="47.25" customHeight="1">
      <c r="A12" s="52">
        <v>8</v>
      </c>
      <c r="B12" s="122" t="s">
        <v>227</v>
      </c>
      <c r="C12" s="122"/>
      <c r="D12" s="123"/>
      <c r="E12" s="123" t="s">
        <v>63</v>
      </c>
      <c r="F12" s="123"/>
      <c r="G12" s="123">
        <v>10</v>
      </c>
      <c r="H12" s="124">
        <f t="shared" si="0"/>
        <v>1.0869565217391304</v>
      </c>
      <c r="I12" s="125">
        <f t="shared" si="1"/>
        <v>1.0869565217391304</v>
      </c>
    </row>
    <row r="13" spans="1:9" ht="47.25" customHeight="1">
      <c r="A13" s="52">
        <v>9</v>
      </c>
      <c r="B13" s="122" t="s">
        <v>228</v>
      </c>
      <c r="C13" s="122"/>
      <c r="D13" s="123"/>
      <c r="E13" s="123" t="s">
        <v>63</v>
      </c>
      <c r="F13" s="123"/>
      <c r="G13" s="123">
        <v>10</v>
      </c>
      <c r="H13" s="124">
        <f t="shared" si="0"/>
        <v>1.0869565217391304</v>
      </c>
      <c r="I13" s="125">
        <f t="shared" si="1"/>
        <v>1.0869565217391304</v>
      </c>
    </row>
    <row r="14" spans="1:9" ht="63" customHeight="1">
      <c r="A14" s="52">
        <v>10</v>
      </c>
      <c r="B14" s="122" t="s">
        <v>229</v>
      </c>
      <c r="C14" s="122"/>
      <c r="D14" s="123"/>
      <c r="E14" s="123" t="s">
        <v>63</v>
      </c>
      <c r="F14" s="123"/>
      <c r="G14" s="123">
        <v>10</v>
      </c>
      <c r="H14" s="124">
        <f t="shared" si="0"/>
        <v>1.0869565217391304</v>
      </c>
      <c r="I14" s="125">
        <f t="shared" si="1"/>
        <v>1.0869565217391304</v>
      </c>
    </row>
    <row r="15" spans="1:9" ht="15.75" customHeight="1">
      <c r="A15" s="83" t="s">
        <v>71</v>
      </c>
      <c r="B15" s="83"/>
      <c r="C15" s="83"/>
      <c r="D15" s="83"/>
      <c r="E15" s="83"/>
      <c r="F15" s="83"/>
      <c r="G15" s="83"/>
      <c r="H15" s="28">
        <f>SUM(H5:H14)</f>
        <v>10.000000000000002</v>
      </c>
      <c r="I15" s="20">
        <f>SUM(I5:I14)</f>
        <v>10.000000000000002</v>
      </c>
    </row>
  </sheetData>
  <mergeCells count="18">
    <mergeCell ref="B11:C11"/>
    <mergeCell ref="B12:C12"/>
    <mergeCell ref="B13:C13"/>
    <mergeCell ref="B14:C14"/>
    <mergeCell ref="A15:G15"/>
    <mergeCell ref="B10:C10"/>
    <mergeCell ref="A3:B3"/>
    <mergeCell ref="B4:C4"/>
    <mergeCell ref="B5:C5"/>
    <mergeCell ref="B6:C6"/>
    <mergeCell ref="B7:C7"/>
    <mergeCell ref="B8:C8"/>
    <mergeCell ref="B9:C9"/>
    <mergeCell ref="A1:B1"/>
    <mergeCell ref="A2:B2"/>
    <mergeCell ref="C1:I1"/>
    <mergeCell ref="C2:I2"/>
    <mergeCell ref="D3:I3"/>
  </mergeCell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52BAA-D419-4CE8-8341-C1FFEE19D7EE}">
  <sheetPr>
    <tabColor rgb="FF002060"/>
  </sheetPr>
  <dimension ref="A1:I13"/>
  <sheetViews>
    <sheetView workbookViewId="0">
      <selection activeCell="B6" sqref="A1:I13"/>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52</v>
      </c>
      <c r="D1" s="120"/>
      <c r="E1" s="120"/>
      <c r="F1" s="120"/>
      <c r="G1" s="120"/>
      <c r="H1" s="120"/>
      <c r="I1" s="121"/>
    </row>
    <row r="2" spans="1:9" ht="15">
      <c r="A2" s="70" t="s">
        <v>0</v>
      </c>
      <c r="B2" s="70"/>
      <c r="C2" s="84" t="s">
        <v>50</v>
      </c>
      <c r="D2" s="120"/>
      <c r="E2" s="120"/>
      <c r="F2" s="120"/>
      <c r="G2" s="120"/>
      <c r="H2" s="120"/>
      <c r="I2" s="121"/>
    </row>
    <row r="3" spans="1:9" ht="15">
      <c r="A3" s="70" t="s">
        <v>53</v>
      </c>
      <c r="B3" s="70"/>
      <c r="C3" s="55" t="s">
        <v>54</v>
      </c>
      <c r="D3" s="122">
        <v>330</v>
      </c>
      <c r="E3" s="122"/>
      <c r="F3" s="122"/>
      <c r="G3" s="122"/>
      <c r="H3" s="122"/>
      <c r="I3" s="122"/>
    </row>
    <row r="4" spans="1:9" ht="60">
      <c r="A4" s="52" t="s">
        <v>55</v>
      </c>
      <c r="B4" s="70" t="s">
        <v>56</v>
      </c>
      <c r="C4" s="70"/>
      <c r="D4" s="52" t="s">
        <v>24</v>
      </c>
      <c r="E4" s="52" t="s">
        <v>57</v>
      </c>
      <c r="F4" s="52" t="s">
        <v>58</v>
      </c>
      <c r="G4" s="52" t="s">
        <v>59</v>
      </c>
      <c r="H4" s="52" t="s">
        <v>60</v>
      </c>
      <c r="I4" s="52" t="s">
        <v>61</v>
      </c>
    </row>
    <row r="5" spans="1:9" ht="47.25" customHeight="1">
      <c r="A5" s="52">
        <v>1</v>
      </c>
      <c r="B5" s="122" t="s">
        <v>62</v>
      </c>
      <c r="C5" s="122"/>
      <c r="D5" s="123"/>
      <c r="E5" s="123" t="s">
        <v>63</v>
      </c>
      <c r="F5" s="123"/>
      <c r="G5" s="123">
        <v>10</v>
      </c>
      <c r="H5" s="124">
        <f>(G5*10)/SUM($G$5:$G$12)</f>
        <v>1.5625</v>
      </c>
      <c r="I5" s="125">
        <f t="shared" ref="I5:I12" si="0">IF(E5="X",((G5*10)/SUM($G$5:$G$12)),0)</f>
        <v>1.5625</v>
      </c>
    </row>
    <row r="6" spans="1:9" ht="63" customHeight="1">
      <c r="A6" s="52">
        <v>2</v>
      </c>
      <c r="B6" s="122" t="s">
        <v>64</v>
      </c>
      <c r="C6" s="122"/>
      <c r="D6" s="123"/>
      <c r="E6" s="123" t="s">
        <v>63</v>
      </c>
      <c r="F6" s="123"/>
      <c r="G6" s="123">
        <v>6</v>
      </c>
      <c r="H6" s="124">
        <f t="shared" ref="H6:H12" si="1">(G6*10)/SUM($G$5:$G$12)</f>
        <v>0.9375</v>
      </c>
      <c r="I6" s="125">
        <f t="shared" si="0"/>
        <v>0.9375</v>
      </c>
    </row>
    <row r="7" spans="1:9" ht="47.25" customHeight="1">
      <c r="A7" s="52">
        <v>3</v>
      </c>
      <c r="B7" s="122" t="s">
        <v>65</v>
      </c>
      <c r="C7" s="122"/>
      <c r="D7" s="123"/>
      <c r="E7" s="123" t="s">
        <v>63</v>
      </c>
      <c r="F7" s="123"/>
      <c r="G7" s="123">
        <v>10</v>
      </c>
      <c r="H7" s="124">
        <f t="shared" si="1"/>
        <v>1.5625</v>
      </c>
      <c r="I7" s="125">
        <f t="shared" si="0"/>
        <v>1.5625</v>
      </c>
    </row>
    <row r="8" spans="1:9" ht="47.25" customHeight="1">
      <c r="A8" s="52">
        <v>4</v>
      </c>
      <c r="B8" s="122" t="s">
        <v>66</v>
      </c>
      <c r="C8" s="122"/>
      <c r="D8" s="123"/>
      <c r="E8" s="123" t="s">
        <v>63</v>
      </c>
      <c r="F8" s="123"/>
      <c r="G8" s="123">
        <v>2</v>
      </c>
      <c r="H8" s="124">
        <f t="shared" si="1"/>
        <v>0.3125</v>
      </c>
      <c r="I8" s="125">
        <f t="shared" si="0"/>
        <v>0.3125</v>
      </c>
    </row>
    <row r="9" spans="1:9" ht="78.75" customHeight="1">
      <c r="A9" s="52">
        <v>5</v>
      </c>
      <c r="B9" s="122" t="s">
        <v>67</v>
      </c>
      <c r="C9" s="122"/>
      <c r="D9" s="123"/>
      <c r="E9" s="123" t="s">
        <v>63</v>
      </c>
      <c r="F9" s="123"/>
      <c r="G9" s="123">
        <v>10</v>
      </c>
      <c r="H9" s="124">
        <f t="shared" si="1"/>
        <v>1.5625</v>
      </c>
      <c r="I9" s="125">
        <f t="shared" si="0"/>
        <v>1.5625</v>
      </c>
    </row>
    <row r="10" spans="1:9" ht="47.25" customHeight="1">
      <c r="A10" s="52">
        <v>6</v>
      </c>
      <c r="B10" s="122" t="s">
        <v>68</v>
      </c>
      <c r="C10" s="122"/>
      <c r="D10" s="123"/>
      <c r="E10" s="123" t="s">
        <v>63</v>
      </c>
      <c r="F10" s="123"/>
      <c r="G10" s="123">
        <v>6</v>
      </c>
      <c r="H10" s="124">
        <f t="shared" si="1"/>
        <v>0.9375</v>
      </c>
      <c r="I10" s="125">
        <f t="shared" si="0"/>
        <v>0.9375</v>
      </c>
    </row>
    <row r="11" spans="1:9" ht="50.25" customHeight="1">
      <c r="A11" s="52">
        <v>7</v>
      </c>
      <c r="B11" s="122" t="s">
        <v>69</v>
      </c>
      <c r="C11" s="122"/>
      <c r="D11" s="123"/>
      <c r="E11" s="123" t="s">
        <v>63</v>
      </c>
      <c r="F11" s="123"/>
      <c r="G11" s="123">
        <v>10</v>
      </c>
      <c r="H11" s="124">
        <f t="shared" si="1"/>
        <v>1.5625</v>
      </c>
      <c r="I11" s="125">
        <f t="shared" si="0"/>
        <v>1.5625</v>
      </c>
    </row>
    <row r="12" spans="1:9" ht="61.5" customHeight="1">
      <c r="A12" s="52">
        <v>8</v>
      </c>
      <c r="B12" s="122" t="s">
        <v>70</v>
      </c>
      <c r="C12" s="122"/>
      <c r="D12" s="123"/>
      <c r="E12" s="123" t="s">
        <v>63</v>
      </c>
      <c r="F12" s="123"/>
      <c r="G12" s="123">
        <v>10</v>
      </c>
      <c r="H12" s="124">
        <f t="shared" si="1"/>
        <v>1.5625</v>
      </c>
      <c r="I12" s="125">
        <f t="shared" si="0"/>
        <v>1.5625</v>
      </c>
    </row>
    <row r="13" spans="1:9" ht="15.75" customHeight="1">
      <c r="A13" s="71" t="s">
        <v>71</v>
      </c>
      <c r="B13" s="72"/>
      <c r="C13" s="72"/>
      <c r="D13" s="72"/>
      <c r="E13" s="72"/>
      <c r="F13" s="72"/>
      <c r="G13" s="72"/>
      <c r="H13" s="29">
        <f>SUM(H5:H12)</f>
        <v>10</v>
      </c>
      <c r="I13" s="20">
        <f>SUM(I5:I12)</f>
        <v>10</v>
      </c>
    </row>
  </sheetData>
  <mergeCells count="16">
    <mergeCell ref="A13:G13"/>
    <mergeCell ref="A3:B3"/>
    <mergeCell ref="B4:C4"/>
    <mergeCell ref="B11:C11"/>
    <mergeCell ref="B12:C12"/>
    <mergeCell ref="D3:I3"/>
    <mergeCell ref="B5:C5"/>
    <mergeCell ref="B6:C6"/>
    <mergeCell ref="B7:C7"/>
    <mergeCell ref="B8:C8"/>
    <mergeCell ref="B9:C9"/>
    <mergeCell ref="A1:B1"/>
    <mergeCell ref="A2:B2"/>
    <mergeCell ref="C1:I1"/>
    <mergeCell ref="C2:I2"/>
    <mergeCell ref="B10:C10"/>
  </mergeCell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1384B-CFB1-41F1-AFD2-EAAE99CE0863}">
  <sheetPr>
    <tabColor rgb="FF002060"/>
  </sheetPr>
  <dimension ref="A1:I13"/>
  <sheetViews>
    <sheetView workbookViewId="0">
      <selection activeCell="B6" sqref="A1:I13"/>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52</v>
      </c>
      <c r="D1" s="120"/>
      <c r="E1" s="120"/>
      <c r="F1" s="120"/>
      <c r="G1" s="120"/>
      <c r="H1" s="120"/>
      <c r="I1" s="121"/>
    </row>
    <row r="2" spans="1:9" ht="15">
      <c r="A2" s="70" t="s">
        <v>0</v>
      </c>
      <c r="B2" s="70"/>
      <c r="C2" s="84" t="s">
        <v>50</v>
      </c>
      <c r="D2" s="120"/>
      <c r="E2" s="120"/>
      <c r="F2" s="120"/>
      <c r="G2" s="120"/>
      <c r="H2" s="120"/>
      <c r="I2" s="121"/>
    </row>
    <row r="3" spans="1:9" ht="15">
      <c r="A3" s="70" t="s">
        <v>53</v>
      </c>
      <c r="B3" s="70"/>
      <c r="C3" s="55" t="s">
        <v>230</v>
      </c>
      <c r="D3" s="122">
        <v>340</v>
      </c>
      <c r="E3" s="122"/>
      <c r="F3" s="122"/>
      <c r="G3" s="122"/>
      <c r="H3" s="122"/>
      <c r="I3" s="122"/>
    </row>
    <row r="4" spans="1:9" ht="60">
      <c r="A4" s="52" t="s">
        <v>55</v>
      </c>
      <c r="B4" s="70" t="s">
        <v>56</v>
      </c>
      <c r="C4" s="70"/>
      <c r="D4" s="52" t="s">
        <v>24</v>
      </c>
      <c r="E4" s="52" t="s">
        <v>57</v>
      </c>
      <c r="F4" s="52" t="s">
        <v>58</v>
      </c>
      <c r="G4" s="52" t="s">
        <v>59</v>
      </c>
      <c r="H4" s="52" t="s">
        <v>60</v>
      </c>
      <c r="I4" s="52" t="s">
        <v>61</v>
      </c>
    </row>
    <row r="5" spans="1:9" ht="57.75" customHeight="1">
      <c r="A5" s="52">
        <v>1</v>
      </c>
      <c r="B5" s="122" t="s">
        <v>231</v>
      </c>
      <c r="C5" s="122"/>
      <c r="D5" s="123"/>
      <c r="E5" s="123" t="s">
        <v>63</v>
      </c>
      <c r="F5" s="123"/>
      <c r="G5" s="123">
        <v>6</v>
      </c>
      <c r="H5" s="124">
        <f>(G5*10)/SUM($G$5:$G$12)</f>
        <v>1</v>
      </c>
      <c r="I5" s="125">
        <f>IF(E5="X",((G5*10)/SUM($G$5:$G$12)),0)</f>
        <v>1</v>
      </c>
    </row>
    <row r="6" spans="1:9" ht="47.25" customHeight="1">
      <c r="A6" s="52">
        <v>2</v>
      </c>
      <c r="B6" s="122" t="s">
        <v>232</v>
      </c>
      <c r="C6" s="122"/>
      <c r="D6" s="123"/>
      <c r="E6" s="123" t="s">
        <v>63</v>
      </c>
      <c r="F6" s="123"/>
      <c r="G6" s="123">
        <v>6</v>
      </c>
      <c r="H6" s="124">
        <f t="shared" ref="H6:H12" si="0">(G6*10)/SUM($G$5:$G$12)</f>
        <v>1</v>
      </c>
      <c r="I6" s="125">
        <f t="shared" ref="I6:I12" si="1">IF(E6="X",((G6*10)/SUM($G$5:$G$12)),0)</f>
        <v>1</v>
      </c>
    </row>
    <row r="7" spans="1:9" ht="41.25" customHeight="1">
      <c r="A7" s="52">
        <v>3</v>
      </c>
      <c r="B7" s="122" t="s">
        <v>233</v>
      </c>
      <c r="C7" s="122"/>
      <c r="D7" s="123"/>
      <c r="E7" s="123" t="s">
        <v>63</v>
      </c>
      <c r="F7" s="123"/>
      <c r="G7" s="123">
        <v>2</v>
      </c>
      <c r="H7" s="124">
        <f t="shared" si="0"/>
        <v>0.33333333333333331</v>
      </c>
      <c r="I7" s="125">
        <f t="shared" si="1"/>
        <v>0.33333333333333331</v>
      </c>
    </row>
    <row r="8" spans="1:9" ht="74.25" customHeight="1">
      <c r="A8" s="52">
        <v>4</v>
      </c>
      <c r="B8" s="122" t="s">
        <v>234</v>
      </c>
      <c r="C8" s="122"/>
      <c r="D8" s="123"/>
      <c r="E8" s="123" t="s">
        <v>63</v>
      </c>
      <c r="F8" s="123"/>
      <c r="G8" s="123">
        <v>6</v>
      </c>
      <c r="H8" s="124">
        <f t="shared" si="0"/>
        <v>1</v>
      </c>
      <c r="I8" s="125">
        <f t="shared" si="1"/>
        <v>1</v>
      </c>
    </row>
    <row r="9" spans="1:9" ht="45" customHeight="1">
      <c r="A9" s="52">
        <v>5</v>
      </c>
      <c r="B9" s="122" t="s">
        <v>235</v>
      </c>
      <c r="C9" s="122"/>
      <c r="D9" s="123"/>
      <c r="E9" s="123" t="s">
        <v>63</v>
      </c>
      <c r="F9" s="123"/>
      <c r="G9" s="123">
        <v>10</v>
      </c>
      <c r="H9" s="124">
        <f t="shared" si="0"/>
        <v>1.6666666666666667</v>
      </c>
      <c r="I9" s="125">
        <f t="shared" si="1"/>
        <v>1.6666666666666667</v>
      </c>
    </row>
    <row r="10" spans="1:9" ht="47.25" customHeight="1">
      <c r="A10" s="52">
        <v>6</v>
      </c>
      <c r="B10" s="122" t="s">
        <v>236</v>
      </c>
      <c r="C10" s="122"/>
      <c r="D10" s="123"/>
      <c r="E10" s="123" t="s">
        <v>63</v>
      </c>
      <c r="F10" s="123"/>
      <c r="G10" s="123">
        <v>10</v>
      </c>
      <c r="H10" s="124">
        <f t="shared" si="0"/>
        <v>1.6666666666666667</v>
      </c>
      <c r="I10" s="125">
        <f t="shared" si="1"/>
        <v>1.6666666666666667</v>
      </c>
    </row>
    <row r="11" spans="1:9" ht="60" customHeight="1">
      <c r="A11" s="52">
        <v>7</v>
      </c>
      <c r="B11" s="122" t="s">
        <v>237</v>
      </c>
      <c r="C11" s="122"/>
      <c r="D11" s="123"/>
      <c r="E11" s="123" t="s">
        <v>63</v>
      </c>
      <c r="F11" s="123"/>
      <c r="G11" s="123">
        <v>10</v>
      </c>
      <c r="H11" s="124">
        <f t="shared" si="0"/>
        <v>1.6666666666666667</v>
      </c>
      <c r="I11" s="125">
        <f t="shared" si="1"/>
        <v>1.6666666666666667</v>
      </c>
    </row>
    <row r="12" spans="1:9" ht="63" customHeight="1">
      <c r="A12" s="52">
        <v>8</v>
      </c>
      <c r="B12" s="122" t="s">
        <v>238</v>
      </c>
      <c r="C12" s="122"/>
      <c r="D12" s="123"/>
      <c r="E12" s="123" t="s">
        <v>63</v>
      </c>
      <c r="F12" s="123"/>
      <c r="G12" s="123">
        <v>10</v>
      </c>
      <c r="H12" s="124">
        <f t="shared" si="0"/>
        <v>1.6666666666666667</v>
      </c>
      <c r="I12" s="125">
        <f t="shared" si="1"/>
        <v>1.6666666666666667</v>
      </c>
    </row>
    <row r="13" spans="1:9" ht="15.75" customHeight="1">
      <c r="A13" s="83" t="s">
        <v>71</v>
      </c>
      <c r="B13" s="83"/>
      <c r="C13" s="83"/>
      <c r="D13" s="83"/>
      <c r="E13" s="83"/>
      <c r="F13" s="83"/>
      <c r="G13" s="83"/>
      <c r="H13" s="28">
        <f>SUM(H5:H12)</f>
        <v>10</v>
      </c>
      <c r="I13" s="20">
        <f>SUM(I5:I12)</f>
        <v>10</v>
      </c>
    </row>
  </sheetData>
  <mergeCells count="16">
    <mergeCell ref="A13:G13"/>
    <mergeCell ref="A3:B3"/>
    <mergeCell ref="B4:C4"/>
    <mergeCell ref="B11:C11"/>
    <mergeCell ref="B12:C12"/>
    <mergeCell ref="D3:I3"/>
    <mergeCell ref="B5:C5"/>
    <mergeCell ref="B6:C6"/>
    <mergeCell ref="B7:C7"/>
    <mergeCell ref="B8:C8"/>
    <mergeCell ref="B9:C9"/>
    <mergeCell ref="A1:B1"/>
    <mergeCell ref="A2:B2"/>
    <mergeCell ref="C1:I1"/>
    <mergeCell ref="C2:I2"/>
    <mergeCell ref="B10:C10"/>
  </mergeCell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40800-1BB3-49D1-8862-5DE85293299F}">
  <sheetPr>
    <tabColor rgb="FF002060"/>
  </sheetPr>
  <dimension ref="A1:I12"/>
  <sheetViews>
    <sheetView workbookViewId="0">
      <selection activeCell="B5" sqref="A1:I12"/>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52</v>
      </c>
      <c r="D1" s="120"/>
      <c r="E1" s="120"/>
      <c r="F1" s="120"/>
      <c r="G1" s="120"/>
      <c r="H1" s="120"/>
      <c r="I1" s="121"/>
    </row>
    <row r="2" spans="1:9" ht="15">
      <c r="A2" s="70" t="s">
        <v>0</v>
      </c>
      <c r="B2" s="70"/>
      <c r="C2" s="84" t="s">
        <v>50</v>
      </c>
      <c r="D2" s="120"/>
      <c r="E2" s="120"/>
      <c r="F2" s="120"/>
      <c r="G2" s="120"/>
      <c r="H2" s="120"/>
      <c r="I2" s="121"/>
    </row>
    <row r="3" spans="1:9" ht="15">
      <c r="A3" s="70" t="s">
        <v>72</v>
      </c>
      <c r="B3" s="70"/>
      <c r="C3" s="55" t="s">
        <v>73</v>
      </c>
      <c r="D3" s="122">
        <v>380</v>
      </c>
      <c r="E3" s="122"/>
      <c r="F3" s="122"/>
      <c r="G3" s="122"/>
      <c r="H3" s="122"/>
      <c r="I3" s="122"/>
    </row>
    <row r="4" spans="1:9" ht="60">
      <c r="A4" s="52" t="s">
        <v>55</v>
      </c>
      <c r="B4" s="70" t="s">
        <v>56</v>
      </c>
      <c r="C4" s="70"/>
      <c r="D4" s="52" t="s">
        <v>24</v>
      </c>
      <c r="E4" s="52" t="s">
        <v>57</v>
      </c>
      <c r="F4" s="52" t="s">
        <v>58</v>
      </c>
      <c r="G4" s="52" t="s">
        <v>59</v>
      </c>
      <c r="H4" s="52" t="s">
        <v>60</v>
      </c>
      <c r="I4" s="52" t="s">
        <v>61</v>
      </c>
    </row>
    <row r="5" spans="1:9" ht="58.5" customHeight="1">
      <c r="A5" s="52">
        <v>1</v>
      </c>
      <c r="B5" s="122" t="s">
        <v>317</v>
      </c>
      <c r="C5" s="122"/>
      <c r="D5" s="123" t="s">
        <v>63</v>
      </c>
      <c r="E5" s="123"/>
      <c r="F5" s="123"/>
      <c r="G5" s="123">
        <v>2</v>
      </c>
      <c r="H5" s="124">
        <f>(G5*10)/SUM($G$5:$G$11)</f>
        <v>0.52631578947368418</v>
      </c>
      <c r="I5" s="125">
        <f>IF(E5="X",((G5*10)/SUM($G$5:$G$11)),0)</f>
        <v>0</v>
      </c>
    </row>
    <row r="6" spans="1:9" ht="72" customHeight="1">
      <c r="A6" s="52">
        <v>2</v>
      </c>
      <c r="B6" s="122" t="s">
        <v>75</v>
      </c>
      <c r="C6" s="122"/>
      <c r="D6" s="123"/>
      <c r="E6" s="123" t="s">
        <v>63</v>
      </c>
      <c r="F6" s="123"/>
      <c r="G6" s="123">
        <v>6</v>
      </c>
      <c r="H6" s="124">
        <f t="shared" ref="H6:H11" si="0">(G6*10)/SUM($G$5:$G$11)</f>
        <v>1.5789473684210527</v>
      </c>
      <c r="I6" s="125">
        <f t="shared" ref="I6:I11" si="1">IF(E6="X",((G6*10)/SUM($G$5:$G$11)),0)</f>
        <v>1.5789473684210527</v>
      </c>
    </row>
    <row r="7" spans="1:9" ht="29.25" customHeight="1">
      <c r="A7" s="52">
        <v>3</v>
      </c>
      <c r="B7" s="122" t="s">
        <v>76</v>
      </c>
      <c r="C7" s="122"/>
      <c r="D7" s="123"/>
      <c r="E7" s="123" t="s">
        <v>63</v>
      </c>
      <c r="F7" s="123"/>
      <c r="G7" s="123">
        <v>10</v>
      </c>
      <c r="H7" s="124">
        <f t="shared" si="0"/>
        <v>2.6315789473684212</v>
      </c>
      <c r="I7" s="125">
        <f t="shared" si="1"/>
        <v>2.6315789473684212</v>
      </c>
    </row>
    <row r="8" spans="1:9" ht="45" customHeight="1">
      <c r="A8" s="52">
        <v>4</v>
      </c>
      <c r="B8" s="122" t="s">
        <v>77</v>
      </c>
      <c r="C8" s="122"/>
      <c r="D8" s="123"/>
      <c r="E8" s="123" t="s">
        <v>63</v>
      </c>
      <c r="F8" s="123"/>
      <c r="G8" s="123">
        <v>10</v>
      </c>
      <c r="H8" s="124">
        <f t="shared" si="0"/>
        <v>2.6315789473684212</v>
      </c>
      <c r="I8" s="125">
        <f t="shared" si="1"/>
        <v>2.6315789473684212</v>
      </c>
    </row>
    <row r="9" spans="1:9" ht="45" customHeight="1">
      <c r="A9" s="52">
        <v>5</v>
      </c>
      <c r="B9" s="122" t="s">
        <v>78</v>
      </c>
      <c r="C9" s="122"/>
      <c r="D9" s="123"/>
      <c r="E9" s="123" t="s">
        <v>63</v>
      </c>
      <c r="F9" s="123"/>
      <c r="G9" s="123">
        <v>6</v>
      </c>
      <c r="H9" s="124">
        <f t="shared" si="0"/>
        <v>1.5789473684210527</v>
      </c>
      <c r="I9" s="125">
        <f t="shared" si="1"/>
        <v>1.5789473684210527</v>
      </c>
    </row>
    <row r="10" spans="1:9" ht="34.5" customHeight="1">
      <c r="A10" s="52">
        <v>6</v>
      </c>
      <c r="B10" s="122" t="s">
        <v>79</v>
      </c>
      <c r="C10" s="122"/>
      <c r="D10" s="123"/>
      <c r="E10" s="123" t="s">
        <v>63</v>
      </c>
      <c r="F10" s="123"/>
      <c r="G10" s="123">
        <v>2</v>
      </c>
      <c r="H10" s="124">
        <f t="shared" si="0"/>
        <v>0.52631578947368418</v>
      </c>
      <c r="I10" s="125">
        <f t="shared" si="1"/>
        <v>0.52631578947368418</v>
      </c>
    </row>
    <row r="11" spans="1:9" ht="45" customHeight="1">
      <c r="A11" s="52">
        <v>7</v>
      </c>
      <c r="B11" s="122" t="s">
        <v>80</v>
      </c>
      <c r="C11" s="122"/>
      <c r="D11" s="123"/>
      <c r="E11" s="123" t="s">
        <v>63</v>
      </c>
      <c r="F11" s="123"/>
      <c r="G11" s="123">
        <v>2</v>
      </c>
      <c r="H11" s="124">
        <f t="shared" si="0"/>
        <v>0.52631578947368418</v>
      </c>
      <c r="I11" s="125">
        <f t="shared" si="1"/>
        <v>0.52631578947368418</v>
      </c>
    </row>
    <row r="12" spans="1:9" ht="15.75" customHeight="1">
      <c r="A12" s="71" t="s">
        <v>71</v>
      </c>
      <c r="B12" s="72"/>
      <c r="C12" s="72"/>
      <c r="D12" s="72"/>
      <c r="E12" s="72"/>
      <c r="F12" s="72"/>
      <c r="G12" s="72"/>
      <c r="H12" s="29">
        <f>SUM(H5:H11)</f>
        <v>10.000000000000002</v>
      </c>
      <c r="I12" s="20">
        <f>SUM(I5:I11)</f>
        <v>9.4736842105263186</v>
      </c>
    </row>
  </sheetData>
  <mergeCells count="15">
    <mergeCell ref="A1:B1"/>
    <mergeCell ref="A2:B2"/>
    <mergeCell ref="C1:I1"/>
    <mergeCell ref="C2:I2"/>
    <mergeCell ref="A12:G12"/>
    <mergeCell ref="A3:B3"/>
    <mergeCell ref="B4:C4"/>
    <mergeCell ref="B5:C5"/>
    <mergeCell ref="B6:C6"/>
    <mergeCell ref="D3:I3"/>
    <mergeCell ref="B7:C7"/>
    <mergeCell ref="B8:C8"/>
    <mergeCell ref="B9:C9"/>
    <mergeCell ref="B10:C10"/>
    <mergeCell ref="B11:C11"/>
  </mergeCell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DFABC-3257-4C04-94BB-DF794AD25476}">
  <sheetPr>
    <tabColor rgb="FF002060"/>
  </sheetPr>
  <dimension ref="A1:I16"/>
  <sheetViews>
    <sheetView workbookViewId="0">
      <selection activeCell="B6" sqref="A1:I16"/>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52</v>
      </c>
      <c r="D1" s="120"/>
      <c r="E1" s="120"/>
      <c r="F1" s="120"/>
      <c r="G1" s="120"/>
      <c r="H1" s="120"/>
      <c r="I1" s="121"/>
    </row>
    <row r="2" spans="1:9" ht="15">
      <c r="A2" s="70" t="s">
        <v>0</v>
      </c>
      <c r="B2" s="70"/>
      <c r="C2" s="84" t="s">
        <v>50</v>
      </c>
      <c r="D2" s="120"/>
      <c r="E2" s="120"/>
      <c r="F2" s="120"/>
      <c r="G2" s="120"/>
      <c r="H2" s="120"/>
      <c r="I2" s="121"/>
    </row>
    <row r="3" spans="1:9" ht="45">
      <c r="A3" s="70" t="s">
        <v>270</v>
      </c>
      <c r="B3" s="70"/>
      <c r="C3" s="55" t="s">
        <v>271</v>
      </c>
      <c r="D3" s="122">
        <v>170</v>
      </c>
      <c r="E3" s="122"/>
      <c r="F3" s="122"/>
      <c r="G3" s="122"/>
      <c r="H3" s="122"/>
      <c r="I3" s="122"/>
    </row>
    <row r="4" spans="1:9" ht="60">
      <c r="A4" s="52" t="s">
        <v>55</v>
      </c>
      <c r="B4" s="70" t="s">
        <v>56</v>
      </c>
      <c r="C4" s="70"/>
      <c r="D4" s="52" t="s">
        <v>24</v>
      </c>
      <c r="E4" s="52" t="s">
        <v>57</v>
      </c>
      <c r="F4" s="52" t="s">
        <v>58</v>
      </c>
      <c r="G4" s="52" t="s">
        <v>59</v>
      </c>
      <c r="H4" s="52" t="s">
        <v>60</v>
      </c>
      <c r="I4" s="52" t="s">
        <v>61</v>
      </c>
    </row>
    <row r="5" spans="1:9" ht="33" customHeight="1">
      <c r="A5" s="52">
        <v>1</v>
      </c>
      <c r="B5" s="122" t="s">
        <v>272</v>
      </c>
      <c r="C5" s="122"/>
      <c r="D5" s="123"/>
      <c r="E5" s="123" t="s">
        <v>63</v>
      </c>
      <c r="F5" s="123"/>
      <c r="G5" s="123">
        <v>10</v>
      </c>
      <c r="H5" s="124">
        <f>(G5*10)/SUM($G$5:$G$15)</f>
        <v>1.2195121951219512</v>
      </c>
      <c r="I5" s="125">
        <f t="shared" ref="I5:I15" si="0">IF(E5="X",((G5*10)/SUM($G$5:$G$15)),0)</f>
        <v>1.2195121951219512</v>
      </c>
    </row>
    <row r="6" spans="1:9" ht="47.25" customHeight="1">
      <c r="A6" s="52">
        <v>2</v>
      </c>
      <c r="B6" s="122" t="s">
        <v>273</v>
      </c>
      <c r="C6" s="122"/>
      <c r="D6" s="123"/>
      <c r="E6" s="123" t="s">
        <v>63</v>
      </c>
      <c r="F6" s="123"/>
      <c r="G6" s="123">
        <v>10</v>
      </c>
      <c r="H6" s="124">
        <f t="shared" ref="H6:H15" si="1">(G6*10)/SUM($G$5:$G$15)</f>
        <v>1.2195121951219512</v>
      </c>
      <c r="I6" s="125">
        <f t="shared" si="0"/>
        <v>1.2195121951219512</v>
      </c>
    </row>
    <row r="7" spans="1:9" ht="70.5" customHeight="1">
      <c r="A7" s="52">
        <v>3</v>
      </c>
      <c r="B7" s="122" t="s">
        <v>274</v>
      </c>
      <c r="C7" s="122"/>
      <c r="D7" s="123"/>
      <c r="E7" s="123" t="s">
        <v>63</v>
      </c>
      <c r="F7" s="123"/>
      <c r="G7" s="123">
        <v>6</v>
      </c>
      <c r="H7" s="124">
        <f t="shared" si="1"/>
        <v>0.73170731707317072</v>
      </c>
      <c r="I7" s="125">
        <f t="shared" si="0"/>
        <v>0.73170731707317072</v>
      </c>
    </row>
    <row r="8" spans="1:9" ht="59.25" customHeight="1">
      <c r="A8" s="52">
        <v>4</v>
      </c>
      <c r="B8" s="122" t="s">
        <v>275</v>
      </c>
      <c r="C8" s="122"/>
      <c r="D8" s="123"/>
      <c r="E8" s="123" t="s">
        <v>63</v>
      </c>
      <c r="F8" s="123"/>
      <c r="G8" s="123">
        <v>6</v>
      </c>
      <c r="H8" s="124">
        <f t="shared" si="1"/>
        <v>0.73170731707317072</v>
      </c>
      <c r="I8" s="125">
        <f t="shared" si="0"/>
        <v>0.73170731707317072</v>
      </c>
    </row>
    <row r="9" spans="1:9" ht="59.25" customHeight="1">
      <c r="A9" s="52">
        <v>5</v>
      </c>
      <c r="B9" s="122" t="s">
        <v>276</v>
      </c>
      <c r="C9" s="122"/>
      <c r="D9" s="123"/>
      <c r="E9" s="123" t="s">
        <v>63</v>
      </c>
      <c r="F9" s="123"/>
      <c r="G9" s="123">
        <v>10</v>
      </c>
      <c r="H9" s="124">
        <f t="shared" si="1"/>
        <v>1.2195121951219512</v>
      </c>
      <c r="I9" s="125">
        <f t="shared" si="0"/>
        <v>1.2195121951219512</v>
      </c>
    </row>
    <row r="10" spans="1:9" ht="58.5" customHeight="1">
      <c r="A10" s="52">
        <v>6</v>
      </c>
      <c r="B10" s="122" t="s">
        <v>277</v>
      </c>
      <c r="C10" s="122"/>
      <c r="D10" s="123"/>
      <c r="E10" s="123" t="s">
        <v>63</v>
      </c>
      <c r="F10" s="123"/>
      <c r="G10" s="123">
        <v>6</v>
      </c>
      <c r="H10" s="124">
        <f t="shared" si="1"/>
        <v>0.73170731707317072</v>
      </c>
      <c r="I10" s="125">
        <f t="shared" si="0"/>
        <v>0.73170731707317072</v>
      </c>
    </row>
    <row r="11" spans="1:9" ht="72" customHeight="1">
      <c r="A11" s="52">
        <v>7</v>
      </c>
      <c r="B11" s="122" t="s">
        <v>278</v>
      </c>
      <c r="C11" s="122"/>
      <c r="D11" s="123"/>
      <c r="E11" s="123" t="s">
        <v>63</v>
      </c>
      <c r="F11" s="123"/>
      <c r="G11" s="123">
        <v>10</v>
      </c>
      <c r="H11" s="124">
        <f t="shared" si="1"/>
        <v>1.2195121951219512</v>
      </c>
      <c r="I11" s="125">
        <f t="shared" si="0"/>
        <v>1.2195121951219512</v>
      </c>
    </row>
    <row r="12" spans="1:9" ht="47.25" customHeight="1">
      <c r="A12" s="52">
        <v>8</v>
      </c>
      <c r="B12" s="122" t="s">
        <v>279</v>
      </c>
      <c r="C12" s="122"/>
      <c r="D12" s="123"/>
      <c r="E12" s="123" t="s">
        <v>63</v>
      </c>
      <c r="F12" s="123"/>
      <c r="G12" s="123">
        <v>10</v>
      </c>
      <c r="H12" s="124">
        <f t="shared" si="1"/>
        <v>1.2195121951219512</v>
      </c>
      <c r="I12" s="125">
        <f t="shared" si="0"/>
        <v>1.2195121951219512</v>
      </c>
    </row>
    <row r="13" spans="1:9" ht="48" customHeight="1">
      <c r="A13" s="52">
        <v>9</v>
      </c>
      <c r="B13" s="122" t="s">
        <v>280</v>
      </c>
      <c r="C13" s="122"/>
      <c r="D13" s="123"/>
      <c r="E13" s="123" t="s">
        <v>63</v>
      </c>
      <c r="F13" s="123"/>
      <c r="G13" s="123">
        <v>6</v>
      </c>
      <c r="H13" s="124">
        <f t="shared" si="1"/>
        <v>0.73170731707317072</v>
      </c>
      <c r="I13" s="125">
        <f t="shared" si="0"/>
        <v>0.73170731707317072</v>
      </c>
    </row>
    <row r="14" spans="1:9" ht="47.25" customHeight="1">
      <c r="A14" s="52">
        <v>10</v>
      </c>
      <c r="B14" s="122" t="s">
        <v>281</v>
      </c>
      <c r="C14" s="122"/>
      <c r="D14" s="123"/>
      <c r="E14" s="123" t="s">
        <v>63</v>
      </c>
      <c r="F14" s="123"/>
      <c r="G14" s="123">
        <v>6</v>
      </c>
      <c r="H14" s="124">
        <f t="shared" si="1"/>
        <v>0.73170731707317072</v>
      </c>
      <c r="I14" s="125">
        <f t="shared" si="0"/>
        <v>0.73170731707317072</v>
      </c>
    </row>
    <row r="15" spans="1:9" ht="45" customHeight="1">
      <c r="A15" s="52">
        <v>11</v>
      </c>
      <c r="B15" s="122" t="s">
        <v>282</v>
      </c>
      <c r="C15" s="122"/>
      <c r="D15" s="123"/>
      <c r="E15" s="123" t="s">
        <v>63</v>
      </c>
      <c r="F15" s="123"/>
      <c r="G15" s="123">
        <v>2</v>
      </c>
      <c r="H15" s="124">
        <f t="shared" si="1"/>
        <v>0.24390243902439024</v>
      </c>
      <c r="I15" s="125">
        <f t="shared" si="0"/>
        <v>0.24390243902439024</v>
      </c>
    </row>
    <row r="16" spans="1:9" ht="15.75" customHeight="1">
      <c r="A16" s="83" t="s">
        <v>71</v>
      </c>
      <c r="B16" s="83"/>
      <c r="C16" s="83"/>
      <c r="D16" s="83"/>
      <c r="E16" s="83"/>
      <c r="F16" s="83"/>
      <c r="G16" s="83"/>
      <c r="H16" s="28">
        <f>SUM(H5:H15)</f>
        <v>10.000000000000002</v>
      </c>
      <c r="I16" s="20">
        <f>SUM(I5:I15)</f>
        <v>10.000000000000002</v>
      </c>
    </row>
  </sheetData>
  <mergeCells count="19">
    <mergeCell ref="B13:C13"/>
    <mergeCell ref="B14:C14"/>
    <mergeCell ref="B15:C15"/>
    <mergeCell ref="A16:G16"/>
    <mergeCell ref="B7:C7"/>
    <mergeCell ref="B8:C8"/>
    <mergeCell ref="B9:C9"/>
    <mergeCell ref="B10:C10"/>
    <mergeCell ref="B11:C11"/>
    <mergeCell ref="A1:B1"/>
    <mergeCell ref="A2:B2"/>
    <mergeCell ref="C1:I1"/>
    <mergeCell ref="C2:I2"/>
    <mergeCell ref="B12:C12"/>
    <mergeCell ref="D3:I3"/>
    <mergeCell ref="A3:B3"/>
    <mergeCell ref="B4:C4"/>
    <mergeCell ref="B5:C5"/>
    <mergeCell ref="B6:C6"/>
  </mergeCell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DF3FC-07ED-4803-B8CF-BF70E8290720}">
  <sheetPr>
    <tabColor rgb="FF002060"/>
  </sheetPr>
  <dimension ref="A1:J14"/>
  <sheetViews>
    <sheetView workbookViewId="0">
      <selection activeCell="B8" sqref="A1:J14"/>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50</v>
      </c>
      <c r="D2" s="74"/>
      <c r="E2" s="74"/>
      <c r="F2" s="74"/>
      <c r="G2" s="74"/>
      <c r="H2" s="74"/>
      <c r="I2" s="74"/>
      <c r="J2" s="75"/>
    </row>
    <row r="3" spans="1:10" ht="45">
      <c r="A3" s="70" t="s">
        <v>81</v>
      </c>
      <c r="B3" s="70"/>
      <c r="C3" s="18" t="s">
        <v>82</v>
      </c>
      <c r="D3" s="55" t="s">
        <v>83</v>
      </c>
      <c r="E3" s="122">
        <v>570</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34.5" customHeight="1">
      <c r="A5" s="52">
        <v>1</v>
      </c>
      <c r="B5" s="122" t="s">
        <v>84</v>
      </c>
      <c r="C5" s="122"/>
      <c r="D5" s="122"/>
      <c r="E5" s="123"/>
      <c r="F5" s="123" t="s">
        <v>63</v>
      </c>
      <c r="G5" s="123"/>
      <c r="H5" s="123">
        <v>10</v>
      </c>
      <c r="I5" s="124">
        <f>(H5*10)/SUM($H$5:$H$13)</f>
        <v>1.3513513513513513</v>
      </c>
      <c r="J5" s="125">
        <f>IF(F5="X",((H5*10)/SUM($H$5:$H$13)),0)</f>
        <v>1.3513513513513513</v>
      </c>
    </row>
    <row r="6" spans="1:10" ht="21" customHeight="1">
      <c r="A6" s="52">
        <v>2</v>
      </c>
      <c r="B6" s="122" t="s">
        <v>85</v>
      </c>
      <c r="C6" s="122"/>
      <c r="D6" s="122"/>
      <c r="E6" s="123"/>
      <c r="F6" s="123" t="s">
        <v>63</v>
      </c>
      <c r="G6" s="123"/>
      <c r="H6" s="123">
        <v>10</v>
      </c>
      <c r="I6" s="124">
        <f t="shared" ref="I6:I13" si="0">(H6*10)/SUM($H$5:$H$13)</f>
        <v>1.3513513513513513</v>
      </c>
      <c r="J6" s="125">
        <f t="shared" ref="J6:J13" si="1">IF(F6="X",((H6*10)/SUM($H$5:$H$13)),0)</f>
        <v>1.3513513513513513</v>
      </c>
    </row>
    <row r="7" spans="1:10" ht="33" customHeight="1">
      <c r="A7" s="52">
        <v>3</v>
      </c>
      <c r="B7" s="122" t="s">
        <v>86</v>
      </c>
      <c r="C7" s="122"/>
      <c r="D7" s="122"/>
      <c r="E7" s="123"/>
      <c r="F7" s="123" t="s">
        <v>63</v>
      </c>
      <c r="G7" s="123"/>
      <c r="H7" s="123">
        <v>6</v>
      </c>
      <c r="I7" s="124">
        <f t="shared" si="0"/>
        <v>0.81081081081081086</v>
      </c>
      <c r="J7" s="125">
        <f t="shared" si="1"/>
        <v>0.81081081081081086</v>
      </c>
    </row>
    <row r="8" spans="1:10" ht="60" customHeight="1">
      <c r="A8" s="52">
        <v>4</v>
      </c>
      <c r="B8" s="122" t="s">
        <v>87</v>
      </c>
      <c r="C8" s="122"/>
      <c r="D8" s="122"/>
      <c r="E8" s="123"/>
      <c r="F8" s="123" t="s">
        <v>63</v>
      </c>
      <c r="G8" s="123"/>
      <c r="H8" s="123">
        <v>10</v>
      </c>
      <c r="I8" s="124">
        <f t="shared" si="0"/>
        <v>1.3513513513513513</v>
      </c>
      <c r="J8" s="125">
        <f t="shared" si="1"/>
        <v>1.3513513513513513</v>
      </c>
    </row>
    <row r="9" spans="1:10" ht="33" customHeight="1">
      <c r="A9" s="52">
        <v>5</v>
      </c>
      <c r="B9" s="122" t="s">
        <v>88</v>
      </c>
      <c r="C9" s="122"/>
      <c r="D9" s="122"/>
      <c r="E9" s="123"/>
      <c r="F9" s="123" t="s">
        <v>63</v>
      </c>
      <c r="G9" s="123"/>
      <c r="H9" s="123">
        <v>6</v>
      </c>
      <c r="I9" s="124">
        <f t="shared" si="0"/>
        <v>0.81081081081081086</v>
      </c>
      <c r="J9" s="125">
        <f t="shared" si="1"/>
        <v>0.81081081081081086</v>
      </c>
    </row>
    <row r="10" spans="1:10" ht="34.5" customHeight="1">
      <c r="A10" s="52">
        <v>6</v>
      </c>
      <c r="B10" s="122" t="s">
        <v>89</v>
      </c>
      <c r="C10" s="122"/>
      <c r="D10" s="122"/>
      <c r="E10" s="123"/>
      <c r="F10" s="123" t="s">
        <v>63</v>
      </c>
      <c r="G10" s="123"/>
      <c r="H10" s="123">
        <v>6</v>
      </c>
      <c r="I10" s="124">
        <f t="shared" si="0"/>
        <v>0.81081081081081086</v>
      </c>
      <c r="J10" s="125">
        <f t="shared" si="1"/>
        <v>0.81081081081081086</v>
      </c>
    </row>
    <row r="11" spans="1:10" ht="74.25" customHeight="1">
      <c r="A11" s="52">
        <v>7</v>
      </c>
      <c r="B11" s="122" t="s">
        <v>90</v>
      </c>
      <c r="C11" s="122"/>
      <c r="D11" s="122"/>
      <c r="E11" s="123"/>
      <c r="F11" s="123" t="s">
        <v>63</v>
      </c>
      <c r="G11" s="123"/>
      <c r="H11" s="123">
        <v>10</v>
      </c>
      <c r="I11" s="124">
        <f t="shared" si="0"/>
        <v>1.3513513513513513</v>
      </c>
      <c r="J11" s="125">
        <f>IF(F11="X",((H11*10)/SUM($H$5:$H$13)),0)</f>
        <v>1.3513513513513513</v>
      </c>
    </row>
    <row r="12" spans="1:10" ht="32.25" customHeight="1">
      <c r="A12" s="52">
        <v>8</v>
      </c>
      <c r="B12" s="122" t="s">
        <v>91</v>
      </c>
      <c r="C12" s="122"/>
      <c r="D12" s="122"/>
      <c r="E12" s="123"/>
      <c r="F12" s="123" t="s">
        <v>63</v>
      </c>
      <c r="G12" s="123"/>
      <c r="H12" s="123">
        <v>10</v>
      </c>
      <c r="I12" s="124">
        <f t="shared" si="0"/>
        <v>1.3513513513513513</v>
      </c>
      <c r="J12" s="125">
        <f t="shared" si="1"/>
        <v>1.3513513513513513</v>
      </c>
    </row>
    <row r="13" spans="1:10" ht="51" customHeight="1">
      <c r="A13" s="52">
        <v>9</v>
      </c>
      <c r="B13" s="122" t="s">
        <v>92</v>
      </c>
      <c r="C13" s="122"/>
      <c r="D13" s="122"/>
      <c r="E13" s="123"/>
      <c r="F13" s="123" t="s">
        <v>63</v>
      </c>
      <c r="G13" s="123"/>
      <c r="H13" s="123">
        <v>6</v>
      </c>
      <c r="I13" s="124">
        <f t="shared" si="0"/>
        <v>0.81081081081081086</v>
      </c>
      <c r="J13" s="125">
        <f t="shared" si="1"/>
        <v>0.81081081081081086</v>
      </c>
    </row>
    <row r="14" spans="1:10" ht="15" customHeight="1">
      <c r="A14" s="71" t="s">
        <v>71</v>
      </c>
      <c r="B14" s="72"/>
      <c r="C14" s="72"/>
      <c r="D14" s="72"/>
      <c r="E14" s="72"/>
      <c r="F14" s="72"/>
      <c r="G14" s="72"/>
      <c r="H14" s="72"/>
      <c r="I14" s="29">
        <f>SUM(I5:I13)</f>
        <v>9.9999999999999982</v>
      </c>
      <c r="J14" s="19">
        <f>SUM(J5:J13)</f>
        <v>9.9999999999999982</v>
      </c>
    </row>
  </sheetData>
  <mergeCells count="17">
    <mergeCell ref="A14:H14"/>
    <mergeCell ref="A3:B3"/>
    <mergeCell ref="B4:D4"/>
    <mergeCell ref="B11:D11"/>
    <mergeCell ref="B12:D12"/>
    <mergeCell ref="E3:J3"/>
    <mergeCell ref="B13:D13"/>
    <mergeCell ref="B5:D5"/>
    <mergeCell ref="B6:D6"/>
    <mergeCell ref="B7:D7"/>
    <mergeCell ref="B8:D8"/>
    <mergeCell ref="B9:D9"/>
    <mergeCell ref="B10:D10"/>
    <mergeCell ref="A1:B1"/>
    <mergeCell ref="A2:B2"/>
    <mergeCell ref="C1:J1"/>
    <mergeCell ref="C2:J2"/>
  </mergeCell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D66A3-301D-4136-89C9-23188138B4B2}">
  <sheetPr>
    <tabColor rgb="FF002060"/>
  </sheetPr>
  <dimension ref="A1:J20"/>
  <sheetViews>
    <sheetView workbookViewId="0">
      <selection activeCell="B6" sqref="A1:J20"/>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50</v>
      </c>
      <c r="D2" s="74"/>
      <c r="E2" s="74"/>
      <c r="F2" s="74"/>
      <c r="G2" s="74"/>
      <c r="H2" s="74"/>
      <c r="I2" s="74"/>
      <c r="J2" s="75"/>
    </row>
    <row r="3" spans="1:10" ht="45">
      <c r="A3" s="70" t="s">
        <v>81</v>
      </c>
      <c r="B3" s="70"/>
      <c r="C3" s="18" t="s">
        <v>93</v>
      </c>
      <c r="D3" s="55" t="s">
        <v>239</v>
      </c>
      <c r="E3" s="122" t="s">
        <v>240</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31.5" customHeight="1">
      <c r="A5" s="52">
        <v>1</v>
      </c>
      <c r="B5" s="122" t="s">
        <v>241</v>
      </c>
      <c r="C5" s="122"/>
      <c r="D5" s="122"/>
      <c r="E5" s="123"/>
      <c r="F5" s="123" t="s">
        <v>63</v>
      </c>
      <c r="G5" s="123"/>
      <c r="H5" s="123">
        <v>10</v>
      </c>
      <c r="I5" s="124">
        <f>(H5*10)/SUM($H$5:$H$19)</f>
        <v>0.94339622641509435</v>
      </c>
      <c r="J5" s="125">
        <f>IF(F5="X",((H5*10)/SUM($H$5:$H$19)),0)</f>
        <v>0.94339622641509435</v>
      </c>
    </row>
    <row r="6" spans="1:10" ht="40.5" customHeight="1">
      <c r="A6" s="52">
        <v>2</v>
      </c>
      <c r="B6" s="122" t="s">
        <v>242</v>
      </c>
      <c r="C6" s="122"/>
      <c r="D6" s="122"/>
      <c r="E6" s="123"/>
      <c r="F6" s="123" t="s">
        <v>63</v>
      </c>
      <c r="G6" s="123"/>
      <c r="H6" s="123">
        <v>6</v>
      </c>
      <c r="I6" s="124">
        <f t="shared" ref="I6:I19" si="0">(H6*10)/SUM($H$5:$H$19)</f>
        <v>0.56603773584905659</v>
      </c>
      <c r="J6" s="125">
        <f t="shared" ref="J6:J19" si="1">IF(F6="X",((H6*10)/SUM($H$5:$H$19)),0)</f>
        <v>0.56603773584905659</v>
      </c>
    </row>
    <row r="7" spans="1:10" ht="38.25" customHeight="1">
      <c r="A7" s="52">
        <v>3</v>
      </c>
      <c r="B7" s="122" t="s">
        <v>243</v>
      </c>
      <c r="C7" s="122"/>
      <c r="D7" s="122"/>
      <c r="E7" s="123"/>
      <c r="F7" s="123" t="s">
        <v>63</v>
      </c>
      <c r="G7" s="123"/>
      <c r="H7" s="123">
        <v>2</v>
      </c>
      <c r="I7" s="124">
        <f t="shared" si="0"/>
        <v>0.18867924528301888</v>
      </c>
      <c r="J7" s="125">
        <f t="shared" si="1"/>
        <v>0.18867924528301888</v>
      </c>
    </row>
    <row r="8" spans="1:10" ht="31.5" customHeight="1">
      <c r="A8" s="52">
        <v>4</v>
      </c>
      <c r="B8" s="122" t="s">
        <v>244</v>
      </c>
      <c r="C8" s="122"/>
      <c r="D8" s="122"/>
      <c r="E8" s="123"/>
      <c r="F8" s="123" t="s">
        <v>63</v>
      </c>
      <c r="G8" s="123"/>
      <c r="H8" s="123">
        <v>6</v>
      </c>
      <c r="I8" s="124">
        <f t="shared" si="0"/>
        <v>0.56603773584905659</v>
      </c>
      <c r="J8" s="125">
        <f t="shared" si="1"/>
        <v>0.56603773584905659</v>
      </c>
    </row>
    <row r="9" spans="1:10" ht="51" customHeight="1">
      <c r="A9" s="52">
        <v>5</v>
      </c>
      <c r="B9" s="122" t="s">
        <v>245</v>
      </c>
      <c r="C9" s="122"/>
      <c r="D9" s="122"/>
      <c r="E9" s="123"/>
      <c r="F9" s="123" t="s">
        <v>63</v>
      </c>
      <c r="G9" s="123"/>
      <c r="H9" s="123">
        <v>10</v>
      </c>
      <c r="I9" s="124">
        <f t="shared" si="0"/>
        <v>0.94339622641509435</v>
      </c>
      <c r="J9" s="125">
        <f t="shared" si="1"/>
        <v>0.94339622641509435</v>
      </c>
    </row>
    <row r="10" spans="1:10" ht="63" customHeight="1">
      <c r="A10" s="52">
        <v>6</v>
      </c>
      <c r="B10" s="122" t="s">
        <v>246</v>
      </c>
      <c r="C10" s="122"/>
      <c r="D10" s="122"/>
      <c r="E10" s="123"/>
      <c r="F10" s="123" t="s">
        <v>63</v>
      </c>
      <c r="G10" s="123"/>
      <c r="H10" s="123">
        <v>10</v>
      </c>
      <c r="I10" s="124">
        <f t="shared" si="0"/>
        <v>0.94339622641509435</v>
      </c>
      <c r="J10" s="125">
        <f t="shared" si="1"/>
        <v>0.94339622641509435</v>
      </c>
    </row>
    <row r="11" spans="1:10" ht="31.5" customHeight="1">
      <c r="A11" s="52">
        <v>7</v>
      </c>
      <c r="B11" s="122" t="s">
        <v>247</v>
      </c>
      <c r="C11" s="122"/>
      <c r="D11" s="122"/>
      <c r="E11" s="123" t="s">
        <v>63</v>
      </c>
      <c r="F11" s="123"/>
      <c r="G11" s="123"/>
      <c r="H11" s="123">
        <v>10</v>
      </c>
      <c r="I11" s="124">
        <f t="shared" si="0"/>
        <v>0.94339622641509435</v>
      </c>
      <c r="J11" s="125">
        <f t="shared" si="1"/>
        <v>0</v>
      </c>
    </row>
    <row r="12" spans="1:10" ht="35.25" customHeight="1">
      <c r="A12" s="52">
        <v>8</v>
      </c>
      <c r="B12" s="122" t="s">
        <v>248</v>
      </c>
      <c r="C12" s="122"/>
      <c r="D12" s="122"/>
      <c r="E12" s="123"/>
      <c r="F12" s="123" t="s">
        <v>63</v>
      </c>
      <c r="G12" s="123"/>
      <c r="H12" s="123">
        <v>10</v>
      </c>
      <c r="I12" s="124">
        <f t="shared" si="0"/>
        <v>0.94339622641509435</v>
      </c>
      <c r="J12" s="125">
        <f t="shared" si="1"/>
        <v>0.94339622641509435</v>
      </c>
    </row>
    <row r="13" spans="1:10" ht="50.25" customHeight="1">
      <c r="A13" s="52">
        <v>9</v>
      </c>
      <c r="B13" s="122" t="s">
        <v>249</v>
      </c>
      <c r="C13" s="122"/>
      <c r="D13" s="122"/>
      <c r="E13" s="123"/>
      <c r="F13" s="123" t="s">
        <v>63</v>
      </c>
      <c r="G13" s="123"/>
      <c r="H13" s="123">
        <v>6</v>
      </c>
      <c r="I13" s="124">
        <f t="shared" si="0"/>
        <v>0.56603773584905659</v>
      </c>
      <c r="J13" s="125">
        <f t="shared" si="1"/>
        <v>0.56603773584905659</v>
      </c>
    </row>
    <row r="14" spans="1:10" ht="48" customHeight="1">
      <c r="A14" s="52">
        <v>10</v>
      </c>
      <c r="B14" s="122" t="s">
        <v>250</v>
      </c>
      <c r="C14" s="122"/>
      <c r="D14" s="122"/>
      <c r="E14" s="123" t="s">
        <v>63</v>
      </c>
      <c r="F14" s="123"/>
      <c r="G14" s="123"/>
      <c r="H14" s="123">
        <v>10</v>
      </c>
      <c r="I14" s="124">
        <f t="shared" si="0"/>
        <v>0.94339622641509435</v>
      </c>
      <c r="J14" s="125">
        <f t="shared" si="1"/>
        <v>0</v>
      </c>
    </row>
    <row r="15" spans="1:10" ht="66.75" customHeight="1">
      <c r="A15" s="52">
        <v>11</v>
      </c>
      <c r="B15" s="122" t="s">
        <v>251</v>
      </c>
      <c r="C15" s="122"/>
      <c r="D15" s="122"/>
      <c r="E15" s="123" t="s">
        <v>63</v>
      </c>
      <c r="F15" s="123"/>
      <c r="G15" s="123"/>
      <c r="H15" s="123">
        <v>6</v>
      </c>
      <c r="I15" s="124">
        <f t="shared" si="0"/>
        <v>0.56603773584905659</v>
      </c>
      <c r="J15" s="125">
        <f t="shared" si="1"/>
        <v>0</v>
      </c>
    </row>
    <row r="16" spans="1:10" ht="62.25" customHeight="1">
      <c r="A16" s="52">
        <v>12</v>
      </c>
      <c r="B16" s="122" t="s">
        <v>252</v>
      </c>
      <c r="C16" s="122"/>
      <c r="D16" s="122"/>
      <c r="E16" s="123"/>
      <c r="F16" s="123" t="s">
        <v>63</v>
      </c>
      <c r="G16" s="123"/>
      <c r="H16" s="123">
        <v>6</v>
      </c>
      <c r="I16" s="124">
        <f t="shared" si="0"/>
        <v>0.56603773584905659</v>
      </c>
      <c r="J16" s="125">
        <f t="shared" si="1"/>
        <v>0.56603773584905659</v>
      </c>
    </row>
    <row r="17" spans="1:10" ht="62.25" customHeight="1">
      <c r="A17" s="52">
        <v>13</v>
      </c>
      <c r="B17" s="122" t="s">
        <v>253</v>
      </c>
      <c r="C17" s="122"/>
      <c r="D17" s="122"/>
      <c r="E17" s="123"/>
      <c r="F17" s="123" t="s">
        <v>63</v>
      </c>
      <c r="G17" s="123"/>
      <c r="H17" s="123">
        <v>6</v>
      </c>
      <c r="I17" s="124">
        <f t="shared" si="0"/>
        <v>0.56603773584905659</v>
      </c>
      <c r="J17" s="125">
        <f t="shared" si="1"/>
        <v>0.56603773584905659</v>
      </c>
    </row>
    <row r="18" spans="1:10" ht="82.5" customHeight="1">
      <c r="A18" s="52">
        <v>14</v>
      </c>
      <c r="B18" s="122" t="s">
        <v>254</v>
      </c>
      <c r="C18" s="122"/>
      <c r="D18" s="122"/>
      <c r="E18" s="123"/>
      <c r="F18" s="123" t="s">
        <v>63</v>
      </c>
      <c r="G18" s="123"/>
      <c r="H18" s="123">
        <v>2</v>
      </c>
      <c r="I18" s="124">
        <f t="shared" si="0"/>
        <v>0.18867924528301888</v>
      </c>
      <c r="J18" s="125">
        <f t="shared" si="1"/>
        <v>0.18867924528301888</v>
      </c>
    </row>
    <row r="19" spans="1:10" ht="47.25" customHeight="1">
      <c r="A19" s="52">
        <v>15</v>
      </c>
      <c r="B19" s="122" t="s">
        <v>255</v>
      </c>
      <c r="C19" s="122"/>
      <c r="D19" s="122"/>
      <c r="E19" s="123" t="s">
        <v>63</v>
      </c>
      <c r="F19" s="123"/>
      <c r="G19" s="123"/>
      <c r="H19" s="123">
        <v>6</v>
      </c>
      <c r="I19" s="124">
        <f t="shared" si="0"/>
        <v>0.56603773584905659</v>
      </c>
      <c r="J19" s="125">
        <f t="shared" si="1"/>
        <v>0</v>
      </c>
    </row>
    <row r="20" spans="1:10" ht="15" customHeight="1">
      <c r="A20" s="83" t="s">
        <v>71</v>
      </c>
      <c r="B20" s="83"/>
      <c r="C20" s="83"/>
      <c r="D20" s="83"/>
      <c r="E20" s="83"/>
      <c r="F20" s="83"/>
      <c r="G20" s="83"/>
      <c r="H20" s="83"/>
      <c r="I20" s="28">
        <f>SUM(I5:I19)</f>
        <v>10</v>
      </c>
      <c r="J20" s="19">
        <f>SUM(J5:J19)</f>
        <v>6.9811320754716997</v>
      </c>
    </row>
  </sheetData>
  <mergeCells count="23">
    <mergeCell ref="A20:H20"/>
    <mergeCell ref="B10:D10"/>
    <mergeCell ref="B19:D19"/>
    <mergeCell ref="B8:D8"/>
    <mergeCell ref="B9:D9"/>
    <mergeCell ref="B17:D17"/>
    <mergeCell ref="B18:D18"/>
    <mergeCell ref="B15:D15"/>
    <mergeCell ref="B16:D16"/>
    <mergeCell ref="B4:D4"/>
    <mergeCell ref="B5:D5"/>
    <mergeCell ref="B6:D6"/>
    <mergeCell ref="B7:D7"/>
    <mergeCell ref="B14:D14"/>
    <mergeCell ref="B11:D11"/>
    <mergeCell ref="B12:D12"/>
    <mergeCell ref="B13:D13"/>
    <mergeCell ref="A1:B1"/>
    <mergeCell ref="A2:B2"/>
    <mergeCell ref="C1:J1"/>
    <mergeCell ref="C2:J2"/>
    <mergeCell ref="E3:J3"/>
    <mergeCell ref="A3:B3"/>
  </mergeCell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22137-1254-47D5-9B89-3E744A74048A}">
  <sheetPr>
    <tabColor rgb="FF002060"/>
  </sheetPr>
  <dimension ref="A1:J15"/>
  <sheetViews>
    <sheetView workbookViewId="0">
      <selection activeCell="B7" sqref="A1:J15"/>
    </sheetView>
  </sheetViews>
  <sheetFormatPr defaultColWidth="11.42578125" defaultRowHeight="14.25"/>
  <cols>
    <col min="1" max="1" width="4.7109375" style="23"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50</v>
      </c>
      <c r="D2" s="74"/>
      <c r="E2" s="74"/>
      <c r="F2" s="74"/>
      <c r="G2" s="74"/>
      <c r="H2" s="74"/>
      <c r="I2" s="74"/>
      <c r="J2" s="75"/>
    </row>
    <row r="3" spans="1:10" ht="45">
      <c r="A3" s="70" t="s">
        <v>81</v>
      </c>
      <c r="B3" s="70"/>
      <c r="C3" s="18" t="s">
        <v>93</v>
      </c>
      <c r="D3" s="55" t="s">
        <v>94</v>
      </c>
      <c r="E3" s="122" t="s">
        <v>95</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33" customHeight="1">
      <c r="A5" s="52">
        <v>1</v>
      </c>
      <c r="B5" s="122" t="s">
        <v>97</v>
      </c>
      <c r="C5" s="122"/>
      <c r="D5" s="122"/>
      <c r="E5" s="123"/>
      <c r="F5" s="123" t="s">
        <v>63</v>
      </c>
      <c r="G5" s="123"/>
      <c r="H5" s="123">
        <v>10</v>
      </c>
      <c r="I5" s="124">
        <f>(H5*10)/SUM($H$5:$H$14)</f>
        <v>1.9230769230769231</v>
      </c>
      <c r="J5" s="125">
        <f>IF(F5="X",((H5*10)/SUM($H$5:$H$14)),0)</f>
        <v>1.9230769230769231</v>
      </c>
    </row>
    <row r="6" spans="1:10" ht="47.25" customHeight="1">
      <c r="A6" s="52">
        <v>2</v>
      </c>
      <c r="B6" s="122" t="s">
        <v>98</v>
      </c>
      <c r="C6" s="122"/>
      <c r="D6" s="122"/>
      <c r="E6" s="123"/>
      <c r="F6" s="123" t="s">
        <v>63</v>
      </c>
      <c r="G6" s="123"/>
      <c r="H6" s="123">
        <v>2</v>
      </c>
      <c r="I6" s="124">
        <f t="shared" ref="I6:I14" si="0">(H6*10)/SUM($H$5:$H$14)</f>
        <v>0.38461538461538464</v>
      </c>
      <c r="J6" s="125">
        <f t="shared" ref="J6:J14" si="1">IF(F6="X",((H6*10)/SUM($H$5:$H$14)),0)</f>
        <v>0.38461538461538464</v>
      </c>
    </row>
    <row r="7" spans="1:10" ht="33" customHeight="1">
      <c r="A7" s="52">
        <v>3</v>
      </c>
      <c r="B7" s="122" t="s">
        <v>99</v>
      </c>
      <c r="C7" s="122"/>
      <c r="D7" s="122"/>
      <c r="E7" s="123"/>
      <c r="F7" s="123" t="s">
        <v>63</v>
      </c>
      <c r="G7" s="123"/>
      <c r="H7" s="123">
        <v>6</v>
      </c>
      <c r="I7" s="124">
        <f t="shared" si="0"/>
        <v>1.1538461538461537</v>
      </c>
      <c r="J7" s="125">
        <f t="shared" si="1"/>
        <v>1.1538461538461537</v>
      </c>
    </row>
    <row r="8" spans="1:10" ht="18" customHeight="1">
      <c r="A8" s="52">
        <v>4</v>
      </c>
      <c r="B8" s="122" t="s">
        <v>100</v>
      </c>
      <c r="C8" s="122"/>
      <c r="D8" s="122"/>
      <c r="E8" s="123"/>
      <c r="F8" s="123" t="s">
        <v>63</v>
      </c>
      <c r="G8" s="123"/>
      <c r="H8" s="123">
        <v>6</v>
      </c>
      <c r="I8" s="124">
        <f t="shared" si="0"/>
        <v>1.1538461538461537</v>
      </c>
      <c r="J8" s="125">
        <f t="shared" si="1"/>
        <v>1.1538461538461537</v>
      </c>
    </row>
    <row r="9" spans="1:10" ht="30" customHeight="1">
      <c r="A9" s="52">
        <v>5</v>
      </c>
      <c r="B9" s="122" t="s">
        <v>101</v>
      </c>
      <c r="C9" s="122"/>
      <c r="D9" s="122"/>
      <c r="E9" s="123"/>
      <c r="F9" s="123" t="s">
        <v>63</v>
      </c>
      <c r="G9" s="123"/>
      <c r="H9" s="123">
        <v>10</v>
      </c>
      <c r="I9" s="124">
        <f t="shared" si="0"/>
        <v>1.9230769230769231</v>
      </c>
      <c r="J9" s="125">
        <f t="shared" si="1"/>
        <v>1.9230769230769231</v>
      </c>
    </row>
    <row r="10" spans="1:10" ht="47.25" customHeight="1">
      <c r="A10" s="52">
        <v>6</v>
      </c>
      <c r="B10" s="122" t="s">
        <v>102</v>
      </c>
      <c r="C10" s="122"/>
      <c r="D10" s="122"/>
      <c r="E10" s="123" t="s">
        <v>63</v>
      </c>
      <c r="F10" s="123"/>
      <c r="G10" s="123"/>
      <c r="H10" s="123">
        <v>6</v>
      </c>
      <c r="I10" s="124">
        <f t="shared" si="0"/>
        <v>1.1538461538461537</v>
      </c>
      <c r="J10" s="125">
        <f t="shared" si="1"/>
        <v>0</v>
      </c>
    </row>
    <row r="11" spans="1:10" ht="47.25" customHeight="1">
      <c r="A11" s="52">
        <v>7</v>
      </c>
      <c r="B11" s="122" t="s">
        <v>103</v>
      </c>
      <c r="C11" s="122"/>
      <c r="D11" s="122"/>
      <c r="E11" s="123" t="s">
        <v>63</v>
      </c>
      <c r="F11" s="123"/>
      <c r="G11" s="123"/>
      <c r="H11" s="123">
        <v>2</v>
      </c>
      <c r="I11" s="124">
        <f t="shared" si="0"/>
        <v>0.38461538461538464</v>
      </c>
      <c r="J11" s="125">
        <f t="shared" si="1"/>
        <v>0</v>
      </c>
    </row>
    <row r="12" spans="1:10" ht="47.25" customHeight="1">
      <c r="A12" s="52">
        <v>8</v>
      </c>
      <c r="B12" s="122" t="s">
        <v>104</v>
      </c>
      <c r="C12" s="122"/>
      <c r="D12" s="122"/>
      <c r="E12" s="123"/>
      <c r="F12" s="123" t="s">
        <v>63</v>
      </c>
      <c r="G12" s="123"/>
      <c r="H12" s="123">
        <v>6</v>
      </c>
      <c r="I12" s="124">
        <f t="shared" si="0"/>
        <v>1.1538461538461537</v>
      </c>
      <c r="J12" s="125">
        <f t="shared" si="1"/>
        <v>1.1538461538461537</v>
      </c>
    </row>
    <row r="13" spans="1:10" ht="35.25" customHeight="1">
      <c r="A13" s="52">
        <v>9</v>
      </c>
      <c r="B13" s="122" t="s">
        <v>105</v>
      </c>
      <c r="C13" s="122"/>
      <c r="D13" s="122"/>
      <c r="E13" s="123" t="s">
        <v>63</v>
      </c>
      <c r="F13" s="123"/>
      <c r="G13" s="123"/>
      <c r="H13" s="123">
        <v>2</v>
      </c>
      <c r="I13" s="124">
        <f t="shared" si="0"/>
        <v>0.38461538461538464</v>
      </c>
      <c r="J13" s="125">
        <f t="shared" si="1"/>
        <v>0</v>
      </c>
    </row>
    <row r="14" spans="1:10" ht="33.75" customHeight="1">
      <c r="A14" s="52">
        <v>10</v>
      </c>
      <c r="B14" s="122" t="s">
        <v>106</v>
      </c>
      <c r="C14" s="122"/>
      <c r="D14" s="122"/>
      <c r="E14" s="123" t="s">
        <v>63</v>
      </c>
      <c r="F14" s="123"/>
      <c r="G14" s="123"/>
      <c r="H14" s="123">
        <v>2</v>
      </c>
      <c r="I14" s="126">
        <f t="shared" si="0"/>
        <v>0.38461538461538464</v>
      </c>
      <c r="J14" s="125">
        <f t="shared" si="1"/>
        <v>0</v>
      </c>
    </row>
    <row r="15" spans="1:10" ht="15" customHeight="1">
      <c r="A15" s="71" t="s">
        <v>71</v>
      </c>
      <c r="B15" s="72"/>
      <c r="C15" s="72"/>
      <c r="D15" s="72"/>
      <c r="E15" s="72"/>
      <c r="F15" s="72"/>
      <c r="G15" s="72"/>
      <c r="H15" s="82"/>
      <c r="I15" s="28">
        <f>SUM(I5:I14)</f>
        <v>10</v>
      </c>
      <c r="J15" s="30">
        <f>SUM(J5:J14)</f>
        <v>7.6923076923076916</v>
      </c>
    </row>
  </sheetData>
  <mergeCells count="18">
    <mergeCell ref="B11:D11"/>
    <mergeCell ref="B12:D12"/>
    <mergeCell ref="B13:D13"/>
    <mergeCell ref="B14:D14"/>
    <mergeCell ref="A15:H15"/>
    <mergeCell ref="B10:D10"/>
    <mergeCell ref="A3:B3"/>
    <mergeCell ref="B4:D4"/>
    <mergeCell ref="B5:D5"/>
    <mergeCell ref="B6:D6"/>
    <mergeCell ref="B7:D7"/>
    <mergeCell ref="B8:D8"/>
    <mergeCell ref="B9:D9"/>
    <mergeCell ref="A1:B1"/>
    <mergeCell ref="A2:B2"/>
    <mergeCell ref="C1:J1"/>
    <mergeCell ref="C2:J2"/>
    <mergeCell ref="E3:J3"/>
  </mergeCell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52766-D0ED-4C6B-BECB-7F6EEEEB9713}">
  <sheetPr>
    <tabColor rgb="FF002060"/>
  </sheetPr>
  <dimension ref="A1:J17"/>
  <sheetViews>
    <sheetView workbookViewId="0">
      <selection activeCell="B7" sqref="A1:J17"/>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50</v>
      </c>
      <c r="D2" s="74"/>
      <c r="E2" s="74"/>
      <c r="F2" s="74"/>
      <c r="G2" s="74"/>
      <c r="H2" s="74"/>
      <c r="I2" s="74"/>
      <c r="J2" s="75"/>
    </row>
    <row r="3" spans="1:10" ht="45">
      <c r="A3" s="70" t="s">
        <v>81</v>
      </c>
      <c r="B3" s="70"/>
      <c r="C3" s="18" t="s">
        <v>93</v>
      </c>
      <c r="D3" s="55" t="s">
        <v>107</v>
      </c>
      <c r="E3" s="122" t="s">
        <v>108</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8" customHeight="1">
      <c r="A5" s="52">
        <v>1</v>
      </c>
      <c r="B5" s="122" t="s">
        <v>109</v>
      </c>
      <c r="C5" s="122"/>
      <c r="D5" s="122"/>
      <c r="E5" s="123" t="s">
        <v>63</v>
      </c>
      <c r="F5" s="123"/>
      <c r="G5" s="123"/>
      <c r="H5" s="123">
        <v>2</v>
      </c>
      <c r="I5" s="124">
        <f t="shared" ref="I5:I10" si="0">(H5*10)/SUM($H$5:$H$16)</f>
        <v>0.33333333333333331</v>
      </c>
      <c r="J5" s="125">
        <f>IF(F5="X",((H5*10)/SUM($H$5:$H$16)),0)</f>
        <v>0</v>
      </c>
    </row>
    <row r="6" spans="1:10" ht="46.5" customHeight="1">
      <c r="A6" s="52">
        <v>2</v>
      </c>
      <c r="B6" s="122" t="s">
        <v>110</v>
      </c>
      <c r="C6" s="122"/>
      <c r="D6" s="122"/>
      <c r="E6" s="123"/>
      <c r="F6" s="123" t="s">
        <v>63</v>
      </c>
      <c r="G6" s="123"/>
      <c r="H6" s="123">
        <v>6</v>
      </c>
      <c r="I6" s="124">
        <f t="shared" si="0"/>
        <v>1</v>
      </c>
      <c r="J6" s="125">
        <f t="shared" ref="J6:J15" si="1">IF(F6="X",((H6*10)/SUM($H$5:$H$16)),0)</f>
        <v>1</v>
      </c>
    </row>
    <row r="7" spans="1:10" ht="62.25" customHeight="1">
      <c r="A7" s="52">
        <v>3</v>
      </c>
      <c r="B7" s="122" t="s">
        <v>111</v>
      </c>
      <c r="C7" s="122"/>
      <c r="D7" s="122"/>
      <c r="E7" s="123"/>
      <c r="F7" s="123" t="s">
        <v>63</v>
      </c>
      <c r="G7" s="123"/>
      <c r="H7" s="123">
        <v>10</v>
      </c>
      <c r="I7" s="124">
        <f t="shared" si="0"/>
        <v>1.6666666666666667</v>
      </c>
      <c r="J7" s="125">
        <f t="shared" si="1"/>
        <v>1.6666666666666667</v>
      </c>
    </row>
    <row r="8" spans="1:10" ht="48" customHeight="1">
      <c r="A8" s="52">
        <v>4</v>
      </c>
      <c r="B8" s="122" t="s">
        <v>112</v>
      </c>
      <c r="C8" s="122"/>
      <c r="D8" s="122"/>
      <c r="E8" s="123"/>
      <c r="F8" s="123" t="s">
        <v>63</v>
      </c>
      <c r="G8" s="123"/>
      <c r="H8" s="123">
        <v>10</v>
      </c>
      <c r="I8" s="124">
        <f t="shared" si="0"/>
        <v>1.6666666666666667</v>
      </c>
      <c r="J8" s="125">
        <f t="shared" si="1"/>
        <v>1.6666666666666667</v>
      </c>
    </row>
    <row r="9" spans="1:10" ht="30" customHeight="1">
      <c r="A9" s="52">
        <v>5</v>
      </c>
      <c r="B9" s="122" t="s">
        <v>113</v>
      </c>
      <c r="C9" s="122"/>
      <c r="D9" s="122"/>
      <c r="E9" s="123"/>
      <c r="F9" s="123" t="s">
        <v>63</v>
      </c>
      <c r="G9" s="123"/>
      <c r="H9" s="123">
        <v>10</v>
      </c>
      <c r="I9" s="124">
        <f t="shared" si="0"/>
        <v>1.6666666666666667</v>
      </c>
      <c r="J9" s="125">
        <f t="shared" si="1"/>
        <v>1.6666666666666667</v>
      </c>
    </row>
    <row r="10" spans="1:10" ht="34.5" customHeight="1">
      <c r="A10" s="52">
        <v>6</v>
      </c>
      <c r="B10" s="122" t="s">
        <v>114</v>
      </c>
      <c r="C10" s="122"/>
      <c r="D10" s="122"/>
      <c r="E10" s="123"/>
      <c r="F10" s="123"/>
      <c r="G10" s="123" t="s">
        <v>63</v>
      </c>
      <c r="H10" s="123">
        <v>2</v>
      </c>
      <c r="I10" s="124">
        <f t="shared" si="0"/>
        <v>0.33333333333333331</v>
      </c>
      <c r="J10" s="125">
        <f t="shared" si="1"/>
        <v>0</v>
      </c>
    </row>
    <row r="11" spans="1:10" ht="59.25" customHeight="1">
      <c r="A11" s="52">
        <v>7</v>
      </c>
      <c r="B11" s="122" t="s">
        <v>115</v>
      </c>
      <c r="C11" s="122"/>
      <c r="D11" s="122"/>
      <c r="E11" s="123" t="s">
        <v>63</v>
      </c>
      <c r="F11" s="123"/>
      <c r="G11" s="123"/>
      <c r="H11" s="123">
        <v>2</v>
      </c>
      <c r="I11" s="124">
        <f t="shared" ref="I11:I16" si="2">(H11*10)/SUM($H$5:$H$16)</f>
        <v>0.33333333333333331</v>
      </c>
      <c r="J11" s="125">
        <f t="shared" si="1"/>
        <v>0</v>
      </c>
    </row>
    <row r="12" spans="1:10" ht="47.25" customHeight="1">
      <c r="A12" s="52">
        <v>8</v>
      </c>
      <c r="B12" s="122" t="s">
        <v>116</v>
      </c>
      <c r="C12" s="122"/>
      <c r="D12" s="122"/>
      <c r="E12" s="123"/>
      <c r="F12" s="123" t="s">
        <v>63</v>
      </c>
      <c r="G12" s="123"/>
      <c r="H12" s="123">
        <v>6</v>
      </c>
      <c r="I12" s="124">
        <f t="shared" si="2"/>
        <v>1</v>
      </c>
      <c r="J12" s="125">
        <f t="shared" si="1"/>
        <v>1</v>
      </c>
    </row>
    <row r="13" spans="1:10" ht="33.75" customHeight="1">
      <c r="A13" s="52">
        <v>9</v>
      </c>
      <c r="B13" s="122" t="s">
        <v>117</v>
      </c>
      <c r="C13" s="122"/>
      <c r="D13" s="122"/>
      <c r="E13" s="123"/>
      <c r="F13" s="123" t="s">
        <v>63</v>
      </c>
      <c r="G13" s="123"/>
      <c r="H13" s="123">
        <v>6</v>
      </c>
      <c r="I13" s="124">
        <f t="shared" si="2"/>
        <v>1</v>
      </c>
      <c r="J13" s="125">
        <f t="shared" si="1"/>
        <v>1</v>
      </c>
    </row>
    <row r="14" spans="1:10" ht="33" customHeight="1">
      <c r="A14" s="52">
        <v>10</v>
      </c>
      <c r="B14" s="122" t="s">
        <v>118</v>
      </c>
      <c r="C14" s="122"/>
      <c r="D14" s="122"/>
      <c r="E14" s="123"/>
      <c r="F14" s="123" t="s">
        <v>63</v>
      </c>
      <c r="G14" s="123"/>
      <c r="H14" s="123">
        <v>2</v>
      </c>
      <c r="I14" s="124">
        <f t="shared" si="2"/>
        <v>0.33333333333333331</v>
      </c>
      <c r="J14" s="125">
        <f t="shared" si="1"/>
        <v>0.33333333333333331</v>
      </c>
    </row>
    <row r="15" spans="1:10" ht="31.5" customHeight="1">
      <c r="A15" s="52">
        <v>11</v>
      </c>
      <c r="B15" s="122" t="s">
        <v>119</v>
      </c>
      <c r="C15" s="122"/>
      <c r="D15" s="122"/>
      <c r="E15" s="123"/>
      <c r="F15" s="123" t="s">
        <v>63</v>
      </c>
      <c r="G15" s="123"/>
      <c r="H15" s="123">
        <v>2</v>
      </c>
      <c r="I15" s="124">
        <f t="shared" si="2"/>
        <v>0.33333333333333331</v>
      </c>
      <c r="J15" s="125">
        <f t="shared" si="1"/>
        <v>0.33333333333333331</v>
      </c>
    </row>
    <row r="16" spans="1:10" ht="49.5" customHeight="1">
      <c r="A16" s="52">
        <v>12</v>
      </c>
      <c r="B16" s="122" t="s">
        <v>120</v>
      </c>
      <c r="C16" s="122"/>
      <c r="D16" s="122"/>
      <c r="E16" s="123"/>
      <c r="F16" s="123" t="s">
        <v>63</v>
      </c>
      <c r="G16" s="123"/>
      <c r="H16" s="123">
        <v>2</v>
      </c>
      <c r="I16" s="124">
        <f t="shared" si="2"/>
        <v>0.33333333333333331</v>
      </c>
      <c r="J16" s="125">
        <f>IF(F16="X",((H16*10)/SUM($H$5:$H$16)),0)</f>
        <v>0.33333333333333331</v>
      </c>
    </row>
    <row r="17" spans="1:10" ht="15" customHeight="1">
      <c r="A17" s="83" t="s">
        <v>71</v>
      </c>
      <c r="B17" s="83"/>
      <c r="C17" s="83"/>
      <c r="D17" s="83"/>
      <c r="E17" s="83"/>
      <c r="F17" s="83"/>
      <c r="G17" s="83"/>
      <c r="H17" s="83"/>
      <c r="I17" s="28">
        <f>SUM(I5:I16)</f>
        <v>10.000000000000002</v>
      </c>
      <c r="J17" s="19">
        <f>SUM(J5:J16)</f>
        <v>9.0000000000000018</v>
      </c>
    </row>
  </sheetData>
  <mergeCells count="20">
    <mergeCell ref="A17:H17"/>
    <mergeCell ref="B10:D10"/>
    <mergeCell ref="A3:B3"/>
    <mergeCell ref="B4:D4"/>
    <mergeCell ref="B5:D5"/>
    <mergeCell ref="B6:D6"/>
    <mergeCell ref="B7:D7"/>
    <mergeCell ref="B8:D8"/>
    <mergeCell ref="B9:D9"/>
    <mergeCell ref="E3:J3"/>
    <mergeCell ref="B11:D11"/>
    <mergeCell ref="B12:D12"/>
    <mergeCell ref="B13:D13"/>
    <mergeCell ref="B14:D14"/>
    <mergeCell ref="B15:D15"/>
    <mergeCell ref="A1:B1"/>
    <mergeCell ref="A2:B2"/>
    <mergeCell ref="C1:J1"/>
    <mergeCell ref="C2:J2"/>
    <mergeCell ref="B16:D16"/>
  </mergeCell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01ACB-1F44-4F78-A98E-65CA20753A94}">
  <sheetPr>
    <tabColor rgb="FF002060"/>
  </sheetPr>
  <dimension ref="A1:J17"/>
  <sheetViews>
    <sheetView workbookViewId="0">
      <selection activeCell="B5" sqref="A1:J17"/>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50</v>
      </c>
      <c r="D2" s="74"/>
      <c r="E2" s="74"/>
      <c r="F2" s="74"/>
      <c r="G2" s="74"/>
      <c r="H2" s="74"/>
      <c r="I2" s="74"/>
      <c r="J2" s="75"/>
    </row>
    <row r="3" spans="1:10" ht="45">
      <c r="A3" s="70" t="s">
        <v>81</v>
      </c>
      <c r="B3" s="70"/>
      <c r="C3" s="18" t="s">
        <v>93</v>
      </c>
      <c r="D3" s="55" t="s">
        <v>121</v>
      </c>
      <c r="E3" s="122" t="s">
        <v>122</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36" customHeight="1">
      <c r="A5" s="52">
        <v>1</v>
      </c>
      <c r="B5" s="122" t="s">
        <v>124</v>
      </c>
      <c r="C5" s="122"/>
      <c r="D5" s="122"/>
      <c r="E5" s="123"/>
      <c r="F5" s="123" t="s">
        <v>63</v>
      </c>
      <c r="G5" s="123"/>
      <c r="H5" s="123">
        <v>6</v>
      </c>
      <c r="I5" s="124">
        <f>(H5*10)/SUM($H$5:$H$16)</f>
        <v>1.0714285714285714</v>
      </c>
      <c r="J5" s="125">
        <f>IF(F5="X",((H5*10)/SUM($H$5:$H$16)),0)</f>
        <v>1.0714285714285714</v>
      </c>
    </row>
    <row r="6" spans="1:10" ht="31.5" customHeight="1">
      <c r="A6" s="52">
        <v>2</v>
      </c>
      <c r="B6" s="122" t="s">
        <v>125</v>
      </c>
      <c r="C6" s="122"/>
      <c r="D6" s="122"/>
      <c r="E6" s="123" t="s">
        <v>63</v>
      </c>
      <c r="F6" s="123"/>
      <c r="G6" s="123"/>
      <c r="H6" s="123">
        <v>2</v>
      </c>
      <c r="I6" s="124">
        <f t="shared" ref="I6:I16" si="0">(H6*10)/SUM($H$5:$H$16)</f>
        <v>0.35714285714285715</v>
      </c>
      <c r="J6" s="125">
        <f t="shared" ref="J6:J16" si="1">IF(F6="X",((H6*10)/SUM($H$5:$H$16)),0)</f>
        <v>0</v>
      </c>
    </row>
    <row r="7" spans="1:10" ht="35.25" customHeight="1">
      <c r="A7" s="52">
        <v>3</v>
      </c>
      <c r="B7" s="122" t="s">
        <v>126</v>
      </c>
      <c r="C7" s="122"/>
      <c r="D7" s="122"/>
      <c r="E7" s="123" t="s">
        <v>63</v>
      </c>
      <c r="F7" s="123"/>
      <c r="G7" s="123"/>
      <c r="H7" s="123">
        <v>2</v>
      </c>
      <c r="I7" s="124">
        <f t="shared" si="0"/>
        <v>0.35714285714285715</v>
      </c>
      <c r="J7" s="125">
        <f t="shared" si="1"/>
        <v>0</v>
      </c>
    </row>
    <row r="8" spans="1:10" ht="75.75" customHeight="1">
      <c r="A8" s="52">
        <v>4</v>
      </c>
      <c r="B8" s="122" t="s">
        <v>127</v>
      </c>
      <c r="C8" s="122"/>
      <c r="D8" s="122"/>
      <c r="E8" s="123"/>
      <c r="F8" s="123" t="s">
        <v>63</v>
      </c>
      <c r="G8" s="123"/>
      <c r="H8" s="123">
        <v>6</v>
      </c>
      <c r="I8" s="124">
        <f t="shared" si="0"/>
        <v>1.0714285714285714</v>
      </c>
      <c r="J8" s="125">
        <f t="shared" si="1"/>
        <v>1.0714285714285714</v>
      </c>
    </row>
    <row r="9" spans="1:10" ht="59.25" customHeight="1">
      <c r="A9" s="52">
        <v>5</v>
      </c>
      <c r="B9" s="122" t="s">
        <v>128</v>
      </c>
      <c r="C9" s="122"/>
      <c r="D9" s="122"/>
      <c r="E9" s="123"/>
      <c r="F9" s="123" t="s">
        <v>63</v>
      </c>
      <c r="G9" s="123"/>
      <c r="H9" s="123">
        <v>10</v>
      </c>
      <c r="I9" s="124">
        <f t="shared" si="0"/>
        <v>1.7857142857142858</v>
      </c>
      <c r="J9" s="125">
        <f>IF(F9="X",((H9*10)/SUM($H$5:$H$16)),0)</f>
        <v>1.7857142857142858</v>
      </c>
    </row>
    <row r="10" spans="1:10" ht="90.75" customHeight="1">
      <c r="A10" s="52">
        <v>6</v>
      </c>
      <c r="B10" s="122" t="s">
        <v>129</v>
      </c>
      <c r="C10" s="122"/>
      <c r="D10" s="122"/>
      <c r="E10" s="123" t="s">
        <v>63</v>
      </c>
      <c r="F10" s="123"/>
      <c r="G10" s="123"/>
      <c r="H10" s="123">
        <v>6</v>
      </c>
      <c r="I10" s="124">
        <f t="shared" si="0"/>
        <v>1.0714285714285714</v>
      </c>
      <c r="J10" s="125">
        <f t="shared" si="1"/>
        <v>0</v>
      </c>
    </row>
    <row r="11" spans="1:10" ht="45.75" customHeight="1">
      <c r="A11" s="52">
        <v>7</v>
      </c>
      <c r="B11" s="122" t="s">
        <v>130</v>
      </c>
      <c r="C11" s="122"/>
      <c r="D11" s="122"/>
      <c r="E11" s="123" t="s">
        <v>63</v>
      </c>
      <c r="F11" s="123"/>
      <c r="G11" s="123"/>
      <c r="H11" s="123">
        <v>6</v>
      </c>
      <c r="I11" s="124">
        <f t="shared" si="0"/>
        <v>1.0714285714285714</v>
      </c>
      <c r="J11" s="125">
        <f t="shared" si="1"/>
        <v>0</v>
      </c>
    </row>
    <row r="12" spans="1:10" ht="31.5" customHeight="1">
      <c r="A12" s="52">
        <v>8</v>
      </c>
      <c r="B12" s="122" t="s">
        <v>131</v>
      </c>
      <c r="C12" s="122"/>
      <c r="D12" s="122"/>
      <c r="E12" s="123" t="s">
        <v>63</v>
      </c>
      <c r="F12" s="123"/>
      <c r="G12" s="123"/>
      <c r="H12" s="123">
        <v>2</v>
      </c>
      <c r="I12" s="124">
        <f t="shared" si="0"/>
        <v>0.35714285714285715</v>
      </c>
      <c r="J12" s="125">
        <f t="shared" si="1"/>
        <v>0</v>
      </c>
    </row>
    <row r="13" spans="1:10" ht="33.75" customHeight="1">
      <c r="A13" s="52">
        <v>9</v>
      </c>
      <c r="B13" s="122" t="s">
        <v>132</v>
      </c>
      <c r="C13" s="122"/>
      <c r="D13" s="122"/>
      <c r="E13" s="123" t="s">
        <v>63</v>
      </c>
      <c r="F13" s="123"/>
      <c r="G13" s="123"/>
      <c r="H13" s="123">
        <v>2</v>
      </c>
      <c r="I13" s="124">
        <f t="shared" si="0"/>
        <v>0.35714285714285715</v>
      </c>
      <c r="J13" s="125">
        <f t="shared" si="1"/>
        <v>0</v>
      </c>
    </row>
    <row r="14" spans="1:10" ht="33" customHeight="1">
      <c r="A14" s="52">
        <v>10</v>
      </c>
      <c r="B14" s="122" t="s">
        <v>133</v>
      </c>
      <c r="C14" s="122"/>
      <c r="D14" s="122"/>
      <c r="E14" s="123" t="s">
        <v>63</v>
      </c>
      <c r="F14" s="123"/>
      <c r="G14" s="123"/>
      <c r="H14" s="123">
        <v>2</v>
      </c>
      <c r="I14" s="124">
        <f t="shared" si="0"/>
        <v>0.35714285714285715</v>
      </c>
      <c r="J14" s="125">
        <f t="shared" si="1"/>
        <v>0</v>
      </c>
    </row>
    <row r="15" spans="1:10" ht="32.25" customHeight="1">
      <c r="A15" s="52">
        <v>11</v>
      </c>
      <c r="B15" s="122" t="s">
        <v>134</v>
      </c>
      <c r="C15" s="122"/>
      <c r="D15" s="122"/>
      <c r="E15" s="123" t="s">
        <v>63</v>
      </c>
      <c r="F15" s="123"/>
      <c r="G15" s="123"/>
      <c r="H15" s="123">
        <v>6</v>
      </c>
      <c r="I15" s="124">
        <f t="shared" si="0"/>
        <v>1.0714285714285714</v>
      </c>
      <c r="J15" s="125">
        <f t="shared" si="1"/>
        <v>0</v>
      </c>
    </row>
    <row r="16" spans="1:10" ht="61.5" customHeight="1">
      <c r="A16" s="52">
        <v>12</v>
      </c>
      <c r="B16" s="122" t="s">
        <v>135</v>
      </c>
      <c r="C16" s="122"/>
      <c r="D16" s="122"/>
      <c r="E16" s="123" t="s">
        <v>63</v>
      </c>
      <c r="F16" s="123"/>
      <c r="G16" s="123"/>
      <c r="H16" s="123">
        <v>6</v>
      </c>
      <c r="I16" s="124">
        <f t="shared" si="0"/>
        <v>1.0714285714285714</v>
      </c>
      <c r="J16" s="125">
        <f t="shared" si="1"/>
        <v>0</v>
      </c>
    </row>
    <row r="17" spans="1:10" ht="15" customHeight="1">
      <c r="A17" s="83" t="s">
        <v>71</v>
      </c>
      <c r="B17" s="83"/>
      <c r="C17" s="83"/>
      <c r="D17" s="83"/>
      <c r="E17" s="83"/>
      <c r="F17" s="83"/>
      <c r="G17" s="83"/>
      <c r="H17" s="83"/>
      <c r="I17" s="28">
        <f>SUM(I5:I16)</f>
        <v>9.9999999999999982</v>
      </c>
      <c r="J17" s="19">
        <f>SUM(J5:J16)</f>
        <v>3.9285714285714288</v>
      </c>
    </row>
  </sheetData>
  <mergeCells count="20">
    <mergeCell ref="A17:H17"/>
    <mergeCell ref="B10:D10"/>
    <mergeCell ref="A3:B3"/>
    <mergeCell ref="B4:D4"/>
    <mergeCell ref="B5:D5"/>
    <mergeCell ref="B6:D6"/>
    <mergeCell ref="B7:D7"/>
    <mergeCell ref="B8:D8"/>
    <mergeCell ref="B9:D9"/>
    <mergeCell ref="E3:J3"/>
    <mergeCell ref="B11:D11"/>
    <mergeCell ref="B12:D12"/>
    <mergeCell ref="B13:D13"/>
    <mergeCell ref="B14:D14"/>
    <mergeCell ref="B15:D15"/>
    <mergeCell ref="A1:B1"/>
    <mergeCell ref="A2:B2"/>
    <mergeCell ref="C1:J1"/>
    <mergeCell ref="C2:J2"/>
    <mergeCell ref="B16:D16"/>
  </mergeCell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B9068-99F2-45CB-A557-5033C003BBF5}">
  <sheetPr>
    <tabColor rgb="FF002060"/>
  </sheetPr>
  <dimension ref="A1:J13"/>
  <sheetViews>
    <sheetView workbookViewId="0">
      <selection activeCell="B6" sqref="A1:J13"/>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50</v>
      </c>
      <c r="D2" s="74"/>
      <c r="E2" s="74"/>
      <c r="F2" s="74"/>
      <c r="G2" s="74"/>
      <c r="H2" s="74"/>
      <c r="I2" s="74"/>
      <c r="J2" s="75"/>
    </row>
    <row r="3" spans="1:10" ht="45">
      <c r="A3" s="70" t="s">
        <v>81</v>
      </c>
      <c r="B3" s="70"/>
      <c r="C3" s="18" t="s">
        <v>93</v>
      </c>
      <c r="D3" s="55" t="s">
        <v>136</v>
      </c>
      <c r="E3" s="122" t="s">
        <v>137</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7.25" customHeight="1">
      <c r="A5" s="52">
        <v>1</v>
      </c>
      <c r="B5" s="122" t="s">
        <v>138</v>
      </c>
      <c r="C5" s="122"/>
      <c r="D5" s="122"/>
      <c r="E5" s="123"/>
      <c r="F5" s="123" t="s">
        <v>63</v>
      </c>
      <c r="G5" s="123"/>
      <c r="H5" s="123">
        <v>6</v>
      </c>
      <c r="I5" s="124">
        <f>(H5*10)/SUM($H$5:$H$12)</f>
        <v>1.25</v>
      </c>
      <c r="J5" s="125">
        <f>IF(F5="X",((H5*10)/SUM($H$5:$H$12)),0)</f>
        <v>1.25</v>
      </c>
    </row>
    <row r="6" spans="1:10" ht="47.25" customHeight="1">
      <c r="A6" s="52">
        <v>2</v>
      </c>
      <c r="B6" s="122" t="s">
        <v>139</v>
      </c>
      <c r="C6" s="122"/>
      <c r="D6" s="122"/>
      <c r="E6" s="123"/>
      <c r="F6" s="123" t="s">
        <v>63</v>
      </c>
      <c r="G6" s="123"/>
      <c r="H6" s="123">
        <v>6</v>
      </c>
      <c r="I6" s="124">
        <f t="shared" ref="I6:I12" si="0">(H6*10)/SUM($H$5:$H$12)</f>
        <v>1.25</v>
      </c>
      <c r="J6" s="125">
        <f t="shared" ref="J6:J12" si="1">IF(F6="X",((H6*10)/SUM($H$5:$H$12)),0)</f>
        <v>1.25</v>
      </c>
    </row>
    <row r="7" spans="1:10" ht="63" customHeight="1">
      <c r="A7" s="52">
        <v>3</v>
      </c>
      <c r="B7" s="122" t="s">
        <v>140</v>
      </c>
      <c r="C7" s="122"/>
      <c r="D7" s="122"/>
      <c r="E7" s="123"/>
      <c r="F7" s="123" t="s">
        <v>63</v>
      </c>
      <c r="G7" s="123"/>
      <c r="H7" s="123">
        <v>6</v>
      </c>
      <c r="I7" s="124">
        <f t="shared" si="0"/>
        <v>1.25</v>
      </c>
      <c r="J7" s="125">
        <f t="shared" si="1"/>
        <v>1.25</v>
      </c>
    </row>
    <row r="8" spans="1:10" ht="31.5" customHeight="1">
      <c r="A8" s="52">
        <v>4</v>
      </c>
      <c r="B8" s="122" t="s">
        <v>141</v>
      </c>
      <c r="C8" s="122"/>
      <c r="D8" s="122"/>
      <c r="E8" s="123" t="s">
        <v>63</v>
      </c>
      <c r="F8" s="123"/>
      <c r="G8" s="123"/>
      <c r="H8" s="123">
        <v>2</v>
      </c>
      <c r="I8" s="124">
        <f t="shared" si="0"/>
        <v>0.41666666666666669</v>
      </c>
      <c r="J8" s="125">
        <f t="shared" si="1"/>
        <v>0</v>
      </c>
    </row>
    <row r="9" spans="1:10" ht="31.5" customHeight="1">
      <c r="A9" s="52">
        <v>5</v>
      </c>
      <c r="B9" s="122" t="s">
        <v>142</v>
      </c>
      <c r="C9" s="122"/>
      <c r="D9" s="122"/>
      <c r="E9" s="123"/>
      <c r="F9" s="123" t="s">
        <v>63</v>
      </c>
      <c r="G9" s="123"/>
      <c r="H9" s="123">
        <v>10</v>
      </c>
      <c r="I9" s="124">
        <f t="shared" si="0"/>
        <v>2.0833333333333335</v>
      </c>
      <c r="J9" s="125">
        <f t="shared" si="1"/>
        <v>2.0833333333333335</v>
      </c>
    </row>
    <row r="10" spans="1:10" ht="48.75" customHeight="1">
      <c r="A10" s="52">
        <v>6</v>
      </c>
      <c r="B10" s="122" t="s">
        <v>143</v>
      </c>
      <c r="C10" s="122"/>
      <c r="D10" s="122"/>
      <c r="E10" s="123" t="s">
        <v>63</v>
      </c>
      <c r="F10" s="123"/>
      <c r="G10" s="123"/>
      <c r="H10" s="123">
        <v>10</v>
      </c>
      <c r="I10" s="124">
        <f t="shared" si="0"/>
        <v>2.0833333333333335</v>
      </c>
      <c r="J10" s="125">
        <f t="shared" si="1"/>
        <v>0</v>
      </c>
    </row>
    <row r="11" spans="1:10" ht="47.25" customHeight="1">
      <c r="A11" s="52">
        <v>7</v>
      </c>
      <c r="B11" s="122" t="s">
        <v>144</v>
      </c>
      <c r="C11" s="122"/>
      <c r="D11" s="122"/>
      <c r="E11" s="123" t="s">
        <v>63</v>
      </c>
      <c r="F11" s="123"/>
      <c r="G11" s="123"/>
      <c r="H11" s="123">
        <v>6</v>
      </c>
      <c r="I11" s="124">
        <f t="shared" si="0"/>
        <v>1.25</v>
      </c>
      <c r="J11" s="125">
        <f t="shared" si="1"/>
        <v>0</v>
      </c>
    </row>
    <row r="12" spans="1:10" ht="44.25" customHeight="1">
      <c r="A12" s="52">
        <v>8</v>
      </c>
      <c r="B12" s="122" t="s">
        <v>145</v>
      </c>
      <c r="C12" s="122"/>
      <c r="D12" s="122"/>
      <c r="E12" s="123" t="s">
        <v>63</v>
      </c>
      <c r="F12" s="123"/>
      <c r="G12" s="123"/>
      <c r="H12" s="123">
        <v>2</v>
      </c>
      <c r="I12" s="124">
        <f t="shared" si="0"/>
        <v>0.41666666666666669</v>
      </c>
      <c r="J12" s="125">
        <f t="shared" si="1"/>
        <v>0</v>
      </c>
    </row>
    <row r="13" spans="1:10" ht="15" customHeight="1">
      <c r="A13" s="83" t="s">
        <v>71</v>
      </c>
      <c r="B13" s="83"/>
      <c r="C13" s="83"/>
      <c r="D13" s="83"/>
      <c r="E13" s="83"/>
      <c r="F13" s="83"/>
      <c r="G13" s="83"/>
      <c r="H13" s="83"/>
      <c r="I13" s="28">
        <f>SUM(I5:I12)</f>
        <v>10</v>
      </c>
      <c r="J13" s="19">
        <f>SUM(J5:J12)</f>
        <v>5.8333333333333339</v>
      </c>
    </row>
  </sheetData>
  <mergeCells count="16">
    <mergeCell ref="A13:H13"/>
    <mergeCell ref="A3:B3"/>
    <mergeCell ref="B4:D4"/>
    <mergeCell ref="B11:D11"/>
    <mergeCell ref="B12:D12"/>
    <mergeCell ref="E3:J3"/>
    <mergeCell ref="B5:D5"/>
    <mergeCell ref="B6:D6"/>
    <mergeCell ref="B7:D7"/>
    <mergeCell ref="B8:D8"/>
    <mergeCell ref="B9:D9"/>
    <mergeCell ref="A1:B1"/>
    <mergeCell ref="A2:B2"/>
    <mergeCell ref="C1:J1"/>
    <mergeCell ref="C2:J2"/>
    <mergeCell ref="B10:D10"/>
  </mergeCell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C3E9E-6AFA-4EE2-A69D-37A7703B43A2}">
  <sheetPr>
    <tabColor rgb="FF002060"/>
  </sheetPr>
  <dimension ref="A1:J17"/>
  <sheetViews>
    <sheetView workbookViewId="0">
      <selection activeCell="B5" sqref="A1:J17"/>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50</v>
      </c>
      <c r="D2" s="74"/>
      <c r="E2" s="74"/>
      <c r="F2" s="74"/>
      <c r="G2" s="74"/>
      <c r="H2" s="74"/>
      <c r="I2" s="74"/>
      <c r="J2" s="75"/>
    </row>
    <row r="3" spans="1:10" ht="45">
      <c r="A3" s="70" t="s">
        <v>81</v>
      </c>
      <c r="B3" s="70"/>
      <c r="C3" s="18" t="s">
        <v>93</v>
      </c>
      <c r="D3" s="55" t="s">
        <v>146</v>
      </c>
      <c r="E3" s="122" t="s">
        <v>147</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7.25" customHeight="1">
      <c r="A5" s="52">
        <v>1</v>
      </c>
      <c r="B5" s="122" t="s">
        <v>148</v>
      </c>
      <c r="C5" s="122"/>
      <c r="D5" s="122"/>
      <c r="E5" s="123"/>
      <c r="F5" s="123" t="s">
        <v>63</v>
      </c>
      <c r="G5" s="123"/>
      <c r="H5" s="123">
        <v>10</v>
      </c>
      <c r="I5" s="124">
        <f>(H5*10)/SUM($H$5:$H$16)</f>
        <v>1.6666666666666667</v>
      </c>
      <c r="J5" s="125">
        <f>IF(F5="X",((H5*10)/SUM($H$5:$H$16)),0)</f>
        <v>1.6666666666666667</v>
      </c>
    </row>
    <row r="6" spans="1:10" ht="63" customHeight="1">
      <c r="A6" s="52">
        <v>2</v>
      </c>
      <c r="B6" s="122" t="s">
        <v>149</v>
      </c>
      <c r="C6" s="122"/>
      <c r="D6" s="122"/>
      <c r="E6" s="123"/>
      <c r="F6" s="123" t="s">
        <v>63</v>
      </c>
      <c r="G6" s="123"/>
      <c r="H6" s="123">
        <v>10</v>
      </c>
      <c r="I6" s="124">
        <f t="shared" ref="I6:I16" si="0">(H6*10)/SUM($H$5:$H$16)</f>
        <v>1.6666666666666667</v>
      </c>
      <c r="J6" s="125">
        <f t="shared" ref="J6:J16" si="1">IF(F6="X",((H6*10)/SUM($H$5:$H$16)),0)</f>
        <v>1.6666666666666667</v>
      </c>
    </row>
    <row r="7" spans="1:10" ht="31.5" customHeight="1">
      <c r="A7" s="52">
        <v>3</v>
      </c>
      <c r="B7" s="122" t="s">
        <v>150</v>
      </c>
      <c r="C7" s="122"/>
      <c r="D7" s="122"/>
      <c r="E7" s="123" t="s">
        <v>63</v>
      </c>
      <c r="F7" s="123"/>
      <c r="G7" s="123"/>
      <c r="H7" s="123">
        <v>6</v>
      </c>
      <c r="I7" s="124">
        <f t="shared" si="0"/>
        <v>1</v>
      </c>
      <c r="J7" s="125">
        <f t="shared" si="1"/>
        <v>0</v>
      </c>
    </row>
    <row r="8" spans="1:10" ht="59.25" customHeight="1">
      <c r="A8" s="52">
        <v>4</v>
      </c>
      <c r="B8" s="122" t="s">
        <v>151</v>
      </c>
      <c r="C8" s="122"/>
      <c r="D8" s="122"/>
      <c r="E8" s="123"/>
      <c r="F8" s="123" t="s">
        <v>63</v>
      </c>
      <c r="G8" s="123"/>
      <c r="H8" s="123">
        <v>6</v>
      </c>
      <c r="I8" s="124">
        <f t="shared" si="0"/>
        <v>1</v>
      </c>
      <c r="J8" s="125">
        <f t="shared" si="1"/>
        <v>1</v>
      </c>
    </row>
    <row r="9" spans="1:10" ht="91.5" customHeight="1">
      <c r="A9" s="52">
        <v>5</v>
      </c>
      <c r="B9" s="122" t="s">
        <v>152</v>
      </c>
      <c r="C9" s="122"/>
      <c r="D9" s="122"/>
      <c r="E9" s="123" t="s">
        <v>63</v>
      </c>
      <c r="F9" s="123"/>
      <c r="G9" s="123"/>
      <c r="H9" s="123">
        <v>6</v>
      </c>
      <c r="I9" s="124">
        <f t="shared" si="0"/>
        <v>1</v>
      </c>
      <c r="J9" s="125">
        <f t="shared" si="1"/>
        <v>0</v>
      </c>
    </row>
    <row r="10" spans="1:10" ht="47.25" customHeight="1">
      <c r="A10" s="52">
        <v>6</v>
      </c>
      <c r="B10" s="122" t="s">
        <v>153</v>
      </c>
      <c r="C10" s="122"/>
      <c r="D10" s="122"/>
      <c r="E10" s="123"/>
      <c r="F10" s="123" t="s">
        <v>63</v>
      </c>
      <c r="G10" s="123"/>
      <c r="H10" s="123">
        <v>6</v>
      </c>
      <c r="I10" s="124">
        <f t="shared" si="0"/>
        <v>1</v>
      </c>
      <c r="J10" s="125">
        <f t="shared" si="1"/>
        <v>1</v>
      </c>
    </row>
    <row r="11" spans="1:10" ht="47.25" customHeight="1">
      <c r="A11" s="52">
        <v>7</v>
      </c>
      <c r="B11" s="122" t="s">
        <v>154</v>
      </c>
      <c r="C11" s="122"/>
      <c r="D11" s="122"/>
      <c r="E11" s="123"/>
      <c r="F11" s="123" t="s">
        <v>63</v>
      </c>
      <c r="G11" s="123"/>
      <c r="H11" s="123">
        <v>2</v>
      </c>
      <c r="I11" s="124">
        <f t="shared" si="0"/>
        <v>0.33333333333333331</v>
      </c>
      <c r="J11" s="125">
        <f t="shared" si="1"/>
        <v>0.33333333333333331</v>
      </c>
    </row>
    <row r="12" spans="1:10" ht="59.25" customHeight="1">
      <c r="A12" s="52">
        <v>8</v>
      </c>
      <c r="B12" s="122" t="s">
        <v>155</v>
      </c>
      <c r="C12" s="122"/>
      <c r="D12" s="122"/>
      <c r="E12" s="123"/>
      <c r="F12" s="123"/>
      <c r="G12" s="123" t="s">
        <v>63</v>
      </c>
      <c r="H12" s="123">
        <v>2</v>
      </c>
      <c r="I12" s="124">
        <f t="shared" si="0"/>
        <v>0.33333333333333331</v>
      </c>
      <c r="J12" s="125">
        <f t="shared" si="1"/>
        <v>0</v>
      </c>
    </row>
    <row r="13" spans="1:10" ht="63" customHeight="1">
      <c r="A13" s="52">
        <v>9</v>
      </c>
      <c r="B13" s="122" t="s">
        <v>156</v>
      </c>
      <c r="C13" s="122"/>
      <c r="D13" s="122"/>
      <c r="E13" s="123"/>
      <c r="F13" s="123" t="s">
        <v>63</v>
      </c>
      <c r="G13" s="123"/>
      <c r="H13" s="123">
        <v>6</v>
      </c>
      <c r="I13" s="124">
        <f t="shared" si="0"/>
        <v>1</v>
      </c>
      <c r="J13" s="125">
        <f t="shared" si="1"/>
        <v>1</v>
      </c>
    </row>
    <row r="14" spans="1:10" ht="47.25" customHeight="1">
      <c r="A14" s="52">
        <v>10</v>
      </c>
      <c r="B14" s="122" t="s">
        <v>157</v>
      </c>
      <c r="C14" s="122"/>
      <c r="D14" s="122"/>
      <c r="E14" s="123"/>
      <c r="F14" s="123"/>
      <c r="G14" s="123" t="s">
        <v>63</v>
      </c>
      <c r="H14" s="123">
        <v>2</v>
      </c>
      <c r="I14" s="124">
        <f t="shared" si="0"/>
        <v>0.33333333333333331</v>
      </c>
      <c r="J14" s="125">
        <f t="shared" si="1"/>
        <v>0</v>
      </c>
    </row>
    <row r="15" spans="1:10" ht="47.25" customHeight="1">
      <c r="A15" s="52">
        <v>11</v>
      </c>
      <c r="B15" s="122" t="s">
        <v>158</v>
      </c>
      <c r="C15" s="122"/>
      <c r="D15" s="122"/>
      <c r="E15" s="123"/>
      <c r="F15" s="123"/>
      <c r="G15" s="123" t="s">
        <v>63</v>
      </c>
      <c r="H15" s="123">
        <v>2</v>
      </c>
      <c r="I15" s="124">
        <f t="shared" si="0"/>
        <v>0.33333333333333331</v>
      </c>
      <c r="J15" s="125">
        <f t="shared" si="1"/>
        <v>0</v>
      </c>
    </row>
    <row r="16" spans="1:10" ht="28.5" customHeight="1">
      <c r="A16" s="52">
        <v>12</v>
      </c>
      <c r="B16" s="122" t="s">
        <v>159</v>
      </c>
      <c r="C16" s="122"/>
      <c r="D16" s="122"/>
      <c r="E16" s="123"/>
      <c r="F16" s="123"/>
      <c r="G16" s="123" t="s">
        <v>63</v>
      </c>
      <c r="H16" s="123">
        <v>2</v>
      </c>
      <c r="I16" s="124">
        <f t="shared" si="0"/>
        <v>0.33333333333333331</v>
      </c>
      <c r="J16" s="125">
        <f t="shared" si="1"/>
        <v>0</v>
      </c>
    </row>
    <row r="17" spans="1:10" ht="15" customHeight="1">
      <c r="A17" s="83" t="s">
        <v>71</v>
      </c>
      <c r="B17" s="83"/>
      <c r="C17" s="83"/>
      <c r="D17" s="83"/>
      <c r="E17" s="83"/>
      <c r="F17" s="83"/>
      <c r="G17" s="83"/>
      <c r="H17" s="83"/>
      <c r="I17" s="28">
        <f>SUM(I5:I16)</f>
        <v>10.000000000000002</v>
      </c>
      <c r="J17" s="19">
        <f>SUM(J5:J16)</f>
        <v>6.666666666666667</v>
      </c>
    </row>
  </sheetData>
  <mergeCells count="20">
    <mergeCell ref="A17:H17"/>
    <mergeCell ref="B10:D10"/>
    <mergeCell ref="A3:B3"/>
    <mergeCell ref="B4:D4"/>
    <mergeCell ref="B5:D5"/>
    <mergeCell ref="B6:D6"/>
    <mergeCell ref="B7:D7"/>
    <mergeCell ref="B8:D8"/>
    <mergeCell ref="B9:D9"/>
    <mergeCell ref="E3:J3"/>
    <mergeCell ref="B11:D11"/>
    <mergeCell ref="B12:D12"/>
    <mergeCell ref="B13:D13"/>
    <mergeCell ref="B14:D14"/>
    <mergeCell ref="B15:D15"/>
    <mergeCell ref="A1:B1"/>
    <mergeCell ref="A2:B2"/>
    <mergeCell ref="C1:J1"/>
    <mergeCell ref="C2:J2"/>
    <mergeCell ref="B16:D16"/>
  </mergeCell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31786-42BE-450D-A6B5-D45727FC75F2}">
  <sheetPr>
    <tabColor rgb="FF002060"/>
  </sheetPr>
  <dimension ref="A1:J15"/>
  <sheetViews>
    <sheetView workbookViewId="0">
      <selection activeCell="B5" sqref="A1:J15"/>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50</v>
      </c>
      <c r="D2" s="74"/>
      <c r="E2" s="74"/>
      <c r="F2" s="74"/>
      <c r="G2" s="74"/>
      <c r="H2" s="74"/>
      <c r="I2" s="74"/>
      <c r="J2" s="75"/>
    </row>
    <row r="3" spans="1:10" ht="92.25" customHeight="1">
      <c r="A3" s="70" t="s">
        <v>81</v>
      </c>
      <c r="B3" s="70"/>
      <c r="C3" s="18" t="s">
        <v>93</v>
      </c>
      <c r="D3" s="55" t="s">
        <v>176</v>
      </c>
      <c r="E3" s="122" t="s">
        <v>318</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7.25" customHeight="1">
      <c r="A5" s="52">
        <v>1</v>
      </c>
      <c r="B5" s="122" t="s">
        <v>178</v>
      </c>
      <c r="C5" s="122"/>
      <c r="D5" s="122"/>
      <c r="E5" s="123"/>
      <c r="F5" s="123" t="s">
        <v>63</v>
      </c>
      <c r="G5" s="123"/>
      <c r="H5" s="123">
        <v>10</v>
      </c>
      <c r="I5" s="124">
        <f>(H5*10)/SUM($H$5:$H$14)</f>
        <v>1.9230769230769231</v>
      </c>
      <c r="J5" s="125">
        <f>IF(F5="X",((H5*10)/SUM($H$5:$H$14)),0)</f>
        <v>1.9230769230769231</v>
      </c>
    </row>
    <row r="6" spans="1:10" ht="33" customHeight="1">
      <c r="A6" s="52">
        <v>2</v>
      </c>
      <c r="B6" s="122" t="s">
        <v>179</v>
      </c>
      <c r="C6" s="122"/>
      <c r="D6" s="122"/>
      <c r="E6" s="123"/>
      <c r="F6" s="123" t="s">
        <v>63</v>
      </c>
      <c r="G6" s="123"/>
      <c r="H6" s="123">
        <v>6</v>
      </c>
      <c r="I6" s="124">
        <f t="shared" ref="I6:I14" si="0">(H6*10)/SUM($H$5:$H$14)</f>
        <v>1.1538461538461537</v>
      </c>
      <c r="J6" s="125">
        <f t="shared" ref="J6:J14" si="1">IF(F6="X",((H6*10)/SUM($H$5:$H$14)),0)</f>
        <v>1.1538461538461537</v>
      </c>
    </row>
    <row r="7" spans="1:10" ht="35.25" customHeight="1">
      <c r="A7" s="52">
        <v>3</v>
      </c>
      <c r="B7" s="122" t="s">
        <v>180</v>
      </c>
      <c r="C7" s="122"/>
      <c r="D7" s="122"/>
      <c r="E7" s="123" t="s">
        <v>63</v>
      </c>
      <c r="F7" s="123"/>
      <c r="G7" s="123"/>
      <c r="H7" s="123">
        <v>6</v>
      </c>
      <c r="I7" s="124">
        <f t="shared" si="0"/>
        <v>1.1538461538461537</v>
      </c>
      <c r="J7" s="125">
        <f t="shared" si="1"/>
        <v>0</v>
      </c>
    </row>
    <row r="8" spans="1:10" ht="31.5" customHeight="1">
      <c r="A8" s="52">
        <v>4</v>
      </c>
      <c r="B8" s="122" t="s">
        <v>181</v>
      </c>
      <c r="C8" s="122"/>
      <c r="D8" s="122"/>
      <c r="E8" s="123" t="s">
        <v>63</v>
      </c>
      <c r="F8" s="123"/>
      <c r="G8" s="123"/>
      <c r="H8" s="123">
        <v>10</v>
      </c>
      <c r="I8" s="124">
        <f t="shared" si="0"/>
        <v>1.9230769230769231</v>
      </c>
      <c r="J8" s="125">
        <f t="shared" si="1"/>
        <v>0</v>
      </c>
    </row>
    <row r="9" spans="1:10" ht="31.5" customHeight="1">
      <c r="A9" s="52">
        <v>5</v>
      </c>
      <c r="B9" s="122" t="s">
        <v>182</v>
      </c>
      <c r="C9" s="122"/>
      <c r="D9" s="122"/>
      <c r="E9" s="123" t="s">
        <v>63</v>
      </c>
      <c r="F9" s="123"/>
      <c r="G9" s="123"/>
      <c r="H9" s="123">
        <v>2</v>
      </c>
      <c r="I9" s="124">
        <f t="shared" si="0"/>
        <v>0.38461538461538464</v>
      </c>
      <c r="J9" s="125">
        <f t="shared" si="1"/>
        <v>0</v>
      </c>
    </row>
    <row r="10" spans="1:10" ht="58.5" customHeight="1">
      <c r="A10" s="52">
        <v>6</v>
      </c>
      <c r="B10" s="122" t="s">
        <v>183</v>
      </c>
      <c r="C10" s="122"/>
      <c r="D10" s="122"/>
      <c r="E10" s="123" t="s">
        <v>63</v>
      </c>
      <c r="F10" s="123"/>
      <c r="G10" s="123"/>
      <c r="H10" s="123">
        <v>6</v>
      </c>
      <c r="I10" s="124">
        <f t="shared" si="0"/>
        <v>1.1538461538461537</v>
      </c>
      <c r="J10" s="125">
        <f t="shared" si="1"/>
        <v>0</v>
      </c>
    </row>
    <row r="11" spans="1:10" ht="31.5" customHeight="1">
      <c r="A11" s="52">
        <v>7</v>
      </c>
      <c r="B11" s="122" t="s">
        <v>184</v>
      </c>
      <c r="C11" s="122"/>
      <c r="D11" s="122"/>
      <c r="E11" s="123" t="s">
        <v>63</v>
      </c>
      <c r="F11" s="123"/>
      <c r="G11" s="123"/>
      <c r="H11" s="123">
        <v>2</v>
      </c>
      <c r="I11" s="124">
        <f t="shared" si="0"/>
        <v>0.38461538461538464</v>
      </c>
      <c r="J11" s="125">
        <f t="shared" si="1"/>
        <v>0</v>
      </c>
    </row>
    <row r="12" spans="1:10" ht="43.5" customHeight="1">
      <c r="A12" s="52">
        <v>8</v>
      </c>
      <c r="B12" s="122" t="s">
        <v>185</v>
      </c>
      <c r="C12" s="122"/>
      <c r="D12" s="122"/>
      <c r="E12" s="123" t="s">
        <v>63</v>
      </c>
      <c r="F12" s="123"/>
      <c r="G12" s="123"/>
      <c r="H12" s="123">
        <v>2</v>
      </c>
      <c r="I12" s="124">
        <f t="shared" si="0"/>
        <v>0.38461538461538464</v>
      </c>
      <c r="J12" s="125">
        <f t="shared" si="1"/>
        <v>0</v>
      </c>
    </row>
    <row r="13" spans="1:10" ht="31.5" customHeight="1">
      <c r="A13" s="52">
        <v>9</v>
      </c>
      <c r="B13" s="122" t="s">
        <v>186</v>
      </c>
      <c r="C13" s="122"/>
      <c r="D13" s="122"/>
      <c r="E13" s="123" t="s">
        <v>63</v>
      </c>
      <c r="F13" s="123"/>
      <c r="G13" s="123"/>
      <c r="H13" s="123">
        <v>2</v>
      </c>
      <c r="I13" s="124">
        <f t="shared" si="0"/>
        <v>0.38461538461538464</v>
      </c>
      <c r="J13" s="125">
        <f t="shared" si="1"/>
        <v>0</v>
      </c>
    </row>
    <row r="14" spans="1:10" ht="45.75" customHeight="1">
      <c r="A14" s="52">
        <v>10</v>
      </c>
      <c r="B14" s="122" t="s">
        <v>187</v>
      </c>
      <c r="C14" s="122"/>
      <c r="D14" s="122"/>
      <c r="E14" s="123" t="s">
        <v>63</v>
      </c>
      <c r="F14" s="123"/>
      <c r="G14" s="123"/>
      <c r="H14" s="123">
        <v>6</v>
      </c>
      <c r="I14" s="124">
        <f t="shared" si="0"/>
        <v>1.1538461538461537</v>
      </c>
      <c r="J14" s="125">
        <f t="shared" si="1"/>
        <v>0</v>
      </c>
    </row>
    <row r="15" spans="1:10" ht="15" customHeight="1">
      <c r="A15" s="83" t="s">
        <v>71</v>
      </c>
      <c r="B15" s="83"/>
      <c r="C15" s="83"/>
      <c r="D15" s="83"/>
      <c r="E15" s="83"/>
      <c r="F15" s="83"/>
      <c r="G15" s="83"/>
      <c r="H15" s="83"/>
      <c r="I15" s="28">
        <f>SUM(I5:I14)</f>
        <v>10</v>
      </c>
      <c r="J15" s="19">
        <f>SUM(J5:J14)</f>
        <v>3.0769230769230766</v>
      </c>
    </row>
  </sheetData>
  <mergeCells count="18">
    <mergeCell ref="B11:D11"/>
    <mergeCell ref="B12:D12"/>
    <mergeCell ref="B13:D13"/>
    <mergeCell ref="B14:D14"/>
    <mergeCell ref="A15:H15"/>
    <mergeCell ref="B10:D10"/>
    <mergeCell ref="A3:B3"/>
    <mergeCell ref="B4:D4"/>
    <mergeCell ref="B5:D5"/>
    <mergeCell ref="B6:D6"/>
    <mergeCell ref="B7:D7"/>
    <mergeCell ref="B8:D8"/>
    <mergeCell ref="B9:D9"/>
    <mergeCell ref="A1:B1"/>
    <mergeCell ref="A2:B2"/>
    <mergeCell ref="C1:J1"/>
    <mergeCell ref="C2:J2"/>
    <mergeCell ref="E3:J3"/>
  </mergeCell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340AB-552B-4C30-A8FB-51CF86890EFD}">
  <sheetPr>
    <tabColor rgb="FF002060"/>
  </sheetPr>
  <dimension ref="A1:J15"/>
  <sheetViews>
    <sheetView workbookViewId="0">
      <selection activeCell="B6" sqref="A1:J15"/>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89" t="s">
        <v>51</v>
      </c>
      <c r="B1" s="89"/>
      <c r="C1" s="90" t="s">
        <v>52</v>
      </c>
      <c r="D1" s="91"/>
      <c r="E1" s="91"/>
      <c r="F1" s="91"/>
      <c r="G1" s="91"/>
      <c r="H1" s="91"/>
      <c r="I1" s="91"/>
      <c r="J1" s="92"/>
    </row>
    <row r="2" spans="1:10" ht="15">
      <c r="A2" s="89" t="s">
        <v>0</v>
      </c>
      <c r="B2" s="89"/>
      <c r="C2" s="90" t="s">
        <v>50</v>
      </c>
      <c r="D2" s="91"/>
      <c r="E2" s="91"/>
      <c r="F2" s="91"/>
      <c r="G2" s="91"/>
      <c r="H2" s="91"/>
      <c r="I2" s="91"/>
      <c r="J2" s="92"/>
    </row>
    <row r="3" spans="1:10" ht="90">
      <c r="A3" s="89" t="s">
        <v>81</v>
      </c>
      <c r="B3" s="89"/>
      <c r="C3" s="17" t="s">
        <v>93</v>
      </c>
      <c r="D3" s="8" t="s">
        <v>188</v>
      </c>
      <c r="E3" s="135" t="s">
        <v>319</v>
      </c>
      <c r="F3" s="136"/>
      <c r="G3" s="136"/>
      <c r="H3" s="136"/>
      <c r="I3" s="136"/>
      <c r="J3" s="137"/>
    </row>
    <row r="4" spans="1:10" ht="60">
      <c r="A4" s="56" t="s">
        <v>55</v>
      </c>
      <c r="B4" s="89" t="s">
        <v>56</v>
      </c>
      <c r="C4" s="89"/>
      <c r="D4" s="89"/>
      <c r="E4" s="56" t="s">
        <v>24</v>
      </c>
      <c r="F4" s="56" t="s">
        <v>57</v>
      </c>
      <c r="G4" s="56" t="s">
        <v>58</v>
      </c>
      <c r="H4" s="56" t="s">
        <v>59</v>
      </c>
      <c r="I4" s="31" t="s">
        <v>60</v>
      </c>
      <c r="J4" s="52" t="s">
        <v>61</v>
      </c>
    </row>
    <row r="5" spans="1:10" ht="47.25" customHeight="1">
      <c r="A5" s="56">
        <v>1</v>
      </c>
      <c r="B5" s="129" t="s">
        <v>190</v>
      </c>
      <c r="C5" s="129"/>
      <c r="D5" s="129"/>
      <c r="E5" s="114"/>
      <c r="F5" s="114" t="s">
        <v>63</v>
      </c>
      <c r="G5" s="114"/>
      <c r="H5" s="114">
        <v>6</v>
      </c>
      <c r="I5" s="130">
        <f>(H5*10)/SUM($H$5:$H$14)</f>
        <v>1.5</v>
      </c>
      <c r="J5" s="125">
        <f>IF(F5="X",((H5*10)/SUM($H$5:$H$14)),0)</f>
        <v>1.5</v>
      </c>
    </row>
    <row r="6" spans="1:10" ht="44.25" customHeight="1">
      <c r="A6" s="56">
        <v>2</v>
      </c>
      <c r="B6" s="129" t="s">
        <v>191</v>
      </c>
      <c r="C6" s="129"/>
      <c r="D6" s="129"/>
      <c r="E6" s="114" t="s">
        <v>63</v>
      </c>
      <c r="F6" s="114"/>
      <c r="G6" s="114"/>
      <c r="H6" s="114">
        <v>6</v>
      </c>
      <c r="I6" s="130">
        <f t="shared" ref="I6:I14" si="0">(H6*10)/SUM($H$5:$H$14)</f>
        <v>1.5</v>
      </c>
      <c r="J6" s="125">
        <f t="shared" ref="J6:J14" si="1">IF(F6="X",((H6*10)/SUM($H$5:$H$14)),0)</f>
        <v>0</v>
      </c>
    </row>
    <row r="7" spans="1:10" ht="43.5" customHeight="1">
      <c r="A7" s="56">
        <v>3</v>
      </c>
      <c r="B7" s="129" t="s">
        <v>192</v>
      </c>
      <c r="C7" s="129"/>
      <c r="D7" s="129"/>
      <c r="E7" s="114" t="s">
        <v>63</v>
      </c>
      <c r="F7" s="114"/>
      <c r="G7" s="114"/>
      <c r="H7" s="114">
        <v>2</v>
      </c>
      <c r="I7" s="130">
        <f t="shared" si="0"/>
        <v>0.5</v>
      </c>
      <c r="J7" s="125">
        <f t="shared" si="1"/>
        <v>0</v>
      </c>
    </row>
    <row r="8" spans="1:10" ht="15">
      <c r="A8" s="56">
        <v>4</v>
      </c>
      <c r="B8" s="129" t="s">
        <v>193</v>
      </c>
      <c r="C8" s="129"/>
      <c r="D8" s="129"/>
      <c r="E8" s="114" t="s">
        <v>63</v>
      </c>
      <c r="F8" s="114"/>
      <c r="G8" s="114"/>
      <c r="H8" s="114">
        <v>2</v>
      </c>
      <c r="I8" s="130">
        <f t="shared" si="0"/>
        <v>0.5</v>
      </c>
      <c r="J8" s="125">
        <f t="shared" si="1"/>
        <v>0</v>
      </c>
    </row>
    <row r="9" spans="1:10" ht="31.5" customHeight="1">
      <c r="A9" s="56">
        <v>5</v>
      </c>
      <c r="B9" s="129" t="s">
        <v>194</v>
      </c>
      <c r="C9" s="129"/>
      <c r="D9" s="129"/>
      <c r="E9" s="114" t="s">
        <v>63</v>
      </c>
      <c r="F9" s="114"/>
      <c r="G9" s="114"/>
      <c r="H9" s="114">
        <v>2</v>
      </c>
      <c r="I9" s="130">
        <f t="shared" si="0"/>
        <v>0.5</v>
      </c>
      <c r="J9" s="125">
        <f t="shared" si="1"/>
        <v>0</v>
      </c>
    </row>
    <row r="10" spans="1:10" ht="42.75" customHeight="1">
      <c r="A10" s="56">
        <v>6</v>
      </c>
      <c r="B10" s="129" t="s">
        <v>195</v>
      </c>
      <c r="C10" s="129"/>
      <c r="D10" s="129"/>
      <c r="E10" s="114"/>
      <c r="F10" s="114" t="s">
        <v>63</v>
      </c>
      <c r="G10" s="114"/>
      <c r="H10" s="114">
        <v>2</v>
      </c>
      <c r="I10" s="130">
        <f t="shared" si="0"/>
        <v>0.5</v>
      </c>
      <c r="J10" s="125">
        <f t="shared" si="1"/>
        <v>0.5</v>
      </c>
    </row>
    <row r="11" spans="1:10" ht="29.25" customHeight="1">
      <c r="A11" s="56">
        <v>7</v>
      </c>
      <c r="B11" s="129" t="s">
        <v>196</v>
      </c>
      <c r="C11" s="129"/>
      <c r="D11" s="129"/>
      <c r="E11" s="114" t="s">
        <v>63</v>
      </c>
      <c r="F11" s="114"/>
      <c r="G11" s="114"/>
      <c r="H11" s="114">
        <v>6</v>
      </c>
      <c r="I11" s="130">
        <f t="shared" si="0"/>
        <v>1.5</v>
      </c>
      <c r="J11" s="125">
        <f t="shared" si="1"/>
        <v>0</v>
      </c>
    </row>
    <row r="12" spans="1:10" ht="44.25" customHeight="1">
      <c r="A12" s="56">
        <v>8</v>
      </c>
      <c r="B12" s="129" t="s">
        <v>197</v>
      </c>
      <c r="C12" s="129"/>
      <c r="D12" s="129"/>
      <c r="E12" s="114" t="s">
        <v>63</v>
      </c>
      <c r="F12" s="114"/>
      <c r="G12" s="114"/>
      <c r="H12" s="114">
        <v>6</v>
      </c>
      <c r="I12" s="130">
        <f t="shared" si="0"/>
        <v>1.5</v>
      </c>
      <c r="J12" s="125">
        <f t="shared" si="1"/>
        <v>0</v>
      </c>
    </row>
    <row r="13" spans="1:10" ht="31.5" customHeight="1">
      <c r="A13" s="56">
        <v>9</v>
      </c>
      <c r="B13" s="129" t="s">
        <v>198</v>
      </c>
      <c r="C13" s="129"/>
      <c r="D13" s="129"/>
      <c r="E13" s="114" t="s">
        <v>63</v>
      </c>
      <c r="F13" s="114"/>
      <c r="G13" s="114"/>
      <c r="H13" s="114">
        <v>2</v>
      </c>
      <c r="I13" s="130">
        <f t="shared" si="0"/>
        <v>0.5</v>
      </c>
      <c r="J13" s="125">
        <f t="shared" si="1"/>
        <v>0</v>
      </c>
    </row>
    <row r="14" spans="1:10" ht="60" customHeight="1">
      <c r="A14" s="56">
        <v>10</v>
      </c>
      <c r="B14" s="129" t="s">
        <v>199</v>
      </c>
      <c r="C14" s="129"/>
      <c r="D14" s="129"/>
      <c r="E14" s="114" t="s">
        <v>63</v>
      </c>
      <c r="F14" s="114"/>
      <c r="G14" s="114"/>
      <c r="H14" s="114">
        <v>6</v>
      </c>
      <c r="I14" s="130">
        <f t="shared" si="0"/>
        <v>1.5</v>
      </c>
      <c r="J14" s="125">
        <f t="shared" si="1"/>
        <v>0</v>
      </c>
    </row>
    <row r="15" spans="1:10" ht="15" customHeight="1">
      <c r="A15" s="93" t="s">
        <v>71</v>
      </c>
      <c r="B15" s="93"/>
      <c r="C15" s="93"/>
      <c r="D15" s="93"/>
      <c r="E15" s="93"/>
      <c r="F15" s="93"/>
      <c r="G15" s="93"/>
      <c r="H15" s="93"/>
      <c r="I15" s="32">
        <f>SUM(I5:I14)</f>
        <v>10</v>
      </c>
      <c r="J15" s="15">
        <f>SUM(J5:J14)</f>
        <v>2</v>
      </c>
    </row>
  </sheetData>
  <mergeCells count="18">
    <mergeCell ref="B11:D11"/>
    <mergeCell ref="B12:D12"/>
    <mergeCell ref="B13:D13"/>
    <mergeCell ref="B14:D14"/>
    <mergeCell ref="A15:H15"/>
    <mergeCell ref="B10:D10"/>
    <mergeCell ref="A3:B3"/>
    <mergeCell ref="B4:D4"/>
    <mergeCell ref="B5:D5"/>
    <mergeCell ref="B6:D6"/>
    <mergeCell ref="B7:D7"/>
    <mergeCell ref="B8:D8"/>
    <mergeCell ref="B9:D9"/>
    <mergeCell ref="A1:B1"/>
    <mergeCell ref="A2:B2"/>
    <mergeCell ref="C1:J1"/>
    <mergeCell ref="C2:J2"/>
    <mergeCell ref="E3:J3"/>
  </mergeCell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AD235-1CDB-420B-831D-48AC08F9660B}">
  <sheetPr>
    <tabColor rgb="FF002060"/>
  </sheetPr>
  <dimension ref="A1:J20"/>
  <sheetViews>
    <sheetView workbookViewId="0">
      <selection activeCell="B7" sqref="A1:J20"/>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9" width="12" style="21" customWidth="1"/>
    <col min="10" max="10" width="12" style="21" bestFit="1" customWidth="1"/>
    <col min="11" max="16384" width="11.42578125" style="21"/>
  </cols>
  <sheetData>
    <row r="1" spans="1:10" ht="15">
      <c r="A1" s="70" t="s">
        <v>51</v>
      </c>
      <c r="B1" s="70"/>
      <c r="C1" s="73" t="s">
        <v>52</v>
      </c>
      <c r="D1" s="74"/>
      <c r="E1" s="74"/>
      <c r="F1" s="74"/>
      <c r="G1" s="74"/>
      <c r="H1" s="74"/>
      <c r="I1" s="74"/>
      <c r="J1" s="75"/>
    </row>
    <row r="2" spans="1:10" ht="15">
      <c r="A2" s="70" t="s">
        <v>0</v>
      </c>
      <c r="B2" s="70"/>
      <c r="C2" s="73" t="s">
        <v>50</v>
      </c>
      <c r="D2" s="74"/>
      <c r="E2" s="74"/>
      <c r="F2" s="74"/>
      <c r="G2" s="74"/>
      <c r="H2" s="74"/>
      <c r="I2" s="74"/>
      <c r="J2" s="75"/>
    </row>
    <row r="3" spans="1:10" ht="30">
      <c r="A3" s="70" t="s">
        <v>81</v>
      </c>
      <c r="B3" s="70"/>
      <c r="C3" s="18" t="s">
        <v>200</v>
      </c>
      <c r="D3" s="55" t="s">
        <v>201</v>
      </c>
      <c r="E3" s="122" t="s">
        <v>202</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7.25" customHeight="1">
      <c r="A5" s="52">
        <v>1</v>
      </c>
      <c r="B5" s="122" t="s">
        <v>203</v>
      </c>
      <c r="C5" s="122"/>
      <c r="D5" s="122"/>
      <c r="E5" s="123"/>
      <c r="F5" s="123" t="s">
        <v>63</v>
      </c>
      <c r="G5" s="123"/>
      <c r="H5" s="123">
        <v>10</v>
      </c>
      <c r="I5" s="124">
        <f>(H5*10)/SUM($H$5:$H$19)</f>
        <v>1.3513513513513513</v>
      </c>
      <c r="J5" s="125">
        <f>IF(F5="X",((H5*10)/SUM($H$5:$H$19)),0)</f>
        <v>1.3513513513513513</v>
      </c>
    </row>
    <row r="6" spans="1:10" ht="47.25" customHeight="1">
      <c r="A6" s="52">
        <v>2</v>
      </c>
      <c r="B6" s="122" t="s">
        <v>204</v>
      </c>
      <c r="C6" s="122"/>
      <c r="D6" s="122"/>
      <c r="E6" s="123"/>
      <c r="F6" s="123" t="s">
        <v>63</v>
      </c>
      <c r="G6" s="123"/>
      <c r="H6" s="123">
        <v>6</v>
      </c>
      <c r="I6" s="124">
        <f t="shared" ref="I6:I19" si="0">(H6*10)/SUM($H$5:$H$19)</f>
        <v>0.81081081081081086</v>
      </c>
      <c r="J6" s="125">
        <f t="shared" ref="J6:J19" si="1">IF(F6="X",((H6*10)/SUM($H$5:$H$19)),0)</f>
        <v>0.81081081081081086</v>
      </c>
    </row>
    <row r="7" spans="1:10" ht="31.5" customHeight="1">
      <c r="A7" s="52">
        <v>3</v>
      </c>
      <c r="B7" s="122" t="s">
        <v>205</v>
      </c>
      <c r="C7" s="122"/>
      <c r="D7" s="122"/>
      <c r="E7" s="123"/>
      <c r="F7" s="123" t="s">
        <v>63</v>
      </c>
      <c r="G7" s="123"/>
      <c r="H7" s="123">
        <v>10</v>
      </c>
      <c r="I7" s="124">
        <f t="shared" si="0"/>
        <v>1.3513513513513513</v>
      </c>
      <c r="J7" s="125">
        <f t="shared" si="1"/>
        <v>1.3513513513513513</v>
      </c>
    </row>
    <row r="8" spans="1:10" ht="47.25" customHeight="1">
      <c r="A8" s="52">
        <v>4</v>
      </c>
      <c r="B8" s="122" t="s">
        <v>206</v>
      </c>
      <c r="C8" s="122"/>
      <c r="D8" s="122"/>
      <c r="E8" s="123"/>
      <c r="F8" s="123" t="s">
        <v>63</v>
      </c>
      <c r="G8" s="123"/>
      <c r="H8" s="123">
        <v>10</v>
      </c>
      <c r="I8" s="124">
        <f t="shared" si="0"/>
        <v>1.3513513513513513</v>
      </c>
      <c r="J8" s="125">
        <f t="shared" si="1"/>
        <v>1.3513513513513513</v>
      </c>
    </row>
    <row r="9" spans="1:10" ht="47.25" customHeight="1">
      <c r="A9" s="52">
        <v>5</v>
      </c>
      <c r="B9" s="122" t="s">
        <v>207</v>
      </c>
      <c r="C9" s="122"/>
      <c r="D9" s="122"/>
      <c r="E9" s="123"/>
      <c r="F9" s="123" t="s">
        <v>63</v>
      </c>
      <c r="G9" s="123"/>
      <c r="H9" s="123">
        <v>6</v>
      </c>
      <c r="I9" s="124">
        <f t="shared" si="0"/>
        <v>0.81081081081081086</v>
      </c>
      <c r="J9" s="125">
        <f t="shared" si="1"/>
        <v>0.81081081081081086</v>
      </c>
    </row>
    <row r="10" spans="1:10" ht="31.5" customHeight="1">
      <c r="A10" s="52">
        <v>6</v>
      </c>
      <c r="B10" s="122" t="s">
        <v>208</v>
      </c>
      <c r="C10" s="122"/>
      <c r="D10" s="122"/>
      <c r="E10" s="123" t="s">
        <v>63</v>
      </c>
      <c r="F10" s="123"/>
      <c r="G10" s="123"/>
      <c r="H10" s="123">
        <v>2</v>
      </c>
      <c r="I10" s="124">
        <f t="shared" si="0"/>
        <v>0.27027027027027029</v>
      </c>
      <c r="J10" s="125">
        <f t="shared" si="1"/>
        <v>0</v>
      </c>
    </row>
    <row r="11" spans="1:10" ht="47.25" customHeight="1">
      <c r="A11" s="52">
        <v>7</v>
      </c>
      <c r="B11" s="122" t="s">
        <v>209</v>
      </c>
      <c r="C11" s="122"/>
      <c r="D11" s="122"/>
      <c r="E11" s="123"/>
      <c r="F11" s="123" t="s">
        <v>63</v>
      </c>
      <c r="G11" s="123"/>
      <c r="H11" s="123">
        <v>6</v>
      </c>
      <c r="I11" s="124">
        <f t="shared" si="0"/>
        <v>0.81081081081081086</v>
      </c>
      <c r="J11" s="125">
        <f t="shared" si="1"/>
        <v>0.81081081081081086</v>
      </c>
    </row>
    <row r="12" spans="1:10" ht="47.25" customHeight="1">
      <c r="A12" s="52">
        <v>8</v>
      </c>
      <c r="B12" s="122" t="s">
        <v>210</v>
      </c>
      <c r="C12" s="122"/>
      <c r="D12" s="122"/>
      <c r="E12" s="123" t="s">
        <v>63</v>
      </c>
      <c r="F12" s="123"/>
      <c r="G12" s="123"/>
      <c r="H12" s="123">
        <v>2</v>
      </c>
      <c r="I12" s="124">
        <f t="shared" si="0"/>
        <v>0.27027027027027029</v>
      </c>
      <c r="J12" s="125">
        <f t="shared" si="1"/>
        <v>0</v>
      </c>
    </row>
    <row r="13" spans="1:10" ht="45" customHeight="1">
      <c r="A13" s="52">
        <v>9</v>
      </c>
      <c r="B13" s="122" t="s">
        <v>211</v>
      </c>
      <c r="C13" s="122"/>
      <c r="D13" s="122"/>
      <c r="E13" s="123"/>
      <c r="F13" s="123" t="s">
        <v>63</v>
      </c>
      <c r="G13" s="123"/>
      <c r="H13" s="123">
        <v>2</v>
      </c>
      <c r="I13" s="124">
        <f t="shared" si="0"/>
        <v>0.27027027027027029</v>
      </c>
      <c r="J13" s="125">
        <f t="shared" si="1"/>
        <v>0.27027027027027029</v>
      </c>
    </row>
    <row r="14" spans="1:10" ht="31.5" customHeight="1">
      <c r="A14" s="52">
        <v>10</v>
      </c>
      <c r="B14" s="122" t="s">
        <v>212</v>
      </c>
      <c r="C14" s="122"/>
      <c r="D14" s="122"/>
      <c r="E14" s="123"/>
      <c r="F14" s="123" t="s">
        <v>63</v>
      </c>
      <c r="G14" s="123"/>
      <c r="H14" s="123">
        <v>2</v>
      </c>
      <c r="I14" s="124">
        <f t="shared" si="0"/>
        <v>0.27027027027027029</v>
      </c>
      <c r="J14" s="125">
        <f t="shared" si="1"/>
        <v>0.27027027027027029</v>
      </c>
    </row>
    <row r="15" spans="1:10" ht="43.5" customHeight="1">
      <c r="A15" s="52">
        <v>11</v>
      </c>
      <c r="B15" s="122" t="s">
        <v>213</v>
      </c>
      <c r="C15" s="122"/>
      <c r="D15" s="122"/>
      <c r="E15" s="123"/>
      <c r="F15" s="123" t="s">
        <v>63</v>
      </c>
      <c r="G15" s="123"/>
      <c r="H15" s="123">
        <v>2</v>
      </c>
      <c r="I15" s="124">
        <f t="shared" si="0"/>
        <v>0.27027027027027029</v>
      </c>
      <c r="J15" s="125">
        <f t="shared" si="1"/>
        <v>0.27027027027027029</v>
      </c>
    </row>
    <row r="16" spans="1:10" ht="28.5" customHeight="1">
      <c r="A16" s="52">
        <v>12</v>
      </c>
      <c r="B16" s="122" t="s">
        <v>214</v>
      </c>
      <c r="C16" s="122"/>
      <c r="D16" s="122"/>
      <c r="E16" s="123"/>
      <c r="F16" s="123" t="s">
        <v>63</v>
      </c>
      <c r="G16" s="123"/>
      <c r="H16" s="123">
        <v>6</v>
      </c>
      <c r="I16" s="124">
        <f t="shared" si="0"/>
        <v>0.81081081081081086</v>
      </c>
      <c r="J16" s="125">
        <f t="shared" si="1"/>
        <v>0.81081081081081086</v>
      </c>
    </row>
    <row r="17" spans="1:10" ht="46.5" customHeight="1">
      <c r="A17" s="52">
        <v>13</v>
      </c>
      <c r="B17" s="122" t="s">
        <v>215</v>
      </c>
      <c r="C17" s="122"/>
      <c r="D17" s="122"/>
      <c r="E17" s="123" t="s">
        <v>63</v>
      </c>
      <c r="F17" s="123"/>
      <c r="G17" s="123"/>
      <c r="H17" s="123">
        <v>6</v>
      </c>
      <c r="I17" s="124">
        <f t="shared" si="0"/>
        <v>0.81081081081081086</v>
      </c>
      <c r="J17" s="125">
        <f t="shared" si="1"/>
        <v>0</v>
      </c>
    </row>
    <row r="18" spans="1:10" ht="30" customHeight="1">
      <c r="A18" s="52">
        <v>14</v>
      </c>
      <c r="B18" s="122" t="s">
        <v>216</v>
      </c>
      <c r="C18" s="122"/>
      <c r="D18" s="122"/>
      <c r="E18" s="123" t="s">
        <v>63</v>
      </c>
      <c r="F18" s="123"/>
      <c r="G18" s="123"/>
      <c r="H18" s="123">
        <v>2</v>
      </c>
      <c r="I18" s="124">
        <f t="shared" si="0"/>
        <v>0.27027027027027029</v>
      </c>
      <c r="J18" s="125">
        <f t="shared" si="1"/>
        <v>0</v>
      </c>
    </row>
    <row r="19" spans="1:10" ht="44.25" customHeight="1">
      <c r="A19" s="52">
        <v>15</v>
      </c>
      <c r="B19" s="122" t="s">
        <v>217</v>
      </c>
      <c r="C19" s="122"/>
      <c r="D19" s="122"/>
      <c r="E19" s="123" t="s">
        <v>63</v>
      </c>
      <c r="F19" s="123"/>
      <c r="G19" s="123"/>
      <c r="H19" s="123">
        <v>2</v>
      </c>
      <c r="I19" s="124">
        <f t="shared" si="0"/>
        <v>0.27027027027027029</v>
      </c>
      <c r="J19" s="125">
        <f t="shared" si="1"/>
        <v>0</v>
      </c>
    </row>
    <row r="20" spans="1:10" ht="15" customHeight="1">
      <c r="A20" s="83" t="s">
        <v>71</v>
      </c>
      <c r="B20" s="83"/>
      <c r="C20" s="83"/>
      <c r="D20" s="83"/>
      <c r="E20" s="83"/>
      <c r="F20" s="83"/>
      <c r="G20" s="83"/>
      <c r="H20" s="83"/>
      <c r="I20" s="28">
        <f>SUM(I5:I19)</f>
        <v>9.9999999999999982</v>
      </c>
      <c r="J20" s="19">
        <f>SUM(J5:J19)</f>
        <v>8.108108108108107</v>
      </c>
    </row>
  </sheetData>
  <mergeCells count="23">
    <mergeCell ref="A20:H20"/>
    <mergeCell ref="B10:D10"/>
    <mergeCell ref="B19:D19"/>
    <mergeCell ref="B8:D8"/>
    <mergeCell ref="B9:D9"/>
    <mergeCell ref="B17:D17"/>
    <mergeCell ref="B18:D18"/>
    <mergeCell ref="B15:D15"/>
    <mergeCell ref="B16:D16"/>
    <mergeCell ref="B4:D4"/>
    <mergeCell ref="B5:D5"/>
    <mergeCell ref="B6:D6"/>
    <mergeCell ref="B7:D7"/>
    <mergeCell ref="B14:D14"/>
    <mergeCell ref="B11:D11"/>
    <mergeCell ref="B12:D12"/>
    <mergeCell ref="B13:D13"/>
    <mergeCell ref="A1:B1"/>
    <mergeCell ref="A2:B2"/>
    <mergeCell ref="C1:J1"/>
    <mergeCell ref="C2:J2"/>
    <mergeCell ref="E3:J3"/>
    <mergeCell ref="A3:B3"/>
  </mergeCell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1DC5E-48A0-48DD-AF96-1CAFB0FC15B9}">
  <sheetPr>
    <tabColor rgb="FF002060"/>
  </sheetPr>
  <dimension ref="A1:I15"/>
  <sheetViews>
    <sheetView workbookViewId="0">
      <selection activeCell="B8" sqref="A1:I15"/>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52</v>
      </c>
      <c r="D1" s="120"/>
      <c r="E1" s="120"/>
      <c r="F1" s="120"/>
      <c r="G1" s="120"/>
      <c r="H1" s="120"/>
      <c r="I1" s="121"/>
    </row>
    <row r="2" spans="1:9" ht="15">
      <c r="A2" s="70" t="s">
        <v>0</v>
      </c>
      <c r="B2" s="70"/>
      <c r="C2" s="84" t="s">
        <v>50</v>
      </c>
      <c r="D2" s="120"/>
      <c r="E2" s="120"/>
      <c r="F2" s="120"/>
      <c r="G2" s="120"/>
      <c r="H2" s="120"/>
      <c r="I2" s="121"/>
    </row>
    <row r="3" spans="1:9" ht="15">
      <c r="A3" s="70" t="s">
        <v>218</v>
      </c>
      <c r="B3" s="70"/>
      <c r="C3" s="55" t="s">
        <v>219</v>
      </c>
      <c r="D3" s="122">
        <v>130</v>
      </c>
      <c r="E3" s="122"/>
      <c r="F3" s="122"/>
      <c r="G3" s="122"/>
      <c r="H3" s="122"/>
      <c r="I3" s="122"/>
    </row>
    <row r="4" spans="1:9" ht="60">
      <c r="A4" s="52" t="s">
        <v>55</v>
      </c>
      <c r="B4" s="70" t="s">
        <v>56</v>
      </c>
      <c r="C4" s="70"/>
      <c r="D4" s="52" t="s">
        <v>24</v>
      </c>
      <c r="E4" s="52" t="s">
        <v>57</v>
      </c>
      <c r="F4" s="52" t="s">
        <v>58</v>
      </c>
      <c r="G4" s="52" t="s">
        <v>59</v>
      </c>
      <c r="H4" s="52" t="s">
        <v>60</v>
      </c>
      <c r="I4" s="52" t="s">
        <v>61</v>
      </c>
    </row>
    <row r="5" spans="1:9" ht="42.75" customHeight="1">
      <c r="A5" s="52">
        <v>1</v>
      </c>
      <c r="B5" s="122" t="s">
        <v>220</v>
      </c>
      <c r="C5" s="122"/>
      <c r="D5" s="123"/>
      <c r="E5" s="123" t="s">
        <v>63</v>
      </c>
      <c r="F5" s="123"/>
      <c r="G5" s="123">
        <v>10</v>
      </c>
      <c r="H5" s="124">
        <f>(G5*10)/SUM($G$5:$G$14)</f>
        <v>1.1363636363636365</v>
      </c>
      <c r="I5" s="125">
        <f>IF(E5="X",((G5*10)/SUM($G$5:$G$14)),0)</f>
        <v>1.1363636363636365</v>
      </c>
    </row>
    <row r="6" spans="1:9" ht="45" customHeight="1">
      <c r="A6" s="52">
        <v>2</v>
      </c>
      <c r="B6" s="122" t="s">
        <v>221</v>
      </c>
      <c r="C6" s="122"/>
      <c r="D6" s="123"/>
      <c r="E6" s="123" t="s">
        <v>63</v>
      </c>
      <c r="F6" s="123"/>
      <c r="G6" s="123">
        <v>6</v>
      </c>
      <c r="H6" s="124">
        <f t="shared" ref="H6:H14" si="0">(G6*10)/SUM($G$5:$G$14)</f>
        <v>0.68181818181818177</v>
      </c>
      <c r="I6" s="125">
        <f t="shared" ref="I6:I14" si="1">IF(E6="X",((G6*10)/SUM($G$5:$G$14)),0)</f>
        <v>0.68181818181818177</v>
      </c>
    </row>
    <row r="7" spans="1:9" ht="31.5" customHeight="1">
      <c r="A7" s="52">
        <v>3</v>
      </c>
      <c r="B7" s="122" t="s">
        <v>222</v>
      </c>
      <c r="C7" s="122"/>
      <c r="D7" s="123"/>
      <c r="E7" s="123" t="s">
        <v>63</v>
      </c>
      <c r="F7" s="123"/>
      <c r="G7" s="123">
        <v>6</v>
      </c>
      <c r="H7" s="124">
        <f t="shared" si="0"/>
        <v>0.68181818181818177</v>
      </c>
      <c r="I7" s="125">
        <f t="shared" si="1"/>
        <v>0.68181818181818177</v>
      </c>
    </row>
    <row r="8" spans="1:9" ht="58.5" customHeight="1">
      <c r="A8" s="52">
        <v>4</v>
      </c>
      <c r="B8" s="122" t="s">
        <v>223</v>
      </c>
      <c r="C8" s="122"/>
      <c r="D8" s="123"/>
      <c r="E8" s="123" t="s">
        <v>63</v>
      </c>
      <c r="F8" s="123"/>
      <c r="G8" s="123">
        <v>10</v>
      </c>
      <c r="H8" s="124">
        <f t="shared" si="0"/>
        <v>1.1363636363636365</v>
      </c>
      <c r="I8" s="125">
        <f t="shared" si="1"/>
        <v>1.1363636363636365</v>
      </c>
    </row>
    <row r="9" spans="1:9" ht="47.25" customHeight="1">
      <c r="A9" s="52">
        <v>5</v>
      </c>
      <c r="B9" s="122" t="s">
        <v>224</v>
      </c>
      <c r="C9" s="122"/>
      <c r="D9" s="123"/>
      <c r="E9" s="123" t="s">
        <v>63</v>
      </c>
      <c r="F9" s="123"/>
      <c r="G9" s="123">
        <v>6</v>
      </c>
      <c r="H9" s="124">
        <f t="shared" si="0"/>
        <v>0.68181818181818177</v>
      </c>
      <c r="I9" s="125">
        <f t="shared" si="1"/>
        <v>0.68181818181818177</v>
      </c>
    </row>
    <row r="10" spans="1:9" ht="63" customHeight="1">
      <c r="A10" s="52">
        <v>6</v>
      </c>
      <c r="B10" s="122" t="s">
        <v>225</v>
      </c>
      <c r="C10" s="122"/>
      <c r="D10" s="123"/>
      <c r="E10" s="123" t="s">
        <v>63</v>
      </c>
      <c r="F10" s="123"/>
      <c r="G10" s="123">
        <v>10</v>
      </c>
      <c r="H10" s="124">
        <f t="shared" si="0"/>
        <v>1.1363636363636365</v>
      </c>
      <c r="I10" s="125">
        <f t="shared" si="1"/>
        <v>1.1363636363636365</v>
      </c>
    </row>
    <row r="11" spans="1:9" ht="47.25" customHeight="1">
      <c r="A11" s="52">
        <v>7</v>
      </c>
      <c r="B11" s="122" t="s">
        <v>226</v>
      </c>
      <c r="C11" s="122"/>
      <c r="D11" s="123"/>
      <c r="E11" s="123" t="s">
        <v>63</v>
      </c>
      <c r="F11" s="123"/>
      <c r="G11" s="123">
        <v>10</v>
      </c>
      <c r="H11" s="124">
        <f t="shared" si="0"/>
        <v>1.1363636363636365</v>
      </c>
      <c r="I11" s="125">
        <f t="shared" si="1"/>
        <v>1.1363636363636365</v>
      </c>
    </row>
    <row r="12" spans="1:9" ht="47.25" customHeight="1">
      <c r="A12" s="52">
        <v>8</v>
      </c>
      <c r="B12" s="122" t="s">
        <v>227</v>
      </c>
      <c r="C12" s="122"/>
      <c r="D12" s="123"/>
      <c r="E12" s="123" t="s">
        <v>63</v>
      </c>
      <c r="F12" s="123"/>
      <c r="G12" s="123">
        <v>10</v>
      </c>
      <c r="H12" s="124">
        <f t="shared" si="0"/>
        <v>1.1363636363636365</v>
      </c>
      <c r="I12" s="125">
        <f t="shared" si="1"/>
        <v>1.1363636363636365</v>
      </c>
    </row>
    <row r="13" spans="1:9" ht="47.25" customHeight="1">
      <c r="A13" s="52">
        <v>9</v>
      </c>
      <c r="B13" s="122" t="s">
        <v>228</v>
      </c>
      <c r="C13" s="122"/>
      <c r="D13" s="123"/>
      <c r="E13" s="123" t="s">
        <v>63</v>
      </c>
      <c r="F13" s="123"/>
      <c r="G13" s="123">
        <v>10</v>
      </c>
      <c r="H13" s="124">
        <f t="shared" si="0"/>
        <v>1.1363636363636365</v>
      </c>
      <c r="I13" s="125">
        <f t="shared" si="1"/>
        <v>1.1363636363636365</v>
      </c>
    </row>
    <row r="14" spans="1:9" ht="59.25" customHeight="1">
      <c r="A14" s="52">
        <v>10</v>
      </c>
      <c r="B14" s="122" t="s">
        <v>229</v>
      </c>
      <c r="C14" s="122"/>
      <c r="D14" s="123"/>
      <c r="E14" s="123" t="s">
        <v>63</v>
      </c>
      <c r="F14" s="123"/>
      <c r="G14" s="123">
        <v>10</v>
      </c>
      <c r="H14" s="124">
        <f t="shared" si="0"/>
        <v>1.1363636363636365</v>
      </c>
      <c r="I14" s="125">
        <f t="shared" si="1"/>
        <v>1.1363636363636365</v>
      </c>
    </row>
    <row r="15" spans="1:9" ht="15.75" customHeight="1">
      <c r="A15" s="83" t="s">
        <v>71</v>
      </c>
      <c r="B15" s="83"/>
      <c r="C15" s="83"/>
      <c r="D15" s="83"/>
      <c r="E15" s="83"/>
      <c r="F15" s="83"/>
      <c r="G15" s="83"/>
      <c r="H15" s="28">
        <f>SUM(H5:H14)</f>
        <v>10.000000000000002</v>
      </c>
      <c r="I15" s="20">
        <f>SUM(I5:I14)</f>
        <v>10.000000000000002</v>
      </c>
    </row>
  </sheetData>
  <mergeCells count="18">
    <mergeCell ref="B11:C11"/>
    <mergeCell ref="B12:C12"/>
    <mergeCell ref="B13:C13"/>
    <mergeCell ref="B14:C14"/>
    <mergeCell ref="A15:G15"/>
    <mergeCell ref="B10:C10"/>
    <mergeCell ref="A3:B3"/>
    <mergeCell ref="B4:C4"/>
    <mergeCell ref="B5:C5"/>
    <mergeCell ref="B6:C6"/>
    <mergeCell ref="B7:C7"/>
    <mergeCell ref="B8:C8"/>
    <mergeCell ref="B9:C9"/>
    <mergeCell ref="A1:B1"/>
    <mergeCell ref="A2:B2"/>
    <mergeCell ref="C1:I1"/>
    <mergeCell ref="C2:I2"/>
    <mergeCell ref="D3:I3"/>
  </mergeCell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8221E-73CE-4AA1-BF1B-3D249A5BBCAF}">
  <sheetPr>
    <pageSetUpPr fitToPage="1"/>
  </sheetPr>
  <dimension ref="A1:W92"/>
  <sheetViews>
    <sheetView zoomScaleNormal="100" workbookViewId="0">
      <pane xSplit="1" ySplit="2" topLeftCell="B3" activePane="bottomRight" state="frozen"/>
      <selection pane="bottomRight" activeCell="T3" sqref="A1:T16"/>
      <selection pane="bottomLeft" activeCell="A3" sqref="A3"/>
      <selection pane="topRight" activeCell="B1" sqref="B1"/>
    </sheetView>
  </sheetViews>
  <sheetFormatPr defaultColWidth="11.5703125" defaultRowHeight="14.25"/>
  <cols>
    <col min="1" max="1" width="4.7109375" style="23" customWidth="1"/>
    <col min="2" max="2" width="5.85546875" style="23" customWidth="1"/>
    <col min="3" max="3" width="18.85546875" style="23" customWidth="1"/>
    <col min="4" max="4" width="6.7109375" style="26" bestFit="1" customWidth="1"/>
    <col min="5" max="5" width="16.85546875" style="23" customWidth="1"/>
    <col min="6" max="6" width="13.7109375" style="23" bestFit="1" customWidth="1"/>
    <col min="7" max="10" width="6.5703125" style="23" bestFit="1" customWidth="1"/>
    <col min="11" max="11" width="9.42578125" style="41" bestFit="1" customWidth="1"/>
    <col min="12" max="12" width="6.5703125" style="23" bestFit="1" customWidth="1"/>
    <col min="13" max="13" width="4.42578125" style="23" bestFit="1" customWidth="1"/>
    <col min="14" max="14" width="6.5703125" style="23" bestFit="1" customWidth="1"/>
    <col min="15" max="15" width="5.5703125" style="41" bestFit="1" customWidth="1"/>
    <col min="16" max="16" width="3.7109375" style="23" bestFit="1" customWidth="1"/>
    <col min="17" max="17" width="16.85546875" style="23" customWidth="1"/>
    <col min="18" max="18" width="3.7109375" style="23" hidden="1" customWidth="1"/>
    <col min="19" max="19" width="17" style="23" bestFit="1" customWidth="1"/>
    <col min="20" max="20" width="6.5703125" style="23" bestFit="1" customWidth="1"/>
    <col min="21" max="21" width="11.5703125" style="47"/>
    <col min="22" max="16384" width="11.5703125" style="23"/>
  </cols>
  <sheetData>
    <row r="1" spans="1:23" ht="27" customHeight="1">
      <c r="A1" s="66" t="s">
        <v>0</v>
      </c>
      <c r="B1" s="66" t="s">
        <v>1</v>
      </c>
      <c r="C1" s="65" t="s">
        <v>2</v>
      </c>
      <c r="D1" s="65"/>
      <c r="E1" s="65"/>
      <c r="F1" s="65"/>
      <c r="G1" s="67" t="s">
        <v>3</v>
      </c>
      <c r="H1" s="67"/>
      <c r="I1" s="67"/>
      <c r="J1" s="67"/>
      <c r="K1" s="67"/>
      <c r="L1" s="67"/>
      <c r="M1" s="67"/>
      <c r="N1" s="67"/>
      <c r="O1" s="67"/>
      <c r="P1" s="67"/>
      <c r="Q1" s="67"/>
      <c r="R1" s="65" t="s">
        <v>4</v>
      </c>
      <c r="S1" s="65"/>
      <c r="T1" s="65"/>
      <c r="U1" s="44"/>
      <c r="V1" s="24"/>
      <c r="W1" s="24"/>
    </row>
    <row r="2" spans="1:23" ht="157.5">
      <c r="A2" s="66"/>
      <c r="B2" s="66"/>
      <c r="C2" s="50" t="s">
        <v>5</v>
      </c>
      <c r="D2" s="38" t="s">
        <v>6</v>
      </c>
      <c r="E2" s="50" t="s">
        <v>7</v>
      </c>
      <c r="F2" s="50" t="s">
        <v>8</v>
      </c>
      <c r="G2" s="50" t="s">
        <v>9</v>
      </c>
      <c r="H2" s="50" t="s">
        <v>10</v>
      </c>
      <c r="I2" s="50" t="s">
        <v>11</v>
      </c>
      <c r="J2" s="50" t="s">
        <v>12</v>
      </c>
      <c r="K2" s="40" t="s">
        <v>13</v>
      </c>
      <c r="L2" s="50" t="s">
        <v>14</v>
      </c>
      <c r="M2" s="50" t="s">
        <v>15</v>
      </c>
      <c r="N2" s="50" t="s">
        <v>16</v>
      </c>
      <c r="O2" s="40" t="s">
        <v>17</v>
      </c>
      <c r="P2" s="50" t="s">
        <v>18</v>
      </c>
      <c r="Q2" s="51" t="s">
        <v>19</v>
      </c>
      <c r="R2" s="50" t="s">
        <v>320</v>
      </c>
      <c r="S2" s="51" t="s">
        <v>20</v>
      </c>
      <c r="T2" s="50" t="s">
        <v>21</v>
      </c>
      <c r="U2" s="45"/>
      <c r="V2" s="39" t="s">
        <v>321</v>
      </c>
      <c r="W2" s="24"/>
    </row>
    <row r="3" spans="1:23" ht="57">
      <c r="A3" s="106" t="s">
        <v>23</v>
      </c>
      <c r="B3" s="114" t="s">
        <v>24</v>
      </c>
      <c r="C3" s="114" t="str">
        <f>IF(D3="","",IF(D3="010-E","Trabajo en altura/ zonas con desnivel",IF(D3="020-E","Superficies irregulares u obstruidas",IF(D3="030-E","Estructuras inestables/ espacios confinados",IF(D3="040-E","Desprendimiento de objetos",IF(D3="090-E","Manipulación de máquinas/ herramientas",IF(D3="100-E","Operaciones de conformado",IF(D3="110-E","Objetos fijos o móviles",IF(D3="250a-E","Situaciones fortuitas",IF(D3="230-E","Colisión/ impacto vehicular",IF(D3="250b-E","Situaciones fortuitas",IF(D3="160-E","Energía eléctrica",IF(D3="150a-E","Fuentes de calor",IF(D3="150b-E","Fuentes de calor",IF(D3="150c-E","Fuentes de calor",IF(D3="570","Condiciones inadecuadas",IF(D3="120-I","Maquinaria pesada",IF(D3="330","Niveles sonoros",IF(D3="340","Movimientos oscilatorios",IF(D3="360","Fuentes emisoras de energía",IF(D3="170","Sustancias químicas",IF(D3="380","Niveles lumínicos",IF(D3="010-I","Trabajo en altura/ zonas con desnivel",IF(D3="020-I","Superficies irregulares u obstruidas",IF(D3="030-I","Estructuras inestables/ espacios confinados",IF(D3="040-I","Desprendimiento de objetos",IF(D3="090-I","Manipulación de máquinas/ herramientas",IF(D3="100-I","Operaciones de conformado",IF(D3="110-I","Objetos fijos o móviles",IF(D3="250a-I","Situaciones fortuitas",IF(D3="230-I","Colisión/ impacto vehicular",IF(D3="250b-I","Situaciones fortuitas",IF(D3="160-I","Energía eléctrica",IF(D3="390","Atmósferas contaminadas",IF(D3="130","Posturas forzadas/ manipulación manual de cargas")))))))))))))))))))))))))))))))))))</f>
        <v>Niveles sonoros</v>
      </c>
      <c r="D3" s="9" t="s">
        <v>25</v>
      </c>
      <c r="E3" s="114" t="str">
        <f>IF(D3="","",IF(D3="010-E","Caída de personas a distinto nivel",IF(D3="020-E","Caída de personas al mismo nivel",IF(D3="030-E","Caída de objetos por desplome",IF(D3="040-E","Caída de objetos en manipulación",IF(D3="090-E","Golpes/cortes por objetos o herramientas",IF(D3="110-E","Atrapamiento por o entre objetos",IF(D3="100-E","Proyección de fragmentos o partículas",IF(D3="230-E","Atropellos o golpes con vehículos",IF(D3="250a-E","Otros riesgos de accidente a) inherentes a la manipulación de herramientas eléctricas",IF(D3="250b-E","Otros riesgos de accidente b) Inherentes a la manipulación de herramientas manuales",IF(D3="160-E","Contactos Eléctricos",IF(D3="150a-E","Contactos térmicos a) inherentes al trabajador",IF(D3="150b-E","Contactos térmicos b) inherentes a la manipulación de elementos estructurales",IF(D3="150c-E","Contactos térmicos c) inherentes al proceso de soldadura",IF(D3="570","Organización del trabajo incorrecta",IF(D3="120-I","Atrapamiento por vuelco de máquinas",IF(D3="","",IF(D3="010-I","Caída de personas a distinto nivel",IF(D3="020-I","Caída de personas al mismo nivel",IF(D3="030-I","Caída de objetos por desplome",IF(D3="040-I","Caída de objetos en manipulación",IF(D3="090-I","Golpes/cortes por objetos o herramientas",IF(D3="110-I","Atrapamiento por o entre objetos",IF(D3="100-I","Proyección de fragmentos o partículas",IF(D3="230-I","Atropellos o golpes con vehículos",IF(D3="250a-I","Otros riesgos de accidente a) inherentes a la manipulación de herramientas eléctricas",IF(D3="250b-I","Otros riesgos de accidente b) Inherentes a la manipulación de herramientas manuales",IF(D3="390","Otra exposición a) asfixia o intoxicación",IF(D3="160-I","Contactos Eléctricos",IF(D3="570","Organización del trabajo incorrecta",IF(D3="120-I","Atrapamiento por vuelco de máquinas",IF(D3="330","Ruido",IF(D3="340","Vibración",IF(D3="360","Radiaciones ionizantes",IF(D3="170","Exposición a sustancias nocivas",IF(D3="130","Sobreesfuerzos",IF(D3="380","Iluminación",IF(D3="330","Ruido",IF(D3="340","Vibración",IF(D3="360","Radiaciones ionizantes",IF(D3="170","Exposición a sustancias nocivas",IF(D3="130","Sobreesfuerzos",IF(D3="380","Iluminación"))))))))))))))))))))))))))))))))))))))))))))</f>
        <v>Ruido</v>
      </c>
      <c r="F3" s="114" t="str">
        <f>IF(D3="","",IF(D3="010-E","Riesgo de seguridad (Riesgo Mecánico)",IF(D3="020-E","Riesgo de seguridad (Riesgo Mecánico)",IF(D3="030-E","Riesgo de seguridad (Riesgo Mecánico)",IF(D3="040-E","Riesgo de seguridad (Riesgo Mecánico)",IF(D3="090-E","Riesgo de seguridad (Riesgo Mecánico)",IF(D3="110-E","Riesgo de seguridad (Riesgo Mecánico)",IF(D3="100-E","Riesgo de seguridad (Riesgo Mecánico)",IF(D3="230-E","Riesgo de seguridad (Riesgo Mecánico)",IF(D3="250a-E","Riesgo de seguridad (Riesgo Mecánico)",IF(D3="250b-E","Riesgo de seguridad (Riesgo Mecánico)",IF(D3="160-E","Riesgo de seguridad (Riesgo Eléctrico)",IF(D3="150a-E","Riesgo de seguridad (Riesgo Industrial Mayor)",IF(D3="150b-E","Riesgo de seguridad (Riesgo Industrial Mayor)",IF(D3="150c-E","Riesgo de seguridad (Riesgo Industrial Mayor)",IF(D3="570","Riesgo de seguridad (Riesgo Locativo)",IF(D3="120-I","Riesgo Mecánico",IF(D3="330","Riesgo Físico",IF(D3="340","Riesgo Físico",IF(D3="360","Riesgo Físico",IF(D3="170","Riesgo Químico",IF(D3="130","Riesgo Ergonómico",IF(D3="380","Riesgo Físico",IF(D3="010-I","Riesgo de seguridad (Riesgo Mecánico)",IF(D3="020-I","Riesgo de seguridad (Riesgo Mecánico)",IF(D3="030-I","Riesgo de seguridad (Riesgo Mecánico)",IF(D3="040-I","Riesgo de seguridad (Riesgo Mecánico)",IF(D3="090-I","Riesgo de seguridad (Riesgo Mecánico)",IF(D3="110-I","Riesgo de seguridad (Riesgo Mecánico)",IF(D3="100-I","Riesgo de seguridad (Riesgo Mecánico)",IF(D3="230-I","Riesgo de seguridad (Riesgo Mecánico)",IF(D3="250a-I","Riesgo de seguridad (Riesgo Mecánico)",IF(D3="250b-I","Riesgo de seguridad (Riesgo Mecánico)",IF(D3="160-I","Riesgo de seguridad (Riesgo Eléctrico)",IF(D3="390","Riesgo de seguridad (Riesgo Mecánico)")))))))))))))))))))))))))))))))))))</f>
        <v>Riesgo Físico</v>
      </c>
      <c r="G3" s="115">
        <f>'I-OP-RC-RF-R'!I13</f>
        <v>8.4375</v>
      </c>
      <c r="H3" s="113" t="str">
        <f>IF(G3="","",IF(AND(G3&lt;=10,G3&gt;6),"MD",IF(AND(G3&lt;=6,G3&gt;2),"D",IF(AND(G3&lt;=2,G3&gt;0),"M",IF(G3=0,"B")))))</f>
        <v>MD</v>
      </c>
      <c r="I3" s="10">
        <v>2</v>
      </c>
      <c r="J3" s="113" t="str">
        <f>IF(I3=4,"EC",IF(I3=3,"EF",IF(I3=2,"EO",IF(I3=1,"EE",""))))</f>
        <v>EO</v>
      </c>
      <c r="K3" s="11">
        <f>IF(I3="","",G3*I3)</f>
        <v>16.875</v>
      </c>
      <c r="L3" s="113" t="str">
        <f>IF(K3="","",IF(K3&gt;=24,"MA",IF(AND(K3&lt;24,K3&gt;8),"A",IF(AND(K3&lt;=8,K3&gt;4),"M",IF(AND(K3&lt;=4,K3&gt;=0),"B")))))</f>
        <v>A</v>
      </c>
      <c r="M3" s="10">
        <v>25</v>
      </c>
      <c r="N3" s="113" t="str">
        <f>IF(M3="","",IF(M3=100,"M",IF(M3=60,"MG",IF(M3=25,"G",IF(M3=10,"L","")))))</f>
        <v>G</v>
      </c>
      <c r="O3" s="42">
        <f>IF(M3="","",ROUND(M3*K3,0))</f>
        <v>422</v>
      </c>
      <c r="P3" s="113" t="str">
        <f>IF(O3="","",IF(O3="","",IF(AND(O3&lt;=4000,O3&gt;500),"I",IF(AND(O3&lt;=500,O3&gt;120),"II",IF(AND(O3&lt;=120,O3&gt;20),"III",IF(O3&lt;=20,"IV"))))))</f>
        <v>II</v>
      </c>
      <c r="Q3" s="114" t="str">
        <f>IF(P3="","",IF(P3="I","Situación Crítica.
Corrección urgente.",IF(P3="II","Corregir
y adoptar medidas de control.",IF(P3="III","Mejorar si es posible. Sería conveniente justificar la intervención y su rentabilidad.",IF(P3="IV","No intervenir, salvo que un análisis más preciso lo justifique.")))))</f>
        <v>Corregir
y adoptar medidas de control.</v>
      </c>
      <c r="R3" s="114"/>
      <c r="S3" s="114" t="str">
        <f>IF(M3="","",IF(M3=10,"Pequeñas lesiones que no requieren hospitalización.",IF(M3=25,"Lesiones con incapacidad laboral transitoria (I. L. T.).",IF(M3=60,"Lesiones graves que pueden ser irreparables.",IF(M3=100,"1 muerto o más.")))))</f>
        <v>Lesiones con incapacidad laboral transitoria (I. L. T.).</v>
      </c>
      <c r="T3" s="114" t="s">
        <v>24</v>
      </c>
      <c r="U3" s="46"/>
      <c r="V3" s="24"/>
      <c r="W3" s="24"/>
    </row>
    <row r="4" spans="1:23" ht="57">
      <c r="A4" s="107"/>
      <c r="B4" s="114" t="s">
        <v>24</v>
      </c>
      <c r="C4" s="114" t="str">
        <f t="shared" ref="C4:C70" si="0">IF(D4="","",IF(D4="010-E","Trabajo en altura/ zonas con desnivel",IF(D4="020-E","Superficies irregulares u obstruidas",IF(D4="030-E","Estructuras inestables/ espacios confinados",IF(D4="040-E","Desprendimiento de objetos",IF(D4="090-E","Manipulación de máquinas/ herramientas",IF(D4="100-E","Operaciones de conformado",IF(D4="110-E","Objetos fijos o móviles",IF(D4="250a-E","Situaciones fortuitas",IF(D4="230-E","Colisión/ impacto vehicular",IF(D4="250b-E","Situaciones fortuitas",IF(D4="160-E","Energía eléctrica",IF(D4="150a-E","Fuentes de calor",IF(D4="150b-E","Fuentes de calor",IF(D4="150c-E","Fuentes de calor",IF(D4="570","Condiciones inadecuadas",IF(D4="120-I","Maquinaria pesada",IF(D4="330","Niveles sonoros",IF(D4="340","Movimientos oscilatorios",IF(D4="360","Fuentes emisoras de energía",IF(D4="170","Sustancias químicas",IF(D4="380","Niveles lumínicos",IF(D4="010-I","Trabajo en altura/ zonas con desnivel",IF(D4="020-I","Superficies irregulares u obstruidas",IF(D4="030-I","Estructuras inestables/ espacios confinados",IF(D4="040-I","Desprendimiento de objetos",IF(D4="090-I","Manipulación de máquinas/ herramientas",IF(D4="100-I","Operaciones de conformado",IF(D4="110-I","Objetos fijos o móviles",IF(D4="250a-I","Situaciones fortuitas",IF(D4="230-I","Colisión/ impacto vehicular",IF(D4="250b-I","Situaciones fortuitas",IF(D4="160-I","Energía eléctrica",IF(D4="390","Atmósferas contaminadas",IF(D4="130","Posturas forzadas/ manipulación manual de cargas")))))))))))))))))))))))))))))))))))</f>
        <v>Movimientos oscilatorios</v>
      </c>
      <c r="D4" s="9" t="s">
        <v>39</v>
      </c>
      <c r="E4" s="114" t="str">
        <f>IF(D4="","",IF(D4="010-E","Caída de personas a distinto nivel",IF(D4="020-E","Caída de personas al mismo nivel",IF(D4="030-E","Caída de objetos por desplome",IF(D4="040-E","Caída de objetos en manipulación",IF(D4="090-E","Golpes/cortes por objetos o herramientas",IF(D4="110-E","Atrapamiento por o entre objetos",IF(D4="100-E","Proyección de fragmentos o partículas",IF(D4="230-E","Atropellos o golpes con vehículos",IF(D4="250a-E","Otros riesgos de accidente a) inherentes a la manipulación de herramientas eléctricas",IF(D4="250b-E","Otros riesgos de accidente b) Inherentes a la manipulación de herramientas manuales",IF(D4="160-E","Contactos Eléctricos",IF(D4="150a-E","Contactos térmicos a) inherentes al trabajador",IF(D4="150b-E","Contactos térmicos b) inherentes a la manipulación de elementos estructurales",IF(D4="150c-E","Contactos térmicos c) inherentes al proceso de soldadura",IF(D4="570","Organización del trabajo incorrecta",IF(D4="120-I","Atrapamiento por vuelco de máquinas",IF(D4="","",IF(D4="010-I","Caída de personas a distinto nivel",IF(D4="020-I","Caída de personas al mismo nivel",IF(D4="030-I","Caída de objetos por desplome",IF(D4="040-I","Caída de objetos en manipulación",IF(D4="090-I","Golpes/cortes por objetos o herramientas",IF(D4="110-I","Atrapamiento por o entre objetos",IF(D4="100-I","Proyección de fragmentos o partículas",IF(D4="230-I","Atropellos o golpes con vehículos",IF(D4="250a-I","Otros riesgos de accidente a) inherentes a la manipulación de herramientas eléctricas",IF(D4="250b-I","Otros riesgos de accidente b) Inherentes a la manipulación de herramientas manuales",IF(D4="390","Otra exposición a) asfixia o intoxicación",IF(D4="160-I","Contactos Eléctricos",IF(D4="570","Organización del trabajo incorrecta",IF(D4="120-I","Atrapamiento por vuelco de máquinas",IF(D4="330","Ruido",IF(D4="340","Vibración",IF(D4="360","Radiaciones ionizantes",IF(D4="170","Exposición a sustancias nocivas",IF(D4="130","Sobreesfuerzos",IF(D4="380","Iluminación",IF(D4="330","Ruido",IF(D4="340","Vibración",IF(D4="360","Radiaciones ionizantes",IF(D4="170","Exposición a sustancias nocivas",IF(D4="130","Sobreesfuerzos",IF(D4="380","Iluminación"))))))))))))))))))))))))))))))))))))))))))))</f>
        <v>Vibración</v>
      </c>
      <c r="F4" s="114" t="str">
        <f t="shared" ref="F4:F68" si="1">IF(D4="","",IF(D4="010-E","Riesgo de seguridad (Riesgo Mecánico)",IF(D4="020-E","Riesgo de seguridad (Riesgo Mecánico)",IF(D4="030-E","Riesgo de seguridad (Riesgo Mecánico)",IF(D4="040-E","Riesgo de seguridad (Riesgo Mecánico)",IF(D4="090-E","Riesgo de seguridad (Riesgo Mecánico)",IF(D4="110-E","Riesgo de seguridad (Riesgo Mecánico)",IF(D4="100-E","Riesgo de seguridad (Riesgo Mecánico)",IF(D4="230-E","Riesgo de seguridad (Riesgo Mecánico)",IF(D4="250a-E","Riesgo de seguridad (Riesgo Mecánico)",IF(D4="250b-E","Riesgo de seguridad (Riesgo Mecánico)",IF(D4="160-E","Riesgo de seguridad (Riesgo Eléctrico)",IF(D4="150a-E","Riesgo de seguridad (Riesgo Industrial Mayor)",IF(D4="150b-E","Riesgo de seguridad (Riesgo Industrial Mayor)",IF(D4="150c-E","Riesgo de seguridad (Riesgo Industrial Mayor)",IF(D4="570","Riesgo de seguridad (Riesgo Locativo)",IF(D4="120-I","Riesgo Mecánico",IF(D4="330","Riesgo Físico",IF(D4="340","Riesgo Físico",IF(D4="360","Riesgo Físico",IF(D4="170","Riesgo Químico",IF(D4="130","Riesgo Ergonómico",IF(D4="380","Riesgo Físico",IF(D4="010-I","Riesgo de seguridad (Riesgo Mecánico)",IF(D4="020-I","Riesgo de seguridad (Riesgo Mecánico)",IF(D4="030-I","Riesgo de seguridad (Riesgo Mecánico)",IF(D4="040-I","Riesgo de seguridad (Riesgo Mecánico)",IF(D4="090-I","Riesgo de seguridad (Riesgo Mecánico)",IF(D4="110-I","Riesgo de seguridad (Riesgo Mecánico)",IF(D4="100-I","Riesgo de seguridad (Riesgo Mecánico)",IF(D4="230-I","Riesgo de seguridad (Riesgo Mecánico)",IF(D4="250a-I","Riesgo de seguridad (Riesgo Mecánico)",IF(D4="250b-I","Riesgo de seguridad (Riesgo Mecánico)",IF(D4="160-I","Riesgo de seguridad (Riesgo Eléctrico)",IF(D4="390","Riesgo de seguridad (Riesgo Mecánico)")))))))))))))))))))))))))))))))))))</f>
        <v>Riesgo Físico</v>
      </c>
      <c r="G4" s="115">
        <f>'I-OP-RC-RF-V'!I13</f>
        <v>10</v>
      </c>
      <c r="H4" s="113" t="str">
        <f t="shared" ref="H4:H72" si="2">IF(G4="","",IF(AND(G4&lt;=10,G4&gt;6),"MD",IF(AND(G4&lt;=6,G4&gt;2),"D",IF(AND(G4&lt;=2,G4&gt;0),"M",IF(G4=0,"B")))))</f>
        <v>MD</v>
      </c>
      <c r="I4" s="10">
        <v>2</v>
      </c>
      <c r="J4" s="113" t="str">
        <f>IF(I4=4,"EC",IF(I4=3,"EF",IF(I4=2,"EO",IF(I4=1,"EE",""))))</f>
        <v>EO</v>
      </c>
      <c r="K4" s="11">
        <f>IF(I4="","",G4*I4)</f>
        <v>20</v>
      </c>
      <c r="L4" s="113" t="str">
        <f t="shared" ref="L4:L72" si="3">IF(K4="","",IF(K4&gt;=24,"MA",IF(AND(K4&lt;24,K4&gt;8),"A",IF(AND(K4&lt;=8,K4&gt;4),"M",IF(AND(K4&lt;=4,K4&gt;=0),"B")))))</f>
        <v>A</v>
      </c>
      <c r="M4" s="10">
        <v>25</v>
      </c>
      <c r="N4" s="113" t="str">
        <f>IF(M4="","",IF(M4=100,"M",IF(M4=60,"MG",IF(M4=25,"G",IF(M4=10,"L","")))))</f>
        <v>G</v>
      </c>
      <c r="O4" s="42">
        <f t="shared" ref="O4:O67" si="4">IF(M4="","",ROUND(M4*K4,0))</f>
        <v>500</v>
      </c>
      <c r="P4" s="113" t="str">
        <f t="shared" ref="P4:P72" si="5">IF(O4="","",IF(O4="","",IF(AND(O4&lt;=4000,O4&gt;500),"I",IF(AND(O4&lt;=500,O4&gt;120),"II",IF(AND(O4&lt;=120,O4&gt;20),"III",IF(O4&lt;=20,"IV"))))))</f>
        <v>II</v>
      </c>
      <c r="Q4" s="114" t="str">
        <f t="shared" ref="Q4:Q72" si="6">IF(P4="","",IF(P4="I","Situación Crítica.
Corrección urgente.",IF(P4="II","Corregir
y adoptar medidas de control.",IF(P4="III","Mejorar si es posible. Sería conveniente justificar la intervención y su rentabilidad.",IF(P4="IV","No intervenir, salvo que un análisis más preciso lo justifique.")))))</f>
        <v>Corregir
y adoptar medidas de control.</v>
      </c>
      <c r="R4" s="114"/>
      <c r="S4" s="114" t="str">
        <f t="shared" ref="S4:S70" si="7">IF(M4="","",IF(M4=10,"Pequeñas lesiones que no requieren hospitalización.",IF(M4=25,"Lesiones con incapacidad laboral transitoria (I. L. T.).",IF(M4=60,"Lesiones graves que pueden ser irreparables.",IF(M4=100,"1 muerto o más.")))))</f>
        <v>Lesiones con incapacidad laboral transitoria (I. L. T.).</v>
      </c>
      <c r="T4" s="114" t="s">
        <v>24</v>
      </c>
      <c r="U4" s="46"/>
      <c r="V4" s="24"/>
      <c r="W4" s="24"/>
    </row>
    <row r="5" spans="1:23" ht="57">
      <c r="A5" s="107"/>
      <c r="B5" s="114" t="s">
        <v>24</v>
      </c>
      <c r="C5" s="114" t="str">
        <f t="shared" si="0"/>
        <v>Niveles lumínicos</v>
      </c>
      <c r="D5" s="9" t="s">
        <v>26</v>
      </c>
      <c r="E5" s="114" t="str">
        <f>IF(D5="","",IF(D5="010-E","Caída de personas a distinto nivel",IF(D5="020-E","Caída de personas al mismo nivel",IF(D5="030-E","Caída de objetos por desplome",IF(D5="040-E","Caída de objetos en manipulación",IF(D5="090-E","Golpes/cortes por objetos o herramientas",IF(D5="110-E","Atrapamiento por o entre objetos",IF(D5="100-E","Proyección de fragmentos o partículas",IF(D5="230-E","Atropellos o golpes con vehículos",IF(D5="250a-E","Otros riesgos de accidente a) inherentes a la manipulación de herramientas eléctricas",IF(D5="250b-E","Otros riesgos de accidente b) Inherentes a la manipulación de herramientas manuales",IF(D5="160-E","Contactos Eléctricos",IF(D5="150a-E","Contactos térmicos a) inherentes al trabajador",IF(D5="150b-E","Contactos térmicos b) inherentes a la manipulación de elementos estructurales",IF(D5="150c-E","Contactos térmicos c) inherentes al proceso de soldadura",IF(D5="570","Organización del trabajo incorrecta",IF(D5="120-I","Atrapamiento por vuelco de máquinas",IF(D5="","",IF(D5="010-I","Caída de personas a distinto nivel",IF(D5="020-I","Caída de personas al mismo nivel",IF(D5="030-I","Caída de objetos por desplome",IF(D5="040-I","Caída de objetos en manipulación",IF(D5="090-I","Golpes/cortes por objetos o herramientas",IF(D5="110-I","Atrapamiento por o entre objetos",IF(D5="100-I","Proyección de fragmentos o partículas",IF(D5="230-I","Atropellos o golpes con vehículos",IF(D5="250a-I","Otros riesgos de accidente a) inherentes a la manipulación de herramientas eléctricas",IF(D5="250b-I","Otros riesgos de accidente b) Inherentes a la manipulación de herramientas manuales",IF(D5="390","Otra exposición a) asfixia o intoxicación",IF(D5="160-I","Contactos Eléctricos",IF(D5="570","Organización del trabajo incorrecta",IF(D5="120-I","Atrapamiento por vuelco de máquinas",IF(D5="330","Ruido",IF(D5="340","Vibración",IF(D5="360","Radiaciones ionizantes",IF(D5="170","Exposición a sustancias nocivas",IF(D5="130","Sobreesfuerzos",IF(D5="380","Iluminación",IF(D5="330","Ruido",IF(D5="340","Vibración",IF(D5="360","Radiaciones ionizantes",IF(D5="170","Exposición a sustancias nocivas",IF(D5="130","Sobreesfuerzos",IF(D5="380","Iluminación"))))))))))))))))))))))))))))))))))))))))))))</f>
        <v>Iluminación</v>
      </c>
      <c r="F5" s="114" t="str">
        <f t="shared" si="1"/>
        <v>Riesgo Físico</v>
      </c>
      <c r="G5" s="115">
        <f>'I-OP-RC-RF-I'!I12</f>
        <v>6.8421052631578956</v>
      </c>
      <c r="H5" s="113" t="str">
        <f t="shared" si="2"/>
        <v>MD</v>
      </c>
      <c r="I5" s="10">
        <v>1</v>
      </c>
      <c r="J5" s="113" t="str">
        <f>IF(I5=4,"EC",IF(I5=3,"EF",IF(I5=2,"EO",IF(I5=1,"EE",""))))</f>
        <v>EE</v>
      </c>
      <c r="K5" s="11">
        <f>IF(I5="","",G5*I5)</f>
        <v>6.8421052631578956</v>
      </c>
      <c r="L5" s="113" t="str">
        <f t="shared" si="3"/>
        <v>M</v>
      </c>
      <c r="M5" s="10">
        <v>25</v>
      </c>
      <c r="N5" s="113" t="str">
        <f>IF(M5="","",IF(M5=100,"M",IF(M5=60,"MG",IF(M5=25,"G",IF(M5=10,"L","")))))</f>
        <v>G</v>
      </c>
      <c r="O5" s="42">
        <f t="shared" si="4"/>
        <v>171</v>
      </c>
      <c r="P5" s="113" t="str">
        <f t="shared" si="5"/>
        <v>II</v>
      </c>
      <c r="Q5" s="114" t="str">
        <f t="shared" si="6"/>
        <v>Corregir
y adoptar medidas de control.</v>
      </c>
      <c r="R5" s="114"/>
      <c r="S5" s="114" t="str">
        <f t="shared" si="7"/>
        <v>Lesiones con incapacidad laboral transitoria (I. L. T.).</v>
      </c>
      <c r="T5" s="114" t="s">
        <v>24</v>
      </c>
      <c r="U5" s="46"/>
      <c r="V5" s="24"/>
      <c r="W5" s="24"/>
    </row>
    <row r="6" spans="1:23" ht="57">
      <c r="A6" s="107"/>
      <c r="B6" s="114" t="s">
        <v>24</v>
      </c>
      <c r="C6" s="114" t="str">
        <f t="shared" si="0"/>
        <v>Condiciones inadecuadas</v>
      </c>
      <c r="D6" s="9" t="s">
        <v>27</v>
      </c>
      <c r="E6" s="114" t="str">
        <f>IF(D6="","",IF(D6="010-E","Caída de personas a distinto nivel",IF(D6="020-E","Caída de personas al mismo nivel",IF(D6="030-E","Caída de objetos por desplome",IF(D6="040-E","Caída de objetos en manipulación",IF(D6="090-E","Golpes/cortes por objetos o herramientas",IF(D6="110-E","Atrapamiento por o entre objetos",IF(D6="100-E","Proyección de fragmentos o partículas",IF(D6="230-E","Atropellos o golpes con vehículos",IF(D6="250a-E","Otros riesgos de accidente a) inherentes a la manipulación de herramientas eléctricas",IF(D6="250b-E","Otros riesgos de accidente b) Inherentes a la manipulación de herramientas manuales",IF(D6="160-E","Contactos Eléctricos",IF(D6="150a-E","Contactos térmicos a) inherentes al trabajador",IF(D6="150b-E","Contactos térmicos b) inherentes a la manipulación de elementos estructurales",IF(D6="150c-E","Contactos térmicos c) inherentes al proceso de soldadura",IF(D6="570","Organización del trabajo incorrecta",IF(D6="120-I","Atrapamiento por vuelco de máquinas",IF(D6="","",IF(D6="010-I","Caída de personas a distinto nivel",IF(D6="020-I","Caída de personas al mismo nivel",IF(D6="030-I","Caída de objetos por desplome",IF(D6="040-I","Caída de objetos en manipulación",IF(D6="090-I","Golpes/cortes por objetos o herramientas",IF(D6="110-I","Atrapamiento por o entre objetos",IF(D6="100-I","Proyección de fragmentos o partículas",IF(D6="230-I","Atropellos o golpes con vehículos",IF(D6="250a-I","Otros riesgos de accidente a) inherentes a la manipulación de herramientas eléctricas",IF(D6="250b-I","Otros riesgos de accidente b) Inherentes a la manipulación de herramientas manuales",IF(D6="390","Otra exposición a) asfixia o intoxicación",IF(D6="160-I","Contactos Eléctricos",IF(D6="570","Organización del trabajo incorrecta",IF(D6="120-I","Atrapamiento por vuelco de máquinas",IF(D6="330","Ruido",IF(D6="340","Vibración",IF(D6="360","Radiaciones ionizantes",IF(D6="170","Exposición a sustancias nocivas",IF(D6="130","Sobreesfuerzos",IF(D6="380","Iluminación",IF(D6="330","Ruido",IF(D6="340","Vibración",IF(D6="360","Radiaciones ionizantes",IF(D6="170","Exposición a sustancias nocivas",IF(D6="130","Sobreesfuerzos",IF(D6="380","Iluminación"))))))))))))))))))))))))))))))))))))))))))))</f>
        <v>Organización del trabajo incorrecta</v>
      </c>
      <c r="F6" s="114" t="str">
        <f t="shared" si="1"/>
        <v>Riesgo de seguridad (Riesgo Locativo)</v>
      </c>
      <c r="G6" s="11">
        <f>'I-OP-RL-OI'!J14</f>
        <v>7.0270270270270263</v>
      </c>
      <c r="H6" s="113" t="str">
        <f t="shared" si="2"/>
        <v>MD</v>
      </c>
      <c r="I6" s="10">
        <v>2</v>
      </c>
      <c r="J6" s="113" t="str">
        <f>IF(I6=4,"EC",IF(I6=3,"EF",IF(I6=2,"EO",IF(I6=1,"EE",""))))</f>
        <v>EO</v>
      </c>
      <c r="K6" s="11">
        <f>IF(I6="","",G6*I6)</f>
        <v>14.054054054054053</v>
      </c>
      <c r="L6" s="113" t="str">
        <f t="shared" si="3"/>
        <v>A</v>
      </c>
      <c r="M6" s="10">
        <v>25</v>
      </c>
      <c r="N6" s="113" t="str">
        <f>IF(M6="","",IF(M6=100,"M",IF(M6=60,"MG",IF(M6=25,"G",IF(M6=10,"L","")))))</f>
        <v>G</v>
      </c>
      <c r="O6" s="42">
        <f t="shared" si="4"/>
        <v>351</v>
      </c>
      <c r="P6" s="113" t="str">
        <f t="shared" si="5"/>
        <v>II</v>
      </c>
      <c r="Q6" s="114" t="str">
        <f t="shared" si="6"/>
        <v>Corregir
y adoptar medidas de control.</v>
      </c>
      <c r="R6" s="113"/>
      <c r="S6" s="114" t="str">
        <f t="shared" si="7"/>
        <v>Lesiones con incapacidad laboral transitoria (I. L. T.).</v>
      </c>
      <c r="T6" s="114" t="s">
        <v>24</v>
      </c>
      <c r="U6" s="46"/>
      <c r="V6" s="116"/>
      <c r="W6" s="116"/>
    </row>
    <row r="7" spans="1:23" ht="57">
      <c r="A7" s="107"/>
      <c r="B7" s="114" t="s">
        <v>24</v>
      </c>
      <c r="C7" s="114" t="str">
        <f t="shared" si="0"/>
        <v>Superficies irregulares u obstruidas</v>
      </c>
      <c r="D7" s="9" t="s">
        <v>322</v>
      </c>
      <c r="E7" s="114" t="str">
        <f t="shared" ref="E7:E85" si="8">IF(D7="","",IF(D7="010-E","Caída de personas a distinto nivel",IF(D7="020-E","Caída de personas al mismo nivel",IF(D7="030-E","Caída de objetos por desplome",IF(D7="040-E","Caída de objetos en manipulación",IF(D7="090-E","Golpes/cortes por objetos o herramientas",IF(D7="110-E","Atrapamiento por o entre objetos",IF(D7="100-E","Proyección de fragmentos o partículas",IF(D7="230-E","Atropellos o golpes con vehículos",IF(D7="250a-E","Otros riesgos de accidente a) inherentes a la manipulación de herramientas eléctricas",IF(D7="250b-E","Otros riesgos de accidente b) Inherentes a la manipulación de herramientas manuales",IF(D7="160-E","Contactos Eléctricos",IF(D7="150a-E","Contactos térmicos a) inherentes al trabajador",IF(D7="150b-E","Contactos térmicos b) inherentes a la manipulación de elementos estructurales",IF(D7="150c-E","Contactos térmicos c) inherentes al proceso de soldadura",IF(D7="570","Organización del trabajo incorrecta",IF(D7="120-I","Atrapamiento por vuelco de máquinas",IF(D7="","",IF(D7="010-I","Caída de personas a distinto nivel",IF(D7="020-I","Caída de personas al mismo nivel",IF(D7="030-I","Caída de objetos por desplome",IF(D7="040-I","Caída de objetos en manipulación",IF(D7="090-I","Golpes/cortes por objetos o herramientas",IF(D7="110-I","Atrapamiento por o entre objetos",IF(D7="100-I","Proyección de fragmentos o partículas",IF(D7="230-I","Atropellos o golpes con vehículos",IF(D7="250a-I","Otros riesgos de accidente a) inherentes a la manipulación de herramientas eléctricas",IF(D7="250b-I","Otros riesgos de accidente b) Inherentes a la manipulación de herramientas manuales",IF(D7="390","Otra exposición a) asfixia o intoxicación",IF(D7="160-I","Contactos Eléctricos",IF(D7="570","Organización del trabajo incorrecta",IF(D7="120-I","Atrapamiento por vuelco de máquinas",IF(D7="330","Ruido",IF(D7="340","Vibración",IF(D7="360","Radiaciones ionizantes",IF(D7="170","Exposición a sustancias nocivas",IF(D7="130","Sobreesfuerzos",IF(D7="380","Iluminación",IF(D7="330","Ruido",IF(D7="340","Vibración",IF(D7="360","Radiaciones ionizantes",IF(D7="170","Exposición a sustancias nocivas",IF(D7="130","Sobreesfuerzos",IF(D7="380","Iluminación"))))))))))))))))))))))))))))))))))))))))))))</f>
        <v>Caída de personas al mismo nivel</v>
      </c>
      <c r="F7" s="114" t="str">
        <f t="shared" si="1"/>
        <v>Riesgo de seguridad (Riesgo Mecánico)</v>
      </c>
      <c r="G7" s="117">
        <f>'I-OP-RM-CMN'!J15</f>
        <v>7.5</v>
      </c>
      <c r="H7" s="113" t="str">
        <f t="shared" si="2"/>
        <v>MD</v>
      </c>
      <c r="I7" s="10">
        <v>3</v>
      </c>
      <c r="J7" s="113" t="str">
        <f t="shared" ref="J7:J85" si="9">IF(I7=4,"EC",IF(I7=3,"EF",IF(I7=2,"EO",IF(I7=1,"EE",""))))</f>
        <v>EF</v>
      </c>
      <c r="K7" s="11">
        <f t="shared" ref="K7:K85" si="10">IF(I7="","",G7*I7)</f>
        <v>22.5</v>
      </c>
      <c r="L7" s="113" t="str">
        <f t="shared" si="3"/>
        <v>A</v>
      </c>
      <c r="M7" s="10">
        <v>25</v>
      </c>
      <c r="N7" s="113" t="str">
        <f t="shared" ref="N7:N85" si="11">IF(M7="","",IF(M7=100,"M",IF(M7=60,"MG",IF(M7=25,"G",IF(M7=10,"L","")))))</f>
        <v>G</v>
      </c>
      <c r="O7" s="42">
        <f t="shared" si="4"/>
        <v>563</v>
      </c>
      <c r="P7" s="113" t="str">
        <f t="shared" si="5"/>
        <v>I</v>
      </c>
      <c r="Q7" s="114" t="str">
        <f t="shared" si="6"/>
        <v>Situación Crítica.
Corrección urgente.</v>
      </c>
      <c r="R7" s="113"/>
      <c r="S7" s="114" t="str">
        <f t="shared" si="7"/>
        <v>Lesiones con incapacidad laboral transitoria (I. L. T.).</v>
      </c>
      <c r="T7" s="114" t="s">
        <v>24</v>
      </c>
      <c r="U7" s="46"/>
      <c r="V7" s="116"/>
      <c r="W7" s="116"/>
    </row>
    <row r="8" spans="1:23" ht="57">
      <c r="A8" s="107"/>
      <c r="B8" s="114" t="s">
        <v>24</v>
      </c>
      <c r="C8" s="114" t="str">
        <f t="shared" si="0"/>
        <v>Desprendimiento de objetos</v>
      </c>
      <c r="D8" s="9" t="s">
        <v>323</v>
      </c>
      <c r="E8" s="114" t="str">
        <f t="shared" si="8"/>
        <v>Caída de objetos en manipulación</v>
      </c>
      <c r="F8" s="114" t="str">
        <f t="shared" si="1"/>
        <v>Riesgo de seguridad (Riesgo Mecánico)</v>
      </c>
      <c r="G8" s="117">
        <f>'I-OP-RM-COM'!J16</f>
        <v>6.8571428571428559</v>
      </c>
      <c r="H8" s="113" t="str">
        <f t="shared" si="2"/>
        <v>MD</v>
      </c>
      <c r="I8" s="10">
        <v>3</v>
      </c>
      <c r="J8" s="113" t="str">
        <f t="shared" si="9"/>
        <v>EF</v>
      </c>
      <c r="K8" s="11">
        <f t="shared" si="10"/>
        <v>20.571428571428569</v>
      </c>
      <c r="L8" s="113" t="str">
        <f t="shared" si="3"/>
        <v>A</v>
      </c>
      <c r="M8" s="10">
        <v>25</v>
      </c>
      <c r="N8" s="113" t="str">
        <f t="shared" si="11"/>
        <v>G</v>
      </c>
      <c r="O8" s="42">
        <f t="shared" si="4"/>
        <v>514</v>
      </c>
      <c r="P8" s="113" t="str">
        <f t="shared" si="5"/>
        <v>I</v>
      </c>
      <c r="Q8" s="114" t="str">
        <f t="shared" si="6"/>
        <v>Situación Crítica.
Corrección urgente.</v>
      </c>
      <c r="R8" s="113"/>
      <c r="S8" s="114" t="str">
        <f t="shared" si="7"/>
        <v>Lesiones con incapacidad laboral transitoria (I. L. T.).</v>
      </c>
      <c r="T8" s="114" t="s">
        <v>24</v>
      </c>
      <c r="U8" s="46"/>
      <c r="V8" s="116"/>
      <c r="W8" s="116"/>
    </row>
    <row r="9" spans="1:23" ht="57">
      <c r="A9" s="107"/>
      <c r="B9" s="114" t="s">
        <v>24</v>
      </c>
      <c r="C9" s="114" t="str">
        <f t="shared" si="0"/>
        <v>Manipulación de máquinas/ herramientas</v>
      </c>
      <c r="D9" s="9" t="s">
        <v>324</v>
      </c>
      <c r="E9" s="114" t="str">
        <f t="shared" si="8"/>
        <v>Golpes/cortes por objetos o herramientas</v>
      </c>
      <c r="F9" s="114" t="str">
        <f t="shared" si="1"/>
        <v>Riesgo de seguridad (Riesgo Mecánico)</v>
      </c>
      <c r="G9" s="117">
        <f>'I-OP-RM-GCOH'!J19</f>
        <v>6.875</v>
      </c>
      <c r="H9" s="113" t="str">
        <f t="shared" si="2"/>
        <v>MD</v>
      </c>
      <c r="I9" s="10">
        <v>3</v>
      </c>
      <c r="J9" s="113" t="str">
        <f t="shared" si="9"/>
        <v>EF</v>
      </c>
      <c r="K9" s="11">
        <f t="shared" si="10"/>
        <v>20.625</v>
      </c>
      <c r="L9" s="113" t="str">
        <f t="shared" si="3"/>
        <v>A</v>
      </c>
      <c r="M9" s="10">
        <v>25</v>
      </c>
      <c r="N9" s="113" t="str">
        <f t="shared" si="11"/>
        <v>G</v>
      </c>
      <c r="O9" s="42">
        <f t="shared" si="4"/>
        <v>516</v>
      </c>
      <c r="P9" s="113" t="str">
        <f t="shared" si="5"/>
        <v>I</v>
      </c>
      <c r="Q9" s="114" t="str">
        <f t="shared" si="6"/>
        <v>Situación Crítica.
Corrección urgente.</v>
      </c>
      <c r="R9" s="113"/>
      <c r="S9" s="114" t="str">
        <f t="shared" si="7"/>
        <v>Lesiones con incapacidad laboral transitoria (I. L. T.).</v>
      </c>
      <c r="T9" s="114" t="s">
        <v>24</v>
      </c>
      <c r="U9" s="46"/>
      <c r="V9" s="116"/>
      <c r="W9" s="116"/>
    </row>
    <row r="10" spans="1:23" ht="57">
      <c r="A10" s="107"/>
      <c r="B10" s="114" t="s">
        <v>24</v>
      </c>
      <c r="C10" s="114" t="str">
        <f t="shared" si="0"/>
        <v>Operaciones de conformado</v>
      </c>
      <c r="D10" s="9" t="s">
        <v>325</v>
      </c>
      <c r="E10" s="114" t="str">
        <f t="shared" si="8"/>
        <v>Proyección de fragmentos o partículas</v>
      </c>
      <c r="F10" s="114" t="str">
        <f t="shared" si="1"/>
        <v>Riesgo de seguridad (Riesgo Mecánico)</v>
      </c>
      <c r="G10" s="117">
        <f>'I-OP-RM-PFP'!J14</f>
        <v>7.7419354838709671</v>
      </c>
      <c r="H10" s="113" t="str">
        <f t="shared" si="2"/>
        <v>MD</v>
      </c>
      <c r="I10" s="10">
        <v>3</v>
      </c>
      <c r="J10" s="113" t="str">
        <f t="shared" si="9"/>
        <v>EF</v>
      </c>
      <c r="K10" s="11">
        <f t="shared" si="10"/>
        <v>23.2258064516129</v>
      </c>
      <c r="L10" s="113" t="str">
        <f t="shared" si="3"/>
        <v>A</v>
      </c>
      <c r="M10" s="10">
        <v>25</v>
      </c>
      <c r="N10" s="113" t="str">
        <f t="shared" si="11"/>
        <v>G</v>
      </c>
      <c r="O10" s="42">
        <f t="shared" si="4"/>
        <v>581</v>
      </c>
      <c r="P10" s="113" t="str">
        <f t="shared" si="5"/>
        <v>I</v>
      </c>
      <c r="Q10" s="114" t="str">
        <f t="shared" si="6"/>
        <v>Situación Crítica.
Corrección urgente.</v>
      </c>
      <c r="R10" s="113"/>
      <c r="S10" s="114" t="str">
        <f t="shared" si="7"/>
        <v>Lesiones con incapacidad laboral transitoria (I. L. T.).</v>
      </c>
      <c r="T10" s="114" t="s">
        <v>24</v>
      </c>
      <c r="U10" s="46"/>
      <c r="V10" s="116"/>
      <c r="W10" s="116"/>
    </row>
    <row r="11" spans="1:23" ht="57">
      <c r="A11" s="107"/>
      <c r="B11" s="114" t="s">
        <v>24</v>
      </c>
      <c r="C11" s="114" t="str">
        <f t="shared" si="0"/>
        <v>Objetos fijos o móviles</v>
      </c>
      <c r="D11" s="9" t="s">
        <v>326</v>
      </c>
      <c r="E11" s="114" t="str">
        <f t="shared" si="8"/>
        <v>Atrapamiento por o entre objetos</v>
      </c>
      <c r="F11" s="114" t="str">
        <f t="shared" si="1"/>
        <v>Riesgo de seguridad (Riesgo Mecánico)</v>
      </c>
      <c r="G11" s="117">
        <f>'I-OP-RM-APEO'!J17</f>
        <v>7.7083333333333339</v>
      </c>
      <c r="H11" s="113" t="str">
        <f t="shared" si="2"/>
        <v>MD</v>
      </c>
      <c r="I11" s="10">
        <v>2</v>
      </c>
      <c r="J11" s="113" t="str">
        <f t="shared" si="9"/>
        <v>EO</v>
      </c>
      <c r="K11" s="11">
        <f t="shared" si="10"/>
        <v>15.416666666666668</v>
      </c>
      <c r="L11" s="113" t="str">
        <f t="shared" si="3"/>
        <v>A</v>
      </c>
      <c r="M11" s="10">
        <v>25</v>
      </c>
      <c r="N11" s="113" t="str">
        <f t="shared" si="11"/>
        <v>G</v>
      </c>
      <c r="O11" s="42">
        <f t="shared" si="4"/>
        <v>385</v>
      </c>
      <c r="P11" s="113" t="str">
        <f t="shared" si="5"/>
        <v>II</v>
      </c>
      <c r="Q11" s="114" t="str">
        <f t="shared" si="6"/>
        <v>Corregir
y adoptar medidas de control.</v>
      </c>
      <c r="R11" s="113"/>
      <c r="S11" s="114" t="str">
        <f t="shared" si="7"/>
        <v>Lesiones con incapacidad laboral transitoria (I. L. T.).</v>
      </c>
      <c r="T11" s="114" t="s">
        <v>24</v>
      </c>
      <c r="U11" s="46"/>
      <c r="V11" s="116"/>
      <c r="W11" s="116"/>
    </row>
    <row r="12" spans="1:23" ht="57">
      <c r="A12" s="107"/>
      <c r="B12" s="114" t="s">
        <v>24</v>
      </c>
      <c r="C12" s="114" t="str">
        <f t="shared" si="0"/>
        <v>Colisión/ impacto vehicular</v>
      </c>
      <c r="D12" s="9" t="s">
        <v>327</v>
      </c>
      <c r="E12" s="114" t="str">
        <f t="shared" si="8"/>
        <v>Atropellos o golpes con vehículos</v>
      </c>
      <c r="F12" s="114" t="str">
        <f t="shared" si="1"/>
        <v>Riesgo de seguridad (Riesgo Mecánico)</v>
      </c>
      <c r="G12" s="117">
        <f>'I-OP-RM-AGV'!J16</f>
        <v>6.666666666666667</v>
      </c>
      <c r="H12" s="113" t="str">
        <f t="shared" si="2"/>
        <v>MD</v>
      </c>
      <c r="I12" s="10">
        <v>2</v>
      </c>
      <c r="J12" s="113" t="str">
        <f t="shared" si="9"/>
        <v>EO</v>
      </c>
      <c r="K12" s="11">
        <f t="shared" si="10"/>
        <v>13.333333333333334</v>
      </c>
      <c r="L12" s="113" t="str">
        <f t="shared" si="3"/>
        <v>A</v>
      </c>
      <c r="M12" s="10">
        <v>60</v>
      </c>
      <c r="N12" s="113" t="str">
        <f t="shared" si="11"/>
        <v>MG</v>
      </c>
      <c r="O12" s="42">
        <f t="shared" si="4"/>
        <v>800</v>
      </c>
      <c r="P12" s="113" t="str">
        <f t="shared" si="5"/>
        <v>I</v>
      </c>
      <c r="Q12" s="114" t="str">
        <f t="shared" si="6"/>
        <v>Situación Crítica.
Corrección urgente.</v>
      </c>
      <c r="R12" s="113"/>
      <c r="S12" s="114" t="str">
        <f t="shared" si="7"/>
        <v>Lesiones graves que pueden ser irreparables.</v>
      </c>
      <c r="T12" s="114" t="s">
        <v>24</v>
      </c>
      <c r="U12" s="46"/>
      <c r="V12" s="116"/>
      <c r="W12" s="116"/>
    </row>
    <row r="13" spans="1:23" ht="85.5">
      <c r="A13" s="107"/>
      <c r="B13" s="114" t="s">
        <v>24</v>
      </c>
      <c r="C13" s="114" t="str">
        <f t="shared" si="0"/>
        <v>Situaciones fortuitas</v>
      </c>
      <c r="D13" s="9" t="s">
        <v>328</v>
      </c>
      <c r="E13" s="114" t="str">
        <f t="shared" si="8"/>
        <v>Otros riesgos de accidente a) inherentes a la manipulación de herramientas eléctricas</v>
      </c>
      <c r="F13" s="114" t="str">
        <f t="shared" si="1"/>
        <v>Riesgo de seguridad (Riesgo Mecánico)</v>
      </c>
      <c r="G13" s="117">
        <f>'I-OP-RM-ORAa'!J17</f>
        <v>5.2777777777777768</v>
      </c>
      <c r="H13" s="113" t="str">
        <f t="shared" si="2"/>
        <v>D</v>
      </c>
      <c r="I13" s="10">
        <v>3</v>
      </c>
      <c r="J13" s="113" t="str">
        <f t="shared" si="9"/>
        <v>EF</v>
      </c>
      <c r="K13" s="11">
        <f t="shared" si="10"/>
        <v>15.83333333333333</v>
      </c>
      <c r="L13" s="113" t="str">
        <f t="shared" si="3"/>
        <v>A</v>
      </c>
      <c r="M13" s="10">
        <v>60</v>
      </c>
      <c r="N13" s="113" t="str">
        <f t="shared" si="11"/>
        <v>MG</v>
      </c>
      <c r="O13" s="42">
        <f t="shared" si="4"/>
        <v>950</v>
      </c>
      <c r="P13" s="113" t="str">
        <f t="shared" si="5"/>
        <v>I</v>
      </c>
      <c r="Q13" s="114" t="str">
        <f t="shared" si="6"/>
        <v>Situación Crítica.
Corrección urgente.</v>
      </c>
      <c r="R13" s="113"/>
      <c r="S13" s="114" t="str">
        <f t="shared" si="7"/>
        <v>Lesiones graves que pueden ser irreparables.</v>
      </c>
      <c r="T13" s="114" t="s">
        <v>24</v>
      </c>
      <c r="U13" s="46"/>
      <c r="V13" s="116"/>
      <c r="W13" s="116"/>
    </row>
    <row r="14" spans="1:23" ht="85.5">
      <c r="A14" s="107"/>
      <c r="B14" s="114" t="s">
        <v>24</v>
      </c>
      <c r="C14" s="114" t="str">
        <f t="shared" si="0"/>
        <v>Situaciones fortuitas</v>
      </c>
      <c r="D14" s="9" t="s">
        <v>329</v>
      </c>
      <c r="E14" s="114" t="str">
        <f t="shared" si="8"/>
        <v>Otros riesgos de accidente b) Inherentes a la manipulación de herramientas manuales</v>
      </c>
      <c r="F14" s="114" t="str">
        <f t="shared" si="1"/>
        <v>Riesgo de seguridad (Riesgo Mecánico)</v>
      </c>
      <c r="G14" s="117">
        <f>'I-OP-RM-ORAb'!J18</f>
        <v>5.1219512195121952</v>
      </c>
      <c r="H14" s="113" t="str">
        <f t="shared" si="2"/>
        <v>D</v>
      </c>
      <c r="I14" s="10">
        <v>3</v>
      </c>
      <c r="J14" s="113" t="str">
        <f t="shared" si="9"/>
        <v>EF</v>
      </c>
      <c r="K14" s="11">
        <f t="shared" si="10"/>
        <v>15.365853658536587</v>
      </c>
      <c r="L14" s="113" t="str">
        <f t="shared" si="3"/>
        <v>A</v>
      </c>
      <c r="M14" s="10">
        <v>25</v>
      </c>
      <c r="N14" s="113" t="str">
        <f t="shared" si="11"/>
        <v>G</v>
      </c>
      <c r="O14" s="42">
        <f t="shared" si="4"/>
        <v>384</v>
      </c>
      <c r="P14" s="113" t="str">
        <f t="shared" si="5"/>
        <v>II</v>
      </c>
      <c r="Q14" s="114" t="str">
        <f t="shared" si="6"/>
        <v>Corregir
y adoptar medidas de control.</v>
      </c>
      <c r="R14" s="113"/>
      <c r="S14" s="114" t="str">
        <f t="shared" si="7"/>
        <v>Lesiones con incapacidad laboral transitoria (I. L. T.).</v>
      </c>
      <c r="T14" s="114" t="s">
        <v>24</v>
      </c>
      <c r="U14" s="46"/>
      <c r="V14" s="116"/>
      <c r="W14" s="116"/>
    </row>
    <row r="15" spans="1:23" ht="57">
      <c r="A15" s="107"/>
      <c r="B15" s="114" t="s">
        <v>24</v>
      </c>
      <c r="C15" s="114" t="str">
        <f t="shared" si="0"/>
        <v>Energía eléctrica</v>
      </c>
      <c r="D15" s="9" t="s">
        <v>330</v>
      </c>
      <c r="E15" s="114" t="str">
        <f t="shared" si="8"/>
        <v>Contactos Eléctricos</v>
      </c>
      <c r="F15" s="114" t="str">
        <f t="shared" si="1"/>
        <v>Riesgo de seguridad (Riesgo Eléctrico)</v>
      </c>
      <c r="G15" s="117">
        <f>'I-OP-RE-CE'!J19</f>
        <v>8.1666666666666661</v>
      </c>
      <c r="H15" s="113" t="str">
        <f t="shared" si="2"/>
        <v>MD</v>
      </c>
      <c r="I15" s="10">
        <v>2</v>
      </c>
      <c r="J15" s="113" t="str">
        <f t="shared" si="9"/>
        <v>EO</v>
      </c>
      <c r="K15" s="11">
        <f t="shared" si="10"/>
        <v>16.333333333333332</v>
      </c>
      <c r="L15" s="113" t="str">
        <f t="shared" si="3"/>
        <v>A</v>
      </c>
      <c r="M15" s="10">
        <v>25</v>
      </c>
      <c r="N15" s="113" t="str">
        <f t="shared" si="11"/>
        <v>G</v>
      </c>
      <c r="O15" s="42">
        <f t="shared" si="4"/>
        <v>408</v>
      </c>
      <c r="P15" s="113" t="str">
        <f t="shared" si="5"/>
        <v>II</v>
      </c>
      <c r="Q15" s="114" t="str">
        <f t="shared" si="6"/>
        <v>Corregir
y adoptar medidas de control.</v>
      </c>
      <c r="R15" s="113"/>
      <c r="S15" s="114" t="str">
        <f t="shared" si="7"/>
        <v>Lesiones con incapacidad laboral transitoria (I. L. T.).</v>
      </c>
      <c r="T15" s="114" t="s">
        <v>24</v>
      </c>
      <c r="U15" s="46"/>
      <c r="V15" s="116"/>
      <c r="W15" s="116"/>
    </row>
    <row r="16" spans="1:23" ht="42.75">
      <c r="A16" s="108"/>
      <c r="B16" s="114" t="s">
        <v>24</v>
      </c>
      <c r="C16" s="114" t="str">
        <f t="shared" si="0"/>
        <v>Posturas forzadas/ manipulación manual de cargas</v>
      </c>
      <c r="D16" s="9" t="s">
        <v>37</v>
      </c>
      <c r="E16" s="114" t="str">
        <f t="shared" si="8"/>
        <v>Sobreesfuerzos</v>
      </c>
      <c r="F16" s="114" t="str">
        <f t="shared" si="1"/>
        <v>Riesgo Ergonómico</v>
      </c>
      <c r="G16" s="117">
        <f>'I-OP-RC-RE-S'!I15</f>
        <v>8.9285714285714288</v>
      </c>
      <c r="H16" s="113" t="str">
        <f t="shared" si="2"/>
        <v>MD</v>
      </c>
      <c r="I16" s="10">
        <v>3</v>
      </c>
      <c r="J16" s="113" t="str">
        <f t="shared" si="9"/>
        <v>EF</v>
      </c>
      <c r="K16" s="11">
        <f t="shared" si="10"/>
        <v>26.785714285714285</v>
      </c>
      <c r="L16" s="113" t="str">
        <f t="shared" si="3"/>
        <v>MA</v>
      </c>
      <c r="M16" s="10">
        <v>60</v>
      </c>
      <c r="N16" s="113" t="str">
        <f t="shared" si="11"/>
        <v>MG</v>
      </c>
      <c r="O16" s="42">
        <f t="shared" si="4"/>
        <v>1607</v>
      </c>
      <c r="P16" s="113" t="str">
        <f t="shared" si="5"/>
        <v>I</v>
      </c>
      <c r="Q16" s="114" t="str">
        <f t="shared" si="6"/>
        <v>Situación Crítica.
Corrección urgente.</v>
      </c>
      <c r="R16" s="113"/>
      <c r="S16" s="114" t="str">
        <f t="shared" si="7"/>
        <v>Lesiones graves que pueden ser irreparables.</v>
      </c>
      <c r="T16" s="114" t="s">
        <v>24</v>
      </c>
      <c r="U16" s="46"/>
      <c r="V16" s="116"/>
      <c r="W16" s="116"/>
    </row>
    <row r="17" spans="1:21" ht="57">
      <c r="A17" s="109" t="s">
        <v>38</v>
      </c>
      <c r="B17" s="114" t="s">
        <v>24</v>
      </c>
      <c r="C17" s="114" t="str">
        <f t="shared" si="0"/>
        <v>Niveles sonoros</v>
      </c>
      <c r="D17" s="9" t="s">
        <v>25</v>
      </c>
      <c r="E17" s="114" t="str">
        <f t="shared" si="8"/>
        <v>Ruido</v>
      </c>
      <c r="F17" s="114" t="str">
        <f t="shared" si="1"/>
        <v>Riesgo Físico</v>
      </c>
      <c r="G17" s="117">
        <f>'I-MT-RC-RF-R'!I13</f>
        <v>8.4375</v>
      </c>
      <c r="H17" s="113" t="str">
        <f t="shared" si="2"/>
        <v>MD</v>
      </c>
      <c r="I17" s="10">
        <v>3</v>
      </c>
      <c r="J17" s="113" t="str">
        <f t="shared" si="9"/>
        <v>EF</v>
      </c>
      <c r="K17" s="11">
        <f t="shared" si="10"/>
        <v>25.3125</v>
      </c>
      <c r="L17" s="113" t="str">
        <f t="shared" si="3"/>
        <v>MA</v>
      </c>
      <c r="M17" s="10">
        <v>25</v>
      </c>
      <c r="N17" s="113" t="str">
        <f t="shared" si="11"/>
        <v>G</v>
      </c>
      <c r="O17" s="42">
        <f t="shared" si="4"/>
        <v>633</v>
      </c>
      <c r="P17" s="113" t="str">
        <f t="shared" si="5"/>
        <v>I</v>
      </c>
      <c r="Q17" s="114" t="str">
        <f t="shared" si="6"/>
        <v>Situación Crítica.
Corrección urgente.</v>
      </c>
      <c r="R17" s="113"/>
      <c r="S17" s="114" t="str">
        <f t="shared" si="7"/>
        <v>Lesiones con incapacidad laboral transitoria (I. L. T.).</v>
      </c>
      <c r="T17" s="114" t="s">
        <v>24</v>
      </c>
      <c r="U17" s="46"/>
    </row>
    <row r="18" spans="1:21" ht="57">
      <c r="A18" s="110"/>
      <c r="B18" s="114" t="s">
        <v>24</v>
      </c>
      <c r="C18" s="114" t="str">
        <f t="shared" si="0"/>
        <v>Movimientos oscilatorios</v>
      </c>
      <c r="D18" s="9" t="s">
        <v>39</v>
      </c>
      <c r="E18" s="114" t="str">
        <f t="shared" si="8"/>
        <v>Vibración</v>
      </c>
      <c r="F18" s="114" t="str">
        <f t="shared" si="1"/>
        <v>Riesgo Físico</v>
      </c>
      <c r="G18" s="117">
        <f>'I-MT-RC-RF-V'!I13</f>
        <v>10</v>
      </c>
      <c r="H18" s="113" t="str">
        <f t="shared" si="2"/>
        <v>MD</v>
      </c>
      <c r="I18" s="10">
        <v>3</v>
      </c>
      <c r="J18" s="113" t="str">
        <f t="shared" si="9"/>
        <v>EF</v>
      </c>
      <c r="K18" s="11">
        <f t="shared" si="10"/>
        <v>30</v>
      </c>
      <c r="L18" s="113" t="str">
        <f t="shared" si="3"/>
        <v>MA</v>
      </c>
      <c r="M18" s="10">
        <v>25</v>
      </c>
      <c r="N18" s="113" t="str">
        <f t="shared" si="11"/>
        <v>G</v>
      </c>
      <c r="O18" s="42">
        <f t="shared" si="4"/>
        <v>750</v>
      </c>
      <c r="P18" s="113" t="str">
        <f t="shared" si="5"/>
        <v>I</v>
      </c>
      <c r="Q18" s="114" t="str">
        <f t="shared" si="6"/>
        <v>Situación Crítica.
Corrección urgente.</v>
      </c>
      <c r="R18" s="113"/>
      <c r="S18" s="114" t="str">
        <f t="shared" si="7"/>
        <v>Lesiones con incapacidad laboral transitoria (I. L. T.).</v>
      </c>
      <c r="T18" s="114" t="s">
        <v>24</v>
      </c>
      <c r="U18" s="46"/>
    </row>
    <row r="19" spans="1:21" ht="57">
      <c r="A19" s="110"/>
      <c r="B19" s="114" t="s">
        <v>24</v>
      </c>
      <c r="C19" s="114" t="str">
        <f t="shared" si="0"/>
        <v>Niveles lumínicos</v>
      </c>
      <c r="D19" s="9" t="s">
        <v>26</v>
      </c>
      <c r="E19" s="114" t="str">
        <f t="shared" si="8"/>
        <v>Iluminación</v>
      </c>
      <c r="F19" s="114" t="str">
        <f t="shared" si="1"/>
        <v>Riesgo Físico</v>
      </c>
      <c r="G19" s="117">
        <f>'I-MT-RC-RF-I'!I12</f>
        <v>6.8421052631578956</v>
      </c>
      <c r="H19" s="113" t="str">
        <f t="shared" si="2"/>
        <v>MD</v>
      </c>
      <c r="I19" s="10">
        <v>2</v>
      </c>
      <c r="J19" s="113" t="str">
        <f t="shared" si="9"/>
        <v>EO</v>
      </c>
      <c r="K19" s="11">
        <f t="shared" si="10"/>
        <v>13.684210526315791</v>
      </c>
      <c r="L19" s="113" t="str">
        <f t="shared" si="3"/>
        <v>A</v>
      </c>
      <c r="M19" s="10">
        <v>25</v>
      </c>
      <c r="N19" s="113" t="str">
        <f t="shared" si="11"/>
        <v>G</v>
      </c>
      <c r="O19" s="42">
        <f t="shared" si="4"/>
        <v>342</v>
      </c>
      <c r="P19" s="113" t="str">
        <f t="shared" si="5"/>
        <v>II</v>
      </c>
      <c r="Q19" s="114" t="str">
        <f t="shared" si="6"/>
        <v>Corregir
y adoptar medidas de control.</v>
      </c>
      <c r="R19" s="113"/>
      <c r="S19" s="114" t="str">
        <f t="shared" si="7"/>
        <v>Lesiones con incapacidad laboral transitoria (I. L. T.).</v>
      </c>
      <c r="T19" s="114" t="s">
        <v>24</v>
      </c>
      <c r="U19" s="46"/>
    </row>
    <row r="20" spans="1:21" ht="57">
      <c r="A20" s="110"/>
      <c r="B20" s="114" t="s">
        <v>24</v>
      </c>
      <c r="C20" s="114" t="str">
        <f t="shared" si="0"/>
        <v>Condiciones inadecuadas</v>
      </c>
      <c r="D20" s="9" t="s">
        <v>27</v>
      </c>
      <c r="E20" s="114" t="str">
        <f t="shared" si="8"/>
        <v>Organización del trabajo incorrecta</v>
      </c>
      <c r="F20" s="114" t="str">
        <f t="shared" si="1"/>
        <v>Riesgo de seguridad (Riesgo Locativo)</v>
      </c>
      <c r="G20" s="117">
        <f>'I-MT-RL-OI'!J14</f>
        <v>7.0270270270270263</v>
      </c>
      <c r="H20" s="113" t="str">
        <f t="shared" si="2"/>
        <v>MD</v>
      </c>
      <c r="I20" s="10">
        <v>2</v>
      </c>
      <c r="J20" s="113" t="str">
        <f t="shared" si="9"/>
        <v>EO</v>
      </c>
      <c r="K20" s="11">
        <f t="shared" si="10"/>
        <v>14.054054054054053</v>
      </c>
      <c r="L20" s="113" t="str">
        <f t="shared" si="3"/>
        <v>A</v>
      </c>
      <c r="M20" s="10">
        <v>25</v>
      </c>
      <c r="N20" s="113" t="str">
        <f t="shared" si="11"/>
        <v>G</v>
      </c>
      <c r="O20" s="42">
        <f t="shared" si="4"/>
        <v>351</v>
      </c>
      <c r="P20" s="113" t="str">
        <f t="shared" si="5"/>
        <v>II</v>
      </c>
      <c r="Q20" s="114" t="str">
        <f t="shared" si="6"/>
        <v>Corregir
y adoptar medidas de control.</v>
      </c>
      <c r="R20" s="113"/>
      <c r="S20" s="114" t="str">
        <f t="shared" si="7"/>
        <v>Lesiones con incapacidad laboral transitoria (I. L. T.).</v>
      </c>
      <c r="T20" s="114" t="s">
        <v>24</v>
      </c>
      <c r="U20" s="46"/>
    </row>
    <row r="21" spans="1:21" ht="57">
      <c r="A21" s="110"/>
      <c r="B21" s="114" t="s">
        <v>24</v>
      </c>
      <c r="C21" s="114" t="str">
        <f t="shared" si="0"/>
        <v>Trabajo en altura/ zonas con desnivel</v>
      </c>
      <c r="D21" s="9" t="s">
        <v>331</v>
      </c>
      <c r="E21" s="114" t="str">
        <f t="shared" si="8"/>
        <v>Caída de personas a distinto nivel</v>
      </c>
      <c r="F21" s="114" t="str">
        <f t="shared" si="1"/>
        <v>Riesgo de seguridad (Riesgo Mecánico)</v>
      </c>
      <c r="G21" s="117">
        <f>'I-MT-RM-CDN'!J14</f>
        <v>7.419354838709677</v>
      </c>
      <c r="H21" s="113" t="str">
        <f t="shared" si="2"/>
        <v>MD</v>
      </c>
      <c r="I21" s="10">
        <v>3</v>
      </c>
      <c r="J21" s="113" t="str">
        <f t="shared" si="9"/>
        <v>EF</v>
      </c>
      <c r="K21" s="11">
        <f t="shared" si="10"/>
        <v>22.258064516129032</v>
      </c>
      <c r="L21" s="113" t="str">
        <f t="shared" si="3"/>
        <v>A</v>
      </c>
      <c r="M21" s="10">
        <v>100</v>
      </c>
      <c r="N21" s="113" t="str">
        <f t="shared" si="11"/>
        <v>M</v>
      </c>
      <c r="O21" s="42">
        <f t="shared" si="4"/>
        <v>2226</v>
      </c>
      <c r="P21" s="113" t="str">
        <f t="shared" si="5"/>
        <v>I</v>
      </c>
      <c r="Q21" s="114" t="str">
        <f t="shared" si="6"/>
        <v>Situación Crítica.
Corrección urgente.</v>
      </c>
      <c r="R21" s="113"/>
      <c r="S21" s="114" t="str">
        <f t="shared" si="7"/>
        <v>1 muerto o más.</v>
      </c>
      <c r="T21" s="114" t="s">
        <v>24</v>
      </c>
      <c r="U21" s="46"/>
    </row>
    <row r="22" spans="1:21" ht="57">
      <c r="A22" s="110"/>
      <c r="B22" s="114" t="s">
        <v>24</v>
      </c>
      <c r="C22" s="114" t="str">
        <f t="shared" si="0"/>
        <v>Superficies irregulares u obstruidas</v>
      </c>
      <c r="D22" s="9" t="s">
        <v>322</v>
      </c>
      <c r="E22" s="114" t="str">
        <f t="shared" si="8"/>
        <v>Caída de personas al mismo nivel</v>
      </c>
      <c r="F22" s="114" t="str">
        <f t="shared" si="1"/>
        <v>Riesgo de seguridad (Riesgo Mecánico)</v>
      </c>
      <c r="G22" s="117">
        <f>'I-MT-RM-CMN'!J15</f>
        <v>7.5</v>
      </c>
      <c r="H22" s="113" t="str">
        <f t="shared" si="2"/>
        <v>MD</v>
      </c>
      <c r="I22" s="10">
        <v>3</v>
      </c>
      <c r="J22" s="113" t="str">
        <f t="shared" si="9"/>
        <v>EF</v>
      </c>
      <c r="K22" s="11">
        <f t="shared" si="10"/>
        <v>22.5</v>
      </c>
      <c r="L22" s="113" t="str">
        <f t="shared" si="3"/>
        <v>A</v>
      </c>
      <c r="M22" s="10">
        <v>60</v>
      </c>
      <c r="N22" s="113" t="str">
        <f t="shared" si="11"/>
        <v>MG</v>
      </c>
      <c r="O22" s="42">
        <f t="shared" si="4"/>
        <v>1350</v>
      </c>
      <c r="P22" s="113" t="str">
        <f t="shared" si="5"/>
        <v>I</v>
      </c>
      <c r="Q22" s="114" t="str">
        <f t="shared" si="6"/>
        <v>Situación Crítica.
Corrección urgente.</v>
      </c>
      <c r="R22" s="113"/>
      <c r="S22" s="114" t="str">
        <f t="shared" si="7"/>
        <v>Lesiones graves que pueden ser irreparables.</v>
      </c>
      <c r="T22" s="114" t="s">
        <v>24</v>
      </c>
      <c r="U22" s="46"/>
    </row>
    <row r="23" spans="1:21" ht="57">
      <c r="A23" s="110"/>
      <c r="B23" s="114" t="s">
        <v>24</v>
      </c>
      <c r="C23" s="114" t="str">
        <f t="shared" si="0"/>
        <v>Estructuras inestables/ espacios confinados</v>
      </c>
      <c r="D23" s="9" t="s">
        <v>332</v>
      </c>
      <c r="E23" s="114" t="str">
        <f t="shared" si="8"/>
        <v>Caída de objetos por desplome</v>
      </c>
      <c r="F23" s="114" t="str">
        <f t="shared" si="1"/>
        <v>Riesgo de seguridad (Riesgo Mecánico)</v>
      </c>
      <c r="G23" s="117">
        <f>'I-MT-RM-COD'!J14</f>
        <v>6.486486486486486</v>
      </c>
      <c r="H23" s="113" t="str">
        <f t="shared" si="2"/>
        <v>MD</v>
      </c>
      <c r="I23" s="10">
        <v>3</v>
      </c>
      <c r="J23" s="113" t="str">
        <f t="shared" si="9"/>
        <v>EF</v>
      </c>
      <c r="K23" s="11">
        <f t="shared" si="10"/>
        <v>19.45945945945946</v>
      </c>
      <c r="L23" s="113" t="str">
        <f t="shared" si="3"/>
        <v>A</v>
      </c>
      <c r="M23" s="10">
        <v>60</v>
      </c>
      <c r="N23" s="113" t="str">
        <f t="shared" si="11"/>
        <v>MG</v>
      </c>
      <c r="O23" s="42">
        <f t="shared" si="4"/>
        <v>1168</v>
      </c>
      <c r="P23" s="113" t="str">
        <f t="shared" si="5"/>
        <v>I</v>
      </c>
      <c r="Q23" s="114" t="str">
        <f t="shared" si="6"/>
        <v>Situación Crítica.
Corrección urgente.</v>
      </c>
      <c r="R23" s="113"/>
      <c r="S23" s="114" t="str">
        <f t="shared" si="7"/>
        <v>Lesiones graves que pueden ser irreparables.</v>
      </c>
      <c r="T23" s="114" t="s">
        <v>24</v>
      </c>
      <c r="U23" s="46"/>
    </row>
    <row r="24" spans="1:21" ht="57">
      <c r="A24" s="110"/>
      <c r="B24" s="114" t="s">
        <v>24</v>
      </c>
      <c r="C24" s="114" t="str">
        <f t="shared" si="0"/>
        <v>Desprendimiento de objetos</v>
      </c>
      <c r="D24" s="9" t="s">
        <v>323</v>
      </c>
      <c r="E24" s="114" t="str">
        <f t="shared" si="8"/>
        <v>Caída de objetos en manipulación</v>
      </c>
      <c r="F24" s="114" t="str">
        <f t="shared" si="1"/>
        <v>Riesgo de seguridad (Riesgo Mecánico)</v>
      </c>
      <c r="G24" s="117">
        <f>'I-MT-RM-COM'!J16</f>
        <v>6.8571428571428559</v>
      </c>
      <c r="H24" s="113" t="str">
        <f t="shared" si="2"/>
        <v>MD</v>
      </c>
      <c r="I24" s="10">
        <v>3</v>
      </c>
      <c r="J24" s="113" t="str">
        <f t="shared" si="9"/>
        <v>EF</v>
      </c>
      <c r="K24" s="11">
        <f t="shared" si="10"/>
        <v>20.571428571428569</v>
      </c>
      <c r="L24" s="113" t="str">
        <f t="shared" si="3"/>
        <v>A</v>
      </c>
      <c r="M24" s="10">
        <v>25</v>
      </c>
      <c r="N24" s="113" t="str">
        <f t="shared" si="11"/>
        <v>G</v>
      </c>
      <c r="O24" s="42">
        <f t="shared" si="4"/>
        <v>514</v>
      </c>
      <c r="P24" s="113" t="str">
        <f t="shared" si="5"/>
        <v>I</v>
      </c>
      <c r="Q24" s="114" t="str">
        <f t="shared" si="6"/>
        <v>Situación Crítica.
Corrección urgente.</v>
      </c>
      <c r="R24" s="113"/>
      <c r="S24" s="114" t="str">
        <f t="shared" si="7"/>
        <v>Lesiones con incapacidad laboral transitoria (I. L. T.).</v>
      </c>
      <c r="T24" s="114" t="s">
        <v>24</v>
      </c>
      <c r="U24" s="46"/>
    </row>
    <row r="25" spans="1:21" ht="57">
      <c r="A25" s="110"/>
      <c r="B25" s="114" t="s">
        <v>24</v>
      </c>
      <c r="C25" s="114" t="str">
        <f t="shared" si="0"/>
        <v>Manipulación de máquinas/ herramientas</v>
      </c>
      <c r="D25" s="9" t="s">
        <v>324</v>
      </c>
      <c r="E25" s="114" t="str">
        <f t="shared" si="8"/>
        <v>Golpes/cortes por objetos o herramientas</v>
      </c>
      <c r="F25" s="114" t="str">
        <f t="shared" si="1"/>
        <v>Riesgo de seguridad (Riesgo Mecánico)</v>
      </c>
      <c r="G25" s="117">
        <f>'I-MT-RM-GCOH'!J19</f>
        <v>6.875</v>
      </c>
      <c r="H25" s="113" t="str">
        <f t="shared" si="2"/>
        <v>MD</v>
      </c>
      <c r="I25" s="10">
        <v>2</v>
      </c>
      <c r="J25" s="113" t="str">
        <f t="shared" si="9"/>
        <v>EO</v>
      </c>
      <c r="K25" s="11">
        <f t="shared" si="10"/>
        <v>13.75</v>
      </c>
      <c r="L25" s="113" t="str">
        <f t="shared" si="3"/>
        <v>A</v>
      </c>
      <c r="M25" s="10">
        <v>25</v>
      </c>
      <c r="N25" s="113" t="str">
        <f t="shared" si="11"/>
        <v>G</v>
      </c>
      <c r="O25" s="42">
        <f t="shared" si="4"/>
        <v>344</v>
      </c>
      <c r="P25" s="113" t="str">
        <f t="shared" si="5"/>
        <v>II</v>
      </c>
      <c r="Q25" s="114" t="str">
        <f t="shared" si="6"/>
        <v>Corregir
y adoptar medidas de control.</v>
      </c>
      <c r="R25" s="113"/>
      <c r="S25" s="114" t="str">
        <f t="shared" si="7"/>
        <v>Lesiones con incapacidad laboral transitoria (I. L. T.).</v>
      </c>
      <c r="T25" s="114" t="s">
        <v>24</v>
      </c>
      <c r="U25" s="46"/>
    </row>
    <row r="26" spans="1:21" ht="57">
      <c r="A26" s="110"/>
      <c r="B26" s="114" t="s">
        <v>24</v>
      </c>
      <c r="C26" s="114" t="str">
        <f t="shared" si="0"/>
        <v>Operaciones de conformado</v>
      </c>
      <c r="D26" s="9" t="s">
        <v>325</v>
      </c>
      <c r="E26" s="114" t="str">
        <f t="shared" si="8"/>
        <v>Proyección de fragmentos o partículas</v>
      </c>
      <c r="F26" s="114" t="str">
        <f t="shared" si="1"/>
        <v>Riesgo de seguridad (Riesgo Mecánico)</v>
      </c>
      <c r="G26" s="117">
        <f>'I-MT-RM-PFP'!J14</f>
        <v>7.7419354838709671</v>
      </c>
      <c r="H26" s="113" t="str">
        <f t="shared" si="2"/>
        <v>MD</v>
      </c>
      <c r="I26" s="10">
        <v>3</v>
      </c>
      <c r="J26" s="113" t="str">
        <f t="shared" si="9"/>
        <v>EF</v>
      </c>
      <c r="K26" s="11">
        <f t="shared" si="10"/>
        <v>23.2258064516129</v>
      </c>
      <c r="L26" s="113" t="str">
        <f t="shared" si="3"/>
        <v>A</v>
      </c>
      <c r="M26" s="10">
        <v>25</v>
      </c>
      <c r="N26" s="113" t="str">
        <f t="shared" si="11"/>
        <v>G</v>
      </c>
      <c r="O26" s="42">
        <f t="shared" si="4"/>
        <v>581</v>
      </c>
      <c r="P26" s="113" t="str">
        <f t="shared" si="5"/>
        <v>I</v>
      </c>
      <c r="Q26" s="114" t="str">
        <f t="shared" si="6"/>
        <v>Situación Crítica.
Corrección urgente.</v>
      </c>
      <c r="R26" s="113"/>
      <c r="S26" s="114" t="str">
        <f t="shared" si="7"/>
        <v>Lesiones con incapacidad laboral transitoria (I. L. T.).</v>
      </c>
      <c r="T26" s="114" t="s">
        <v>24</v>
      </c>
      <c r="U26" s="46"/>
    </row>
    <row r="27" spans="1:21" ht="57">
      <c r="A27" s="110"/>
      <c r="B27" s="114" t="s">
        <v>24</v>
      </c>
      <c r="C27" s="114" t="str">
        <f t="shared" si="0"/>
        <v>Objetos fijos o móviles</v>
      </c>
      <c r="D27" s="9" t="s">
        <v>326</v>
      </c>
      <c r="E27" s="114" t="str">
        <f t="shared" si="8"/>
        <v>Atrapamiento por o entre objetos</v>
      </c>
      <c r="F27" s="114" t="str">
        <f t="shared" si="1"/>
        <v>Riesgo de seguridad (Riesgo Mecánico)</v>
      </c>
      <c r="G27" s="117">
        <f>'I-MT-RM-APEO'!J17</f>
        <v>7.7083333333333339</v>
      </c>
      <c r="H27" s="113" t="str">
        <f t="shared" si="2"/>
        <v>MD</v>
      </c>
      <c r="I27" s="10">
        <v>2</v>
      </c>
      <c r="J27" s="113" t="str">
        <f t="shared" si="9"/>
        <v>EO</v>
      </c>
      <c r="K27" s="11">
        <f t="shared" si="10"/>
        <v>15.416666666666668</v>
      </c>
      <c r="L27" s="113" t="str">
        <f t="shared" si="3"/>
        <v>A</v>
      </c>
      <c r="M27" s="10">
        <v>25</v>
      </c>
      <c r="N27" s="113" t="str">
        <f t="shared" si="11"/>
        <v>G</v>
      </c>
      <c r="O27" s="42">
        <f t="shared" si="4"/>
        <v>385</v>
      </c>
      <c r="P27" s="113" t="str">
        <f t="shared" si="5"/>
        <v>II</v>
      </c>
      <c r="Q27" s="114" t="str">
        <f t="shared" si="6"/>
        <v>Corregir
y adoptar medidas de control.</v>
      </c>
      <c r="R27" s="113"/>
      <c r="S27" s="114" t="str">
        <f t="shared" si="7"/>
        <v>Lesiones con incapacidad laboral transitoria (I. L. T.).</v>
      </c>
      <c r="T27" s="114" t="s">
        <v>24</v>
      </c>
      <c r="U27" s="46"/>
    </row>
    <row r="28" spans="1:21" ht="42.75">
      <c r="A28" s="110"/>
      <c r="B28" s="114" t="s">
        <v>24</v>
      </c>
      <c r="C28" s="114" t="str">
        <f t="shared" si="0"/>
        <v>Maquinaria pesada</v>
      </c>
      <c r="D28" s="9" t="s">
        <v>333</v>
      </c>
      <c r="E28" s="114" t="str">
        <f t="shared" si="8"/>
        <v>Atrapamiento por vuelco de máquinas</v>
      </c>
      <c r="F28" s="114" t="str">
        <f t="shared" si="1"/>
        <v>Riesgo Mecánico</v>
      </c>
      <c r="G28" s="117">
        <f>'I-MT-RM-AVM'!J18</f>
        <v>6.7272727272727275</v>
      </c>
      <c r="H28" s="113" t="str">
        <f>IF(G28="","",IF(AND(G28&lt;=10,G28&gt;6),"MD",IF(AND(G28&lt;=6,G28&gt;2),"D",IF(AND(G28&lt;=2,G28&gt;0),"M",IF(G28=0,"B")))))</f>
        <v>MD</v>
      </c>
      <c r="I28" s="10">
        <v>4</v>
      </c>
      <c r="J28" s="113" t="str">
        <f>IF(I28=4,"EC",IF(I28=3,"EF",IF(I28=2,"EO",IF(I28=1,"EE",""))))</f>
        <v>EC</v>
      </c>
      <c r="K28" s="11">
        <f>IF(I28="","",G28*I28)</f>
        <v>26.90909090909091</v>
      </c>
      <c r="L28" s="113" t="str">
        <f>IF(K28="","",IF(K28&gt;=24,"MA",IF(AND(K28&lt;24,K28&gt;8),"A",IF(AND(K28&lt;=8,K28&gt;4),"M",IF(AND(K28&lt;=4,K28&gt;=0),"B")))))</f>
        <v>MA</v>
      </c>
      <c r="M28" s="10">
        <v>100</v>
      </c>
      <c r="N28" s="113" t="str">
        <f>IF(M28="","",IF(M28=100,"M",IF(M28=60,"MG",IF(M28=25,"G",IF(M28=10,"L","")))))</f>
        <v>M</v>
      </c>
      <c r="O28" s="42">
        <f t="shared" si="4"/>
        <v>2691</v>
      </c>
      <c r="P28" s="113" t="str">
        <f>IF(O28="","",IF(O28="","",IF(AND(O28&lt;=4000,O28&gt;500),"I",IF(AND(O28&lt;=500,O28&gt;120),"II",IF(AND(O28&lt;=120,O28&gt;20),"III",IF(O28&lt;=20,"IV"))))))</f>
        <v>I</v>
      </c>
      <c r="Q28" s="114" t="str">
        <f>IF(P28="","",IF(P28="I","Situación Crítica.
Corrección urgente.",IF(P28="II","Corregir
y adoptar medidas de control.",IF(P28="III","Mejorar si es posible. Sería conveniente justificar la intervención y su rentabilidad.",IF(P28="IV","No intervenir, salvo que un análisis más preciso lo justifique.")))))</f>
        <v>Situación Crítica.
Corrección urgente.</v>
      </c>
      <c r="R28" s="113"/>
      <c r="S28" s="114" t="str">
        <f>IF(M28="","",IF(M28=10,"Pequeñas lesiones que no requieren hospitalización.",IF(M28=25,"Lesiones con incapacidad laboral transitoria (I. L. T.).",IF(M28=60,"Lesiones graves que pueden ser irreparables.",IF(M28=100,"1 muerto o más.")))))</f>
        <v>1 muerto o más.</v>
      </c>
      <c r="T28" s="114" t="s">
        <v>24</v>
      </c>
      <c r="U28" s="46"/>
    </row>
    <row r="29" spans="1:21" ht="57">
      <c r="A29" s="110"/>
      <c r="B29" s="114" t="s">
        <v>24</v>
      </c>
      <c r="C29" s="114" t="str">
        <f t="shared" si="0"/>
        <v>Colisión/ impacto vehicular</v>
      </c>
      <c r="D29" s="9" t="s">
        <v>327</v>
      </c>
      <c r="E29" s="114" t="str">
        <f t="shared" si="8"/>
        <v>Atropellos o golpes con vehículos</v>
      </c>
      <c r="F29" s="114" t="str">
        <f t="shared" si="1"/>
        <v>Riesgo de seguridad (Riesgo Mecánico)</v>
      </c>
      <c r="G29" s="117">
        <f>'I-MT-RM-AGV'!J16</f>
        <v>6.666666666666667</v>
      </c>
      <c r="H29" s="113" t="str">
        <f t="shared" si="2"/>
        <v>MD</v>
      </c>
      <c r="I29" s="10">
        <v>4</v>
      </c>
      <c r="J29" s="113" t="str">
        <f t="shared" si="9"/>
        <v>EC</v>
      </c>
      <c r="K29" s="11">
        <f t="shared" si="10"/>
        <v>26.666666666666668</v>
      </c>
      <c r="L29" s="113" t="str">
        <f t="shared" si="3"/>
        <v>MA</v>
      </c>
      <c r="M29" s="10">
        <v>100</v>
      </c>
      <c r="N29" s="113" t="str">
        <f t="shared" si="11"/>
        <v>M</v>
      </c>
      <c r="O29" s="42">
        <f t="shared" si="4"/>
        <v>2667</v>
      </c>
      <c r="P29" s="113" t="str">
        <f t="shared" si="5"/>
        <v>I</v>
      </c>
      <c r="Q29" s="114" t="str">
        <f t="shared" si="6"/>
        <v>Situación Crítica.
Corrección urgente.</v>
      </c>
      <c r="R29" s="113"/>
      <c r="S29" s="114" t="str">
        <f t="shared" si="7"/>
        <v>1 muerto o más.</v>
      </c>
      <c r="T29" s="114" t="s">
        <v>24</v>
      </c>
      <c r="U29" s="46"/>
    </row>
    <row r="30" spans="1:21" ht="85.5">
      <c r="A30" s="110"/>
      <c r="B30" s="114" t="s">
        <v>24</v>
      </c>
      <c r="C30" s="114" t="str">
        <f t="shared" si="0"/>
        <v>Situaciones fortuitas</v>
      </c>
      <c r="D30" s="9" t="s">
        <v>328</v>
      </c>
      <c r="E30" s="114" t="str">
        <f t="shared" si="8"/>
        <v>Otros riesgos de accidente a) inherentes a la manipulación de herramientas eléctricas</v>
      </c>
      <c r="F30" s="114" t="str">
        <f t="shared" si="1"/>
        <v>Riesgo de seguridad (Riesgo Mecánico)</v>
      </c>
      <c r="G30" s="117">
        <f>'I-MT-RM-ORAa'!J17</f>
        <v>5.2777777777777768</v>
      </c>
      <c r="H30" s="113" t="str">
        <f t="shared" si="2"/>
        <v>D</v>
      </c>
      <c r="I30" s="10">
        <v>2</v>
      </c>
      <c r="J30" s="113" t="str">
        <f t="shared" si="9"/>
        <v>EO</v>
      </c>
      <c r="K30" s="11">
        <f t="shared" si="10"/>
        <v>10.555555555555554</v>
      </c>
      <c r="L30" s="113" t="str">
        <f t="shared" si="3"/>
        <v>A</v>
      </c>
      <c r="M30" s="10">
        <v>25</v>
      </c>
      <c r="N30" s="113" t="str">
        <f t="shared" si="11"/>
        <v>G</v>
      </c>
      <c r="O30" s="42">
        <f t="shared" si="4"/>
        <v>264</v>
      </c>
      <c r="P30" s="113" t="str">
        <f t="shared" si="5"/>
        <v>II</v>
      </c>
      <c r="Q30" s="114" t="str">
        <f t="shared" si="6"/>
        <v>Corregir
y adoptar medidas de control.</v>
      </c>
      <c r="R30" s="113"/>
      <c r="S30" s="114" t="str">
        <f t="shared" si="7"/>
        <v>Lesiones con incapacidad laboral transitoria (I. L. T.).</v>
      </c>
      <c r="T30" s="114" t="s">
        <v>24</v>
      </c>
      <c r="U30" s="46"/>
    </row>
    <row r="31" spans="1:21" ht="85.5">
      <c r="A31" s="110"/>
      <c r="B31" s="114" t="s">
        <v>24</v>
      </c>
      <c r="C31" s="114" t="str">
        <f t="shared" si="0"/>
        <v>Situaciones fortuitas</v>
      </c>
      <c r="D31" s="9" t="s">
        <v>329</v>
      </c>
      <c r="E31" s="114" t="str">
        <f t="shared" si="8"/>
        <v>Otros riesgos de accidente b) Inherentes a la manipulación de herramientas manuales</v>
      </c>
      <c r="F31" s="114" t="str">
        <f t="shared" si="1"/>
        <v>Riesgo de seguridad (Riesgo Mecánico)</v>
      </c>
      <c r="G31" s="117">
        <f>'I-MT-RM-ORAb'!J18</f>
        <v>5.1219512195121952</v>
      </c>
      <c r="H31" s="113" t="str">
        <f t="shared" si="2"/>
        <v>D</v>
      </c>
      <c r="I31" s="10">
        <v>2</v>
      </c>
      <c r="J31" s="113" t="str">
        <f t="shared" si="9"/>
        <v>EO</v>
      </c>
      <c r="K31" s="11">
        <f t="shared" si="10"/>
        <v>10.24390243902439</v>
      </c>
      <c r="L31" s="113" t="str">
        <f t="shared" si="3"/>
        <v>A</v>
      </c>
      <c r="M31" s="10">
        <v>25</v>
      </c>
      <c r="N31" s="113" t="str">
        <f t="shared" si="11"/>
        <v>G</v>
      </c>
      <c r="O31" s="42">
        <f t="shared" si="4"/>
        <v>256</v>
      </c>
      <c r="P31" s="113" t="str">
        <f t="shared" si="5"/>
        <v>II</v>
      </c>
      <c r="Q31" s="114" t="str">
        <f t="shared" si="6"/>
        <v>Corregir
y adoptar medidas de control.</v>
      </c>
      <c r="R31" s="113"/>
      <c r="S31" s="114" t="str">
        <f t="shared" si="7"/>
        <v>Lesiones con incapacidad laboral transitoria (I. L. T.).</v>
      </c>
      <c r="T31" s="114" t="s">
        <v>24</v>
      </c>
      <c r="U31" s="46"/>
    </row>
    <row r="32" spans="1:21" ht="57">
      <c r="A32" s="110"/>
      <c r="B32" s="114" t="s">
        <v>24</v>
      </c>
      <c r="C32" s="114" t="str">
        <f t="shared" si="0"/>
        <v>Energía eléctrica</v>
      </c>
      <c r="D32" s="9" t="s">
        <v>330</v>
      </c>
      <c r="E32" s="114" t="str">
        <f t="shared" si="8"/>
        <v>Contactos Eléctricos</v>
      </c>
      <c r="F32" s="114" t="str">
        <f t="shared" si="1"/>
        <v>Riesgo de seguridad (Riesgo Eléctrico)</v>
      </c>
      <c r="G32" s="117">
        <f>'I-MT-RE-CE'!J19</f>
        <v>8.1666666666666661</v>
      </c>
      <c r="H32" s="113" t="str">
        <f t="shared" si="2"/>
        <v>MD</v>
      </c>
      <c r="I32" s="10">
        <v>2</v>
      </c>
      <c r="J32" s="113" t="str">
        <f t="shared" si="9"/>
        <v>EO</v>
      </c>
      <c r="K32" s="11">
        <f t="shared" si="10"/>
        <v>16.333333333333332</v>
      </c>
      <c r="L32" s="113" t="str">
        <f t="shared" si="3"/>
        <v>A</v>
      </c>
      <c r="M32" s="10">
        <v>25</v>
      </c>
      <c r="N32" s="113" t="str">
        <f t="shared" si="11"/>
        <v>G</v>
      </c>
      <c r="O32" s="42">
        <f t="shared" si="4"/>
        <v>408</v>
      </c>
      <c r="P32" s="113" t="str">
        <f t="shared" si="5"/>
        <v>II</v>
      </c>
      <c r="Q32" s="114" t="str">
        <f t="shared" si="6"/>
        <v>Corregir
y adoptar medidas de control.</v>
      </c>
      <c r="R32" s="113"/>
      <c r="S32" s="114" t="str">
        <f t="shared" si="7"/>
        <v>Lesiones con incapacidad laboral transitoria (I. L. T.).</v>
      </c>
      <c r="T32" s="114" t="s">
        <v>24</v>
      </c>
      <c r="U32" s="46"/>
    </row>
    <row r="33" spans="1:21" ht="57">
      <c r="A33" s="111"/>
      <c r="B33" s="114" t="s">
        <v>24</v>
      </c>
      <c r="C33" s="114" t="str">
        <f t="shared" si="0"/>
        <v>Posturas forzadas/ manipulación manual de cargas</v>
      </c>
      <c r="D33" s="9" t="s">
        <v>37</v>
      </c>
      <c r="E33" s="114" t="str">
        <f t="shared" si="8"/>
        <v>Sobreesfuerzos</v>
      </c>
      <c r="F33" s="114" t="str">
        <f t="shared" si="1"/>
        <v>Riesgo Ergonómico</v>
      </c>
      <c r="G33" s="117">
        <f>'I-MT-RC-RE-S'!I15</f>
        <v>8.9285714285714288</v>
      </c>
      <c r="H33" s="113" t="str">
        <f t="shared" si="2"/>
        <v>MD</v>
      </c>
      <c r="I33" s="10">
        <v>2</v>
      </c>
      <c r="J33" s="113" t="str">
        <f t="shared" si="9"/>
        <v>EO</v>
      </c>
      <c r="K33" s="11">
        <f t="shared" si="10"/>
        <v>17.857142857142858</v>
      </c>
      <c r="L33" s="113" t="str">
        <f t="shared" si="3"/>
        <v>A</v>
      </c>
      <c r="M33" s="10">
        <v>25</v>
      </c>
      <c r="N33" s="113" t="str">
        <f t="shared" si="11"/>
        <v>G</v>
      </c>
      <c r="O33" s="42">
        <f t="shared" si="4"/>
        <v>446</v>
      </c>
      <c r="P33" s="113" t="str">
        <f t="shared" si="5"/>
        <v>II</v>
      </c>
      <c r="Q33" s="114" t="str">
        <f t="shared" si="6"/>
        <v>Corregir
y adoptar medidas de control.</v>
      </c>
      <c r="R33" s="113"/>
      <c r="S33" s="114" t="str">
        <f t="shared" si="7"/>
        <v>Lesiones con incapacidad laboral transitoria (I. L. T.).</v>
      </c>
      <c r="T33" s="114" t="s">
        <v>24</v>
      </c>
      <c r="U33" s="46"/>
    </row>
    <row r="34" spans="1:21" ht="57">
      <c r="A34" s="97" t="s">
        <v>334</v>
      </c>
      <c r="B34" s="114" t="s">
        <v>24</v>
      </c>
      <c r="C34" s="114" t="str">
        <f t="shared" si="0"/>
        <v>Niveles sonoros</v>
      </c>
      <c r="D34" s="9" t="s">
        <v>25</v>
      </c>
      <c r="E34" s="114" t="str">
        <f t="shared" si="8"/>
        <v>Ruido</v>
      </c>
      <c r="F34" s="114" t="str">
        <f t="shared" si="1"/>
        <v>Riesgo Físico</v>
      </c>
      <c r="G34" s="117">
        <f>'I-OC-RC-RF-R'!I13</f>
        <v>8.4375</v>
      </c>
      <c r="H34" s="113" t="str">
        <f t="shared" si="2"/>
        <v>MD</v>
      </c>
      <c r="I34" s="10">
        <v>3</v>
      </c>
      <c r="J34" s="113" t="str">
        <f t="shared" si="9"/>
        <v>EF</v>
      </c>
      <c r="K34" s="11">
        <f t="shared" si="10"/>
        <v>25.3125</v>
      </c>
      <c r="L34" s="113" t="str">
        <f t="shared" si="3"/>
        <v>MA</v>
      </c>
      <c r="M34" s="10">
        <v>25</v>
      </c>
      <c r="N34" s="113" t="str">
        <f t="shared" si="11"/>
        <v>G</v>
      </c>
      <c r="O34" s="42">
        <f t="shared" si="4"/>
        <v>633</v>
      </c>
      <c r="P34" s="113" t="str">
        <f t="shared" si="5"/>
        <v>I</v>
      </c>
      <c r="Q34" s="114" t="str">
        <f t="shared" si="6"/>
        <v>Situación Crítica.
Corrección urgente.</v>
      </c>
      <c r="R34" s="113"/>
      <c r="S34" s="114" t="str">
        <f t="shared" si="7"/>
        <v>Lesiones con incapacidad laboral transitoria (I. L. T.).</v>
      </c>
      <c r="T34" s="114" t="s">
        <v>24</v>
      </c>
      <c r="U34" s="46"/>
    </row>
    <row r="35" spans="1:21" ht="57">
      <c r="A35" s="98"/>
      <c r="B35" s="114" t="s">
        <v>24</v>
      </c>
      <c r="C35" s="114" t="str">
        <f t="shared" si="0"/>
        <v>Movimientos oscilatorios</v>
      </c>
      <c r="D35" s="9" t="s">
        <v>39</v>
      </c>
      <c r="E35" s="114" t="str">
        <f t="shared" si="8"/>
        <v>Vibración</v>
      </c>
      <c r="F35" s="114" t="str">
        <f t="shared" si="1"/>
        <v>Riesgo Físico</v>
      </c>
      <c r="G35" s="117">
        <f>'I-OC-RC-RF-V'!I13</f>
        <v>10</v>
      </c>
      <c r="H35" s="113" t="str">
        <f t="shared" si="2"/>
        <v>MD</v>
      </c>
      <c r="I35" s="10">
        <v>3</v>
      </c>
      <c r="J35" s="113" t="str">
        <f t="shared" si="9"/>
        <v>EF</v>
      </c>
      <c r="K35" s="11">
        <f t="shared" si="10"/>
        <v>30</v>
      </c>
      <c r="L35" s="113" t="str">
        <f t="shared" si="3"/>
        <v>MA</v>
      </c>
      <c r="M35" s="10">
        <v>25</v>
      </c>
      <c r="N35" s="113" t="str">
        <f t="shared" si="11"/>
        <v>G</v>
      </c>
      <c r="O35" s="42">
        <f t="shared" si="4"/>
        <v>750</v>
      </c>
      <c r="P35" s="113" t="str">
        <f t="shared" si="5"/>
        <v>I</v>
      </c>
      <c r="Q35" s="114" t="str">
        <f t="shared" si="6"/>
        <v>Situación Crítica.
Corrección urgente.</v>
      </c>
      <c r="R35" s="113"/>
      <c r="S35" s="114" t="str">
        <f t="shared" si="7"/>
        <v>Lesiones con incapacidad laboral transitoria (I. L. T.).</v>
      </c>
      <c r="T35" s="114" t="s">
        <v>24</v>
      </c>
      <c r="U35" s="46"/>
    </row>
    <row r="36" spans="1:21" ht="42.75">
      <c r="A36" s="98"/>
      <c r="B36" s="114" t="s">
        <v>24</v>
      </c>
      <c r="C36" s="114" t="str">
        <f t="shared" si="0"/>
        <v>Fuentes emisoras de energía</v>
      </c>
      <c r="D36" s="9" t="s">
        <v>335</v>
      </c>
      <c r="E36" s="114" t="str">
        <f t="shared" si="8"/>
        <v>Radiaciones ionizantes</v>
      </c>
      <c r="F36" s="114" t="str">
        <f t="shared" si="1"/>
        <v>Riesgo Físico</v>
      </c>
      <c r="G36" s="117">
        <f>'I-OP-RC-RF-RI'!I19</f>
        <v>7.8846153846153841</v>
      </c>
      <c r="H36" s="113" t="str">
        <f>IF(G36="","",IF(AND(G36&lt;=10,G36&gt;6),"MD",IF(AND(G36&lt;=6,G36&gt;2),"D",IF(AND(G36&lt;=2,G36&gt;0),"M",IF(G36=0,"B")))))</f>
        <v>MD</v>
      </c>
      <c r="I36" s="10">
        <v>2</v>
      </c>
      <c r="J36" s="113" t="str">
        <f>IF(I36=4,"EC",IF(I36=3,"EF",IF(I36=2,"EO",IF(I36=1,"EE",""))))</f>
        <v>EO</v>
      </c>
      <c r="K36" s="11">
        <f>IF(I36="","",G36*I36)</f>
        <v>15.769230769230768</v>
      </c>
      <c r="L36" s="113" t="str">
        <f>IF(K36="","",IF(K36&gt;=24,"MA",IF(AND(K36&lt;24,K36&gt;8),"A",IF(AND(K36&lt;=8,K36&gt;4),"M",IF(AND(K36&lt;=4,K36&gt;=0),"B")))))</f>
        <v>A</v>
      </c>
      <c r="M36" s="10">
        <v>60</v>
      </c>
      <c r="N36" s="113" t="str">
        <f>IF(M36="","",IF(M36=100,"M",IF(M36=60,"MG",IF(M36=25,"G",IF(M36=10,"L","")))))</f>
        <v>MG</v>
      </c>
      <c r="O36" s="42">
        <f t="shared" si="4"/>
        <v>946</v>
      </c>
      <c r="P36" s="113" t="str">
        <f>IF(O36="","",IF(O36="","",IF(AND(O36&lt;=4000,O36&gt;500),"I",IF(AND(O36&lt;=500,O36&gt;120),"II",IF(AND(O36&lt;=120,O36&gt;20),"III",IF(O36&lt;=20,"IV"))))))</f>
        <v>I</v>
      </c>
      <c r="Q36" s="114" t="str">
        <f>IF(P36="","",IF(P36="I","Situación Crítica.
Corrección urgente.",IF(P36="II","Corregir
y adoptar medidas de control.",IF(P36="III","Mejorar si es posible. Sería conveniente justificar la intervención y su rentabilidad.",IF(P36="IV","No intervenir, salvo que un análisis más preciso lo justifique.")))))</f>
        <v>Situación Crítica.
Corrección urgente.</v>
      </c>
      <c r="R36" s="113"/>
      <c r="S36" s="114" t="str">
        <f>IF(M36="","",IF(M36=10,"Pequeñas lesiones que no requieren hospitalización.",IF(M36=25,"Lesiones con incapacidad laboral transitoria (I. L. T.).",IF(M36=60,"Lesiones graves que pueden ser irreparables.",IF(M36=100,"1 muerto o más.")))))</f>
        <v>Lesiones graves que pueden ser irreparables.</v>
      </c>
      <c r="T36" s="114" t="s">
        <v>24</v>
      </c>
      <c r="U36" s="46"/>
    </row>
    <row r="37" spans="1:21" ht="57">
      <c r="A37" s="98"/>
      <c r="B37" s="114" t="s">
        <v>24</v>
      </c>
      <c r="C37" s="114" t="str">
        <f t="shared" si="0"/>
        <v>Niveles lumínicos</v>
      </c>
      <c r="D37" s="9" t="s">
        <v>26</v>
      </c>
      <c r="E37" s="114" t="str">
        <f t="shared" si="8"/>
        <v>Iluminación</v>
      </c>
      <c r="F37" s="114" t="str">
        <f t="shared" si="1"/>
        <v>Riesgo Físico</v>
      </c>
      <c r="G37" s="117">
        <f>'I-OC-RC-RF-I'!I12</f>
        <v>6.8421052631578956</v>
      </c>
      <c r="H37" s="113" t="str">
        <f t="shared" si="2"/>
        <v>MD</v>
      </c>
      <c r="I37" s="10">
        <v>2</v>
      </c>
      <c r="J37" s="113" t="str">
        <f t="shared" si="9"/>
        <v>EO</v>
      </c>
      <c r="K37" s="11">
        <f t="shared" si="10"/>
        <v>13.684210526315791</v>
      </c>
      <c r="L37" s="113" t="str">
        <f t="shared" si="3"/>
        <v>A</v>
      </c>
      <c r="M37" s="10">
        <v>25</v>
      </c>
      <c r="N37" s="113" t="str">
        <f t="shared" si="11"/>
        <v>G</v>
      </c>
      <c r="O37" s="42">
        <f t="shared" si="4"/>
        <v>342</v>
      </c>
      <c r="P37" s="113" t="str">
        <f t="shared" si="5"/>
        <v>II</v>
      </c>
      <c r="Q37" s="114" t="str">
        <f t="shared" si="6"/>
        <v>Corregir
y adoptar medidas de control.</v>
      </c>
      <c r="R37" s="113"/>
      <c r="S37" s="114" t="str">
        <f t="shared" si="7"/>
        <v>Lesiones con incapacidad laboral transitoria (I. L. T.).</v>
      </c>
      <c r="T37" s="114" t="s">
        <v>24</v>
      </c>
      <c r="U37" s="46"/>
    </row>
    <row r="38" spans="1:21" ht="57">
      <c r="A38" s="98"/>
      <c r="B38" s="114" t="s">
        <v>24</v>
      </c>
      <c r="C38" s="114" t="str">
        <f t="shared" si="0"/>
        <v>Condiciones inadecuadas</v>
      </c>
      <c r="D38" s="9" t="s">
        <v>27</v>
      </c>
      <c r="E38" s="114" t="str">
        <f t="shared" si="8"/>
        <v>Organización del trabajo incorrecta</v>
      </c>
      <c r="F38" s="114" t="str">
        <f t="shared" si="1"/>
        <v>Riesgo de seguridad (Riesgo Locativo)</v>
      </c>
      <c r="G38" s="117">
        <f>'I-OC-RL-OI'!J14</f>
        <v>7.0270270270270263</v>
      </c>
      <c r="H38" s="113" t="str">
        <f t="shared" si="2"/>
        <v>MD</v>
      </c>
      <c r="I38" s="10">
        <v>2</v>
      </c>
      <c r="J38" s="113" t="str">
        <f t="shared" si="9"/>
        <v>EO</v>
      </c>
      <c r="K38" s="11">
        <f t="shared" si="10"/>
        <v>14.054054054054053</v>
      </c>
      <c r="L38" s="113" t="str">
        <f t="shared" si="3"/>
        <v>A</v>
      </c>
      <c r="M38" s="10">
        <v>25</v>
      </c>
      <c r="N38" s="113" t="str">
        <f t="shared" si="11"/>
        <v>G</v>
      </c>
      <c r="O38" s="42">
        <f t="shared" si="4"/>
        <v>351</v>
      </c>
      <c r="P38" s="113" t="str">
        <f t="shared" si="5"/>
        <v>II</v>
      </c>
      <c r="Q38" s="114" t="str">
        <f t="shared" si="6"/>
        <v>Corregir
y adoptar medidas de control.</v>
      </c>
      <c r="R38" s="113"/>
      <c r="S38" s="114" t="str">
        <f t="shared" si="7"/>
        <v>Lesiones con incapacidad laboral transitoria (I. L. T.).</v>
      </c>
      <c r="T38" s="114" t="s">
        <v>24</v>
      </c>
      <c r="U38" s="46"/>
    </row>
    <row r="39" spans="1:21" ht="57">
      <c r="A39" s="98"/>
      <c r="B39" s="114" t="s">
        <v>24</v>
      </c>
      <c r="C39" s="114" t="str">
        <f t="shared" si="0"/>
        <v>Trabajo en altura/ zonas con desnivel</v>
      </c>
      <c r="D39" s="9" t="s">
        <v>331</v>
      </c>
      <c r="E39" s="114" t="str">
        <f t="shared" si="8"/>
        <v>Caída de personas a distinto nivel</v>
      </c>
      <c r="F39" s="114" t="str">
        <f t="shared" si="1"/>
        <v>Riesgo de seguridad (Riesgo Mecánico)</v>
      </c>
      <c r="G39" s="117">
        <f>'I-OC-RM-CDN'!J14</f>
        <v>7.419354838709677</v>
      </c>
      <c r="H39" s="113" t="str">
        <f t="shared" si="2"/>
        <v>MD</v>
      </c>
      <c r="I39" s="10">
        <v>3</v>
      </c>
      <c r="J39" s="113" t="str">
        <f t="shared" si="9"/>
        <v>EF</v>
      </c>
      <c r="K39" s="11">
        <f t="shared" si="10"/>
        <v>22.258064516129032</v>
      </c>
      <c r="L39" s="113" t="str">
        <f t="shared" si="3"/>
        <v>A</v>
      </c>
      <c r="M39" s="10">
        <v>100</v>
      </c>
      <c r="N39" s="113" t="str">
        <f t="shared" si="11"/>
        <v>M</v>
      </c>
      <c r="O39" s="42">
        <f t="shared" si="4"/>
        <v>2226</v>
      </c>
      <c r="P39" s="113" t="str">
        <f t="shared" si="5"/>
        <v>I</v>
      </c>
      <c r="Q39" s="114" t="str">
        <f t="shared" si="6"/>
        <v>Situación Crítica.
Corrección urgente.</v>
      </c>
      <c r="R39" s="113"/>
      <c r="S39" s="114" t="str">
        <f t="shared" si="7"/>
        <v>1 muerto o más.</v>
      </c>
      <c r="T39" s="114" t="s">
        <v>24</v>
      </c>
      <c r="U39" s="46"/>
    </row>
    <row r="40" spans="1:21" ht="57">
      <c r="A40" s="98"/>
      <c r="B40" s="114" t="s">
        <v>24</v>
      </c>
      <c r="C40" s="114" t="str">
        <f t="shared" si="0"/>
        <v>Superficies irregulares u obstruidas</v>
      </c>
      <c r="D40" s="9" t="s">
        <v>322</v>
      </c>
      <c r="E40" s="114" t="str">
        <f t="shared" si="8"/>
        <v>Caída de personas al mismo nivel</v>
      </c>
      <c r="F40" s="114" t="str">
        <f t="shared" si="1"/>
        <v>Riesgo de seguridad (Riesgo Mecánico)</v>
      </c>
      <c r="G40" s="117">
        <f>'I-OC-RM-CMN'!J15</f>
        <v>7.5</v>
      </c>
      <c r="H40" s="113" t="str">
        <f t="shared" si="2"/>
        <v>MD</v>
      </c>
      <c r="I40" s="10">
        <v>3</v>
      </c>
      <c r="J40" s="113" t="str">
        <f t="shared" si="9"/>
        <v>EF</v>
      </c>
      <c r="K40" s="11">
        <f t="shared" si="10"/>
        <v>22.5</v>
      </c>
      <c r="L40" s="113" t="str">
        <f t="shared" si="3"/>
        <v>A</v>
      </c>
      <c r="M40" s="10">
        <v>60</v>
      </c>
      <c r="N40" s="113" t="str">
        <f t="shared" si="11"/>
        <v>MG</v>
      </c>
      <c r="O40" s="42">
        <f t="shared" si="4"/>
        <v>1350</v>
      </c>
      <c r="P40" s="113" t="str">
        <f t="shared" si="5"/>
        <v>I</v>
      </c>
      <c r="Q40" s="114" t="str">
        <f t="shared" si="6"/>
        <v>Situación Crítica.
Corrección urgente.</v>
      </c>
      <c r="R40" s="113"/>
      <c r="S40" s="114" t="str">
        <f t="shared" si="7"/>
        <v>Lesiones graves que pueden ser irreparables.</v>
      </c>
      <c r="T40" s="114" t="s">
        <v>24</v>
      </c>
      <c r="U40" s="46"/>
    </row>
    <row r="41" spans="1:21" ht="57">
      <c r="A41" s="98"/>
      <c r="B41" s="114" t="s">
        <v>24</v>
      </c>
      <c r="C41" s="114" t="str">
        <f t="shared" si="0"/>
        <v>Estructuras inestables/ espacios confinados</v>
      </c>
      <c r="D41" s="9" t="s">
        <v>332</v>
      </c>
      <c r="E41" s="114" t="str">
        <f t="shared" si="8"/>
        <v>Caída de objetos por desplome</v>
      </c>
      <c r="F41" s="114" t="str">
        <f t="shared" si="1"/>
        <v>Riesgo de seguridad (Riesgo Mecánico)</v>
      </c>
      <c r="G41" s="117">
        <f>'I-OC-RM-COD'!J14</f>
        <v>6.486486486486486</v>
      </c>
      <c r="H41" s="113" t="str">
        <f t="shared" si="2"/>
        <v>MD</v>
      </c>
      <c r="I41" s="10">
        <v>3</v>
      </c>
      <c r="J41" s="113" t="str">
        <f t="shared" si="9"/>
        <v>EF</v>
      </c>
      <c r="K41" s="11">
        <f t="shared" si="10"/>
        <v>19.45945945945946</v>
      </c>
      <c r="L41" s="113" t="str">
        <f t="shared" si="3"/>
        <v>A</v>
      </c>
      <c r="M41" s="10">
        <v>100</v>
      </c>
      <c r="N41" s="113" t="str">
        <f t="shared" si="11"/>
        <v>M</v>
      </c>
      <c r="O41" s="42">
        <f t="shared" si="4"/>
        <v>1946</v>
      </c>
      <c r="P41" s="113" t="str">
        <f t="shared" si="5"/>
        <v>I</v>
      </c>
      <c r="Q41" s="114" t="str">
        <f t="shared" si="6"/>
        <v>Situación Crítica.
Corrección urgente.</v>
      </c>
      <c r="R41" s="113"/>
      <c r="S41" s="114" t="str">
        <f t="shared" si="7"/>
        <v>1 muerto o más.</v>
      </c>
      <c r="T41" s="114" t="s">
        <v>24</v>
      </c>
      <c r="U41" s="46"/>
    </row>
    <row r="42" spans="1:21" ht="57">
      <c r="A42" s="98"/>
      <c r="B42" s="114" t="s">
        <v>24</v>
      </c>
      <c r="C42" s="114" t="str">
        <f t="shared" si="0"/>
        <v>Desprendimiento de objetos</v>
      </c>
      <c r="D42" s="9" t="s">
        <v>323</v>
      </c>
      <c r="E42" s="114" t="str">
        <f t="shared" si="8"/>
        <v>Caída de objetos en manipulación</v>
      </c>
      <c r="F42" s="114" t="str">
        <f t="shared" si="1"/>
        <v>Riesgo de seguridad (Riesgo Mecánico)</v>
      </c>
      <c r="G42" s="117">
        <f>'I-OC-RM-COM'!J16</f>
        <v>6.8571428571428559</v>
      </c>
      <c r="H42" s="113" t="str">
        <f t="shared" si="2"/>
        <v>MD</v>
      </c>
      <c r="I42" s="10">
        <v>3</v>
      </c>
      <c r="J42" s="113" t="str">
        <f t="shared" si="9"/>
        <v>EF</v>
      </c>
      <c r="K42" s="11">
        <f t="shared" si="10"/>
        <v>20.571428571428569</v>
      </c>
      <c r="L42" s="113" t="str">
        <f t="shared" si="3"/>
        <v>A</v>
      </c>
      <c r="M42" s="10">
        <v>25</v>
      </c>
      <c r="N42" s="113" t="str">
        <f t="shared" si="11"/>
        <v>G</v>
      </c>
      <c r="O42" s="42">
        <f t="shared" si="4"/>
        <v>514</v>
      </c>
      <c r="P42" s="113" t="str">
        <f t="shared" si="5"/>
        <v>I</v>
      </c>
      <c r="Q42" s="114" t="str">
        <f t="shared" si="6"/>
        <v>Situación Crítica.
Corrección urgente.</v>
      </c>
      <c r="R42" s="113"/>
      <c r="S42" s="114" t="str">
        <f t="shared" si="7"/>
        <v>Lesiones con incapacidad laboral transitoria (I. L. T.).</v>
      </c>
      <c r="T42" s="114" t="s">
        <v>24</v>
      </c>
      <c r="U42" s="46"/>
    </row>
    <row r="43" spans="1:21" ht="57">
      <c r="A43" s="98"/>
      <c r="B43" s="114" t="s">
        <v>24</v>
      </c>
      <c r="C43" s="114" t="str">
        <f t="shared" si="0"/>
        <v>Manipulación de máquinas/ herramientas</v>
      </c>
      <c r="D43" s="9" t="s">
        <v>324</v>
      </c>
      <c r="E43" s="114" t="str">
        <f t="shared" si="8"/>
        <v>Golpes/cortes por objetos o herramientas</v>
      </c>
      <c r="F43" s="114" t="str">
        <f t="shared" si="1"/>
        <v>Riesgo de seguridad (Riesgo Mecánico)</v>
      </c>
      <c r="G43" s="117">
        <f>'I-OC-RM-GCOH'!J19</f>
        <v>6.875</v>
      </c>
      <c r="H43" s="113" t="str">
        <f t="shared" si="2"/>
        <v>MD</v>
      </c>
      <c r="I43" s="10">
        <v>3</v>
      </c>
      <c r="J43" s="113" t="str">
        <f t="shared" si="9"/>
        <v>EF</v>
      </c>
      <c r="K43" s="11">
        <f t="shared" si="10"/>
        <v>20.625</v>
      </c>
      <c r="L43" s="113" t="str">
        <f t="shared" si="3"/>
        <v>A</v>
      </c>
      <c r="M43" s="10">
        <v>25</v>
      </c>
      <c r="N43" s="113" t="str">
        <f t="shared" si="11"/>
        <v>G</v>
      </c>
      <c r="O43" s="42">
        <f t="shared" si="4"/>
        <v>516</v>
      </c>
      <c r="P43" s="113" t="str">
        <f t="shared" si="5"/>
        <v>I</v>
      </c>
      <c r="Q43" s="114" t="str">
        <f t="shared" si="6"/>
        <v>Situación Crítica.
Corrección urgente.</v>
      </c>
      <c r="R43" s="113"/>
      <c r="S43" s="114" t="str">
        <f t="shared" si="7"/>
        <v>Lesiones con incapacidad laboral transitoria (I. L. T.).</v>
      </c>
      <c r="T43" s="114" t="s">
        <v>24</v>
      </c>
      <c r="U43" s="46"/>
    </row>
    <row r="44" spans="1:21" ht="57">
      <c r="A44" s="98"/>
      <c r="B44" s="114" t="s">
        <v>24</v>
      </c>
      <c r="C44" s="114" t="str">
        <f t="shared" si="0"/>
        <v>Operaciones de conformado</v>
      </c>
      <c r="D44" s="9" t="s">
        <v>325</v>
      </c>
      <c r="E44" s="114" t="str">
        <f t="shared" si="8"/>
        <v>Proyección de fragmentos o partículas</v>
      </c>
      <c r="F44" s="114" t="str">
        <f t="shared" si="1"/>
        <v>Riesgo de seguridad (Riesgo Mecánico)</v>
      </c>
      <c r="G44" s="117">
        <f>'I-OC-RM-PFP'!J14</f>
        <v>7.7419354838709671</v>
      </c>
      <c r="H44" s="113" t="str">
        <f t="shared" si="2"/>
        <v>MD</v>
      </c>
      <c r="I44" s="10">
        <v>3</v>
      </c>
      <c r="J44" s="113" t="str">
        <f t="shared" si="9"/>
        <v>EF</v>
      </c>
      <c r="K44" s="11">
        <f t="shared" si="10"/>
        <v>23.2258064516129</v>
      </c>
      <c r="L44" s="113" t="str">
        <f t="shared" si="3"/>
        <v>A</v>
      </c>
      <c r="M44" s="10">
        <v>25</v>
      </c>
      <c r="N44" s="113" t="str">
        <f t="shared" si="11"/>
        <v>G</v>
      </c>
      <c r="O44" s="42">
        <f t="shared" si="4"/>
        <v>581</v>
      </c>
      <c r="P44" s="113" t="str">
        <f t="shared" si="5"/>
        <v>I</v>
      </c>
      <c r="Q44" s="114" t="str">
        <f t="shared" si="6"/>
        <v>Situación Crítica.
Corrección urgente.</v>
      </c>
      <c r="R44" s="113"/>
      <c r="S44" s="114" t="str">
        <f t="shared" si="7"/>
        <v>Lesiones con incapacidad laboral transitoria (I. L. T.).</v>
      </c>
      <c r="T44" s="114" t="s">
        <v>24</v>
      </c>
      <c r="U44" s="46"/>
    </row>
    <row r="45" spans="1:21" ht="57">
      <c r="A45" s="98"/>
      <c r="B45" s="114" t="s">
        <v>24</v>
      </c>
      <c r="C45" s="114" t="str">
        <f t="shared" si="0"/>
        <v>Objetos fijos o móviles</v>
      </c>
      <c r="D45" s="9" t="s">
        <v>326</v>
      </c>
      <c r="E45" s="114" t="str">
        <f t="shared" si="8"/>
        <v>Atrapamiento por o entre objetos</v>
      </c>
      <c r="F45" s="114" t="str">
        <f t="shared" si="1"/>
        <v>Riesgo de seguridad (Riesgo Mecánico)</v>
      </c>
      <c r="G45" s="117">
        <f>'I-OC-RM-APEO'!J17</f>
        <v>7.7083333333333339</v>
      </c>
      <c r="H45" s="113" t="str">
        <f t="shared" si="2"/>
        <v>MD</v>
      </c>
      <c r="I45" s="10">
        <v>3</v>
      </c>
      <c r="J45" s="113" t="str">
        <f t="shared" si="9"/>
        <v>EF</v>
      </c>
      <c r="K45" s="11">
        <f t="shared" si="10"/>
        <v>23.125</v>
      </c>
      <c r="L45" s="113" t="str">
        <f t="shared" si="3"/>
        <v>A</v>
      </c>
      <c r="M45" s="10">
        <v>100</v>
      </c>
      <c r="N45" s="113" t="str">
        <f t="shared" si="11"/>
        <v>M</v>
      </c>
      <c r="O45" s="42">
        <f t="shared" si="4"/>
        <v>2313</v>
      </c>
      <c r="P45" s="113" t="str">
        <f t="shared" si="5"/>
        <v>I</v>
      </c>
      <c r="Q45" s="114" t="str">
        <f t="shared" si="6"/>
        <v>Situación Crítica.
Corrección urgente.</v>
      </c>
      <c r="R45" s="113"/>
      <c r="S45" s="114" t="str">
        <f t="shared" si="7"/>
        <v>1 muerto o más.</v>
      </c>
      <c r="T45" s="114" t="s">
        <v>24</v>
      </c>
      <c r="U45" s="46"/>
    </row>
    <row r="46" spans="1:21" ht="85.5">
      <c r="A46" s="98"/>
      <c r="B46" s="114" t="s">
        <v>24</v>
      </c>
      <c r="C46" s="114" t="str">
        <f t="shared" si="0"/>
        <v>Situaciones fortuitas</v>
      </c>
      <c r="D46" s="9" t="s">
        <v>328</v>
      </c>
      <c r="E46" s="114" t="str">
        <f t="shared" si="8"/>
        <v>Otros riesgos de accidente a) inherentes a la manipulación de herramientas eléctricas</v>
      </c>
      <c r="F46" s="114" t="str">
        <f t="shared" si="1"/>
        <v>Riesgo de seguridad (Riesgo Mecánico)</v>
      </c>
      <c r="G46" s="117">
        <f>'I-OC-RM-ORAa'!J17</f>
        <v>5.2777777777777768</v>
      </c>
      <c r="H46" s="113" t="str">
        <f t="shared" si="2"/>
        <v>D</v>
      </c>
      <c r="I46" s="10">
        <v>3</v>
      </c>
      <c r="J46" s="113" t="str">
        <f t="shared" si="9"/>
        <v>EF</v>
      </c>
      <c r="K46" s="11">
        <f t="shared" si="10"/>
        <v>15.83333333333333</v>
      </c>
      <c r="L46" s="113" t="str">
        <f t="shared" si="3"/>
        <v>A</v>
      </c>
      <c r="M46" s="10">
        <v>25</v>
      </c>
      <c r="N46" s="113" t="str">
        <f t="shared" si="11"/>
        <v>G</v>
      </c>
      <c r="O46" s="42">
        <f t="shared" si="4"/>
        <v>396</v>
      </c>
      <c r="P46" s="113" t="str">
        <f t="shared" si="5"/>
        <v>II</v>
      </c>
      <c r="Q46" s="114" t="str">
        <f t="shared" si="6"/>
        <v>Corregir
y adoptar medidas de control.</v>
      </c>
      <c r="R46" s="113"/>
      <c r="S46" s="114" t="str">
        <f t="shared" si="7"/>
        <v>Lesiones con incapacidad laboral transitoria (I. L. T.).</v>
      </c>
      <c r="T46" s="114" t="s">
        <v>24</v>
      </c>
      <c r="U46" s="46"/>
    </row>
    <row r="47" spans="1:21" ht="85.5">
      <c r="A47" s="98"/>
      <c r="B47" s="114" t="s">
        <v>24</v>
      </c>
      <c r="C47" s="114" t="str">
        <f t="shared" si="0"/>
        <v>Situaciones fortuitas</v>
      </c>
      <c r="D47" s="9" t="s">
        <v>329</v>
      </c>
      <c r="E47" s="114" t="str">
        <f t="shared" si="8"/>
        <v>Otros riesgos de accidente b) Inherentes a la manipulación de herramientas manuales</v>
      </c>
      <c r="F47" s="114" t="str">
        <f t="shared" si="1"/>
        <v>Riesgo de seguridad (Riesgo Mecánico)</v>
      </c>
      <c r="G47" s="117">
        <f>'I-OC-RM-ORAb'!J18</f>
        <v>5.1219512195121952</v>
      </c>
      <c r="H47" s="113" t="str">
        <f t="shared" si="2"/>
        <v>D</v>
      </c>
      <c r="I47" s="10">
        <v>3</v>
      </c>
      <c r="J47" s="113" t="str">
        <f t="shared" si="9"/>
        <v>EF</v>
      </c>
      <c r="K47" s="11">
        <f t="shared" si="10"/>
        <v>15.365853658536587</v>
      </c>
      <c r="L47" s="113" t="str">
        <f t="shared" si="3"/>
        <v>A</v>
      </c>
      <c r="M47" s="10">
        <v>60</v>
      </c>
      <c r="N47" s="113" t="str">
        <f t="shared" si="11"/>
        <v>MG</v>
      </c>
      <c r="O47" s="42">
        <f t="shared" si="4"/>
        <v>922</v>
      </c>
      <c r="P47" s="113" t="str">
        <f t="shared" si="5"/>
        <v>I</v>
      </c>
      <c r="Q47" s="114" t="str">
        <f t="shared" si="6"/>
        <v>Situación Crítica.
Corrección urgente.</v>
      </c>
      <c r="R47" s="113"/>
      <c r="S47" s="114" t="str">
        <f t="shared" si="7"/>
        <v>Lesiones graves que pueden ser irreparables.</v>
      </c>
      <c r="T47" s="114" t="s">
        <v>24</v>
      </c>
      <c r="U47" s="46"/>
    </row>
    <row r="48" spans="1:21" ht="57">
      <c r="A48" s="98"/>
      <c r="B48" s="114" t="s">
        <v>24</v>
      </c>
      <c r="C48" s="114" t="str">
        <f t="shared" si="0"/>
        <v>Atmósferas contaminadas</v>
      </c>
      <c r="D48" s="9" t="s">
        <v>336</v>
      </c>
      <c r="E48" s="114" t="str">
        <f t="shared" si="8"/>
        <v>Otra exposición a) asfixia o intoxicación</v>
      </c>
      <c r="F48" s="114" t="str">
        <f t="shared" si="1"/>
        <v>Riesgo de seguridad (Riesgo Mecánico)</v>
      </c>
      <c r="G48" s="117">
        <f>'I-OC-RM-OE-AI'!J15</f>
        <v>7.9166666666666679</v>
      </c>
      <c r="H48" s="113" t="str">
        <f>IF(G48="","",IF(AND(G48&lt;=10,G48&gt;6),"MD",IF(AND(G48&lt;=6,G48&gt;2),"D",IF(AND(G48&lt;=2,G48&gt;0),"M",IF(G48=0,"B")))))</f>
        <v>MD</v>
      </c>
      <c r="I48" s="10">
        <v>2</v>
      </c>
      <c r="J48" s="113" t="str">
        <f>IF(I48=4,"EC",IF(I48=3,"EF",IF(I48=2,"EO",IF(I48=1,"EE",""))))</f>
        <v>EO</v>
      </c>
      <c r="K48" s="11">
        <f>IF(I48="","",G48*I48)</f>
        <v>15.833333333333336</v>
      </c>
      <c r="L48" s="113" t="str">
        <f>IF(K48="","",IF(K48&gt;=24,"MA",IF(AND(K48&lt;24,K48&gt;8),"A",IF(AND(K48&lt;=8,K48&gt;4),"M",IF(AND(K48&lt;=4,K48&gt;=0),"B")))))</f>
        <v>A</v>
      </c>
      <c r="M48" s="10">
        <v>100</v>
      </c>
      <c r="N48" s="113" t="str">
        <f>IF(M48="","",IF(M48=100,"M",IF(M48=60,"MG",IF(M48=25,"G",IF(M48=10,"L","")))))</f>
        <v>M</v>
      </c>
      <c r="O48" s="42">
        <f t="shared" si="4"/>
        <v>1583</v>
      </c>
      <c r="P48" s="113" t="str">
        <f>IF(O48="","",IF(O48="","",IF(AND(O48&lt;=4000,O48&gt;500),"I",IF(AND(O48&lt;=500,O48&gt;120),"II",IF(AND(O48&lt;=120,O48&gt;20),"III",IF(O48&lt;=20,"IV"))))))</f>
        <v>I</v>
      </c>
      <c r="Q48" s="114" t="str">
        <f>IF(P48="","",IF(P48="I","Situación Crítica.
Corrección urgente.",IF(P48="II","Corregir
y adoptar medidas de control.",IF(P48="III","Mejorar si es posible. Sería conveniente justificar la intervención y su rentabilidad.",IF(P48="IV","No intervenir, salvo que un análisis más preciso lo justifique.")))))</f>
        <v>Situación Crítica.
Corrección urgente.</v>
      </c>
      <c r="R48" s="113"/>
      <c r="S48" s="114" t="str">
        <f>IF(M48="","",IF(M48=10,"Pequeñas lesiones que no requieren hospitalización.",IF(M48=25,"Lesiones con incapacidad laboral transitoria (I. L. T.).",IF(M48=60,"Lesiones graves que pueden ser irreparables.",IF(M48=100,"1 muerto o más.")))))</f>
        <v>1 muerto o más.</v>
      </c>
      <c r="T48" s="114" t="s">
        <v>24</v>
      </c>
      <c r="U48" s="46"/>
    </row>
    <row r="49" spans="1:21" ht="57">
      <c r="A49" s="98"/>
      <c r="B49" s="114" t="s">
        <v>24</v>
      </c>
      <c r="C49" s="114" t="str">
        <f t="shared" si="0"/>
        <v>Energía eléctrica</v>
      </c>
      <c r="D49" s="9" t="s">
        <v>330</v>
      </c>
      <c r="E49" s="114" t="str">
        <f t="shared" si="8"/>
        <v>Contactos Eléctricos</v>
      </c>
      <c r="F49" s="114" t="str">
        <f t="shared" si="1"/>
        <v>Riesgo de seguridad (Riesgo Eléctrico)</v>
      </c>
      <c r="G49" s="117">
        <f>'I-OC-RE-CE'!J19</f>
        <v>8.1666666666666661</v>
      </c>
      <c r="H49" s="113" t="str">
        <f t="shared" si="2"/>
        <v>MD</v>
      </c>
      <c r="I49" s="10">
        <v>2</v>
      </c>
      <c r="J49" s="113" t="str">
        <f t="shared" si="9"/>
        <v>EO</v>
      </c>
      <c r="K49" s="11">
        <f t="shared" si="10"/>
        <v>16.333333333333332</v>
      </c>
      <c r="L49" s="113" t="str">
        <f t="shared" si="3"/>
        <v>A</v>
      </c>
      <c r="M49" s="10">
        <v>25</v>
      </c>
      <c r="N49" s="113" t="str">
        <f t="shared" si="11"/>
        <v>G</v>
      </c>
      <c r="O49" s="42">
        <f t="shared" si="4"/>
        <v>408</v>
      </c>
      <c r="P49" s="113" t="str">
        <f t="shared" si="5"/>
        <v>II</v>
      </c>
      <c r="Q49" s="114" t="str">
        <f t="shared" si="6"/>
        <v>Corregir
y adoptar medidas de control.</v>
      </c>
      <c r="R49" s="113"/>
      <c r="S49" s="114" t="str">
        <f t="shared" si="7"/>
        <v>Lesiones con incapacidad laboral transitoria (I. L. T.).</v>
      </c>
      <c r="T49" s="114" t="s">
        <v>24</v>
      </c>
      <c r="U49" s="46"/>
    </row>
    <row r="50" spans="1:21" ht="57">
      <c r="A50" s="99"/>
      <c r="B50" s="114" t="s">
        <v>24</v>
      </c>
      <c r="C50" s="114" t="str">
        <f t="shared" si="0"/>
        <v>Posturas forzadas/ manipulación manual de cargas</v>
      </c>
      <c r="D50" s="9" t="s">
        <v>37</v>
      </c>
      <c r="E50" s="114" t="str">
        <f t="shared" si="8"/>
        <v>Sobreesfuerzos</v>
      </c>
      <c r="F50" s="114" t="str">
        <f t="shared" si="1"/>
        <v>Riesgo Ergonómico</v>
      </c>
      <c r="G50" s="117">
        <f>'I-OC-RC-RE-S'!I15</f>
        <v>8.9285714285714288</v>
      </c>
      <c r="H50" s="113" t="str">
        <f t="shared" si="2"/>
        <v>MD</v>
      </c>
      <c r="I50" s="10">
        <v>3</v>
      </c>
      <c r="J50" s="113" t="str">
        <f t="shared" si="9"/>
        <v>EF</v>
      </c>
      <c r="K50" s="11">
        <f t="shared" si="10"/>
        <v>26.785714285714285</v>
      </c>
      <c r="L50" s="113" t="str">
        <f t="shared" si="3"/>
        <v>MA</v>
      </c>
      <c r="M50" s="10">
        <v>25</v>
      </c>
      <c r="N50" s="113" t="str">
        <f t="shared" si="11"/>
        <v>G</v>
      </c>
      <c r="O50" s="42">
        <f t="shared" si="4"/>
        <v>670</v>
      </c>
      <c r="P50" s="113" t="str">
        <f t="shared" si="5"/>
        <v>I</v>
      </c>
      <c r="Q50" s="114" t="str">
        <f t="shared" si="6"/>
        <v>Situación Crítica.
Corrección urgente.</v>
      </c>
      <c r="R50" s="113"/>
      <c r="S50" s="114" t="str">
        <f t="shared" si="7"/>
        <v>Lesiones con incapacidad laboral transitoria (I. L. T.).</v>
      </c>
      <c r="T50" s="114" t="s">
        <v>24</v>
      </c>
      <c r="U50" s="46"/>
    </row>
    <row r="51" spans="1:21" ht="57">
      <c r="A51" s="100" t="s">
        <v>337</v>
      </c>
      <c r="B51" s="114" t="s">
        <v>24</v>
      </c>
      <c r="C51" s="114" t="str">
        <f t="shared" si="0"/>
        <v>Niveles sonoros</v>
      </c>
      <c r="D51" s="9" t="s">
        <v>25</v>
      </c>
      <c r="E51" s="114" t="str">
        <f t="shared" si="8"/>
        <v>Ruido</v>
      </c>
      <c r="F51" s="114" t="str">
        <f t="shared" si="1"/>
        <v>Riesgo Físico</v>
      </c>
      <c r="G51" s="117">
        <f>'I-TZ-RC-RF-R'!I13</f>
        <v>8.4375</v>
      </c>
      <c r="H51" s="113" t="str">
        <f t="shared" si="2"/>
        <v>MD</v>
      </c>
      <c r="I51" s="10">
        <v>3</v>
      </c>
      <c r="J51" s="113" t="str">
        <f t="shared" si="9"/>
        <v>EF</v>
      </c>
      <c r="K51" s="11">
        <f t="shared" si="10"/>
        <v>25.3125</v>
      </c>
      <c r="L51" s="113" t="str">
        <f t="shared" si="3"/>
        <v>MA</v>
      </c>
      <c r="M51" s="10">
        <v>25</v>
      </c>
      <c r="N51" s="113" t="str">
        <f t="shared" si="11"/>
        <v>G</v>
      </c>
      <c r="O51" s="42">
        <f t="shared" si="4"/>
        <v>633</v>
      </c>
      <c r="P51" s="113" t="str">
        <f t="shared" si="5"/>
        <v>I</v>
      </c>
      <c r="Q51" s="114" t="str">
        <f t="shared" si="6"/>
        <v>Situación Crítica.
Corrección urgente.</v>
      </c>
      <c r="R51" s="113"/>
      <c r="S51" s="114" t="str">
        <f t="shared" si="7"/>
        <v>Lesiones con incapacidad laboral transitoria (I. L. T.).</v>
      </c>
      <c r="T51" s="114" t="s">
        <v>24</v>
      </c>
      <c r="U51" s="46"/>
    </row>
    <row r="52" spans="1:21" ht="57">
      <c r="A52" s="101"/>
      <c r="B52" s="114" t="s">
        <v>24</v>
      </c>
      <c r="C52" s="114" t="str">
        <f t="shared" si="0"/>
        <v>Movimientos oscilatorios</v>
      </c>
      <c r="D52" s="9" t="s">
        <v>39</v>
      </c>
      <c r="E52" s="114" t="str">
        <f t="shared" si="8"/>
        <v>Vibración</v>
      </c>
      <c r="F52" s="114" t="str">
        <f t="shared" si="1"/>
        <v>Riesgo Físico</v>
      </c>
      <c r="G52" s="117">
        <f>'I-TZ-RC-RF-V'!I13</f>
        <v>10</v>
      </c>
      <c r="H52" s="113" t="str">
        <f t="shared" si="2"/>
        <v>MD</v>
      </c>
      <c r="I52" s="10">
        <v>3</v>
      </c>
      <c r="J52" s="113" t="str">
        <f t="shared" si="9"/>
        <v>EF</v>
      </c>
      <c r="K52" s="11">
        <f t="shared" si="10"/>
        <v>30</v>
      </c>
      <c r="L52" s="113" t="str">
        <f t="shared" si="3"/>
        <v>MA</v>
      </c>
      <c r="M52" s="10">
        <v>25</v>
      </c>
      <c r="N52" s="113" t="str">
        <f t="shared" si="11"/>
        <v>G</v>
      </c>
      <c r="O52" s="42">
        <f t="shared" si="4"/>
        <v>750</v>
      </c>
      <c r="P52" s="113" t="str">
        <f t="shared" si="5"/>
        <v>I</v>
      </c>
      <c r="Q52" s="114" t="str">
        <f t="shared" si="6"/>
        <v>Situación Crítica.
Corrección urgente.</v>
      </c>
      <c r="R52" s="113"/>
      <c r="S52" s="114" t="str">
        <f t="shared" si="7"/>
        <v>Lesiones con incapacidad laboral transitoria (I. L. T.).</v>
      </c>
      <c r="T52" s="114" t="s">
        <v>24</v>
      </c>
      <c r="U52" s="46"/>
    </row>
    <row r="53" spans="1:21" ht="42.75">
      <c r="A53" s="101"/>
      <c r="B53" s="114" t="s">
        <v>24</v>
      </c>
      <c r="C53" s="114" t="str">
        <f t="shared" si="0"/>
        <v>Fuentes emisoras de energía</v>
      </c>
      <c r="D53" s="9" t="s">
        <v>335</v>
      </c>
      <c r="E53" s="114" t="str">
        <f t="shared" si="8"/>
        <v>Radiaciones ionizantes</v>
      </c>
      <c r="F53" s="114" t="str">
        <f t="shared" si="1"/>
        <v>Riesgo Físico</v>
      </c>
      <c r="G53" s="117">
        <f>'I-TZ-RC-RF-RI'!I19</f>
        <v>7.8846153846153841</v>
      </c>
      <c r="H53" s="113" t="str">
        <f t="shared" si="2"/>
        <v>MD</v>
      </c>
      <c r="I53" s="10">
        <v>2</v>
      </c>
      <c r="J53" s="113" t="str">
        <f t="shared" si="9"/>
        <v>EO</v>
      </c>
      <c r="K53" s="11">
        <f t="shared" si="10"/>
        <v>15.769230769230768</v>
      </c>
      <c r="L53" s="113" t="str">
        <f t="shared" si="3"/>
        <v>A</v>
      </c>
      <c r="M53" s="10">
        <v>60</v>
      </c>
      <c r="N53" s="113" t="str">
        <f t="shared" si="11"/>
        <v>MG</v>
      </c>
      <c r="O53" s="42">
        <f t="shared" si="4"/>
        <v>946</v>
      </c>
      <c r="P53" s="113" t="str">
        <f t="shared" si="5"/>
        <v>I</v>
      </c>
      <c r="Q53" s="114" t="str">
        <f t="shared" si="6"/>
        <v>Situación Crítica.
Corrección urgente.</v>
      </c>
      <c r="R53" s="113"/>
      <c r="S53" s="114" t="str">
        <f t="shared" si="7"/>
        <v>Lesiones graves que pueden ser irreparables.</v>
      </c>
      <c r="T53" s="114" t="s">
        <v>24</v>
      </c>
      <c r="U53" s="46"/>
    </row>
    <row r="54" spans="1:21" ht="57">
      <c r="A54" s="101"/>
      <c r="B54" s="114" t="s">
        <v>24</v>
      </c>
      <c r="C54" s="114" t="str">
        <f t="shared" si="0"/>
        <v>Niveles lumínicos</v>
      </c>
      <c r="D54" s="9" t="s">
        <v>26</v>
      </c>
      <c r="E54" s="114" t="str">
        <f t="shared" si="8"/>
        <v>Iluminación</v>
      </c>
      <c r="F54" s="114" t="str">
        <f t="shared" si="1"/>
        <v>Riesgo Físico</v>
      </c>
      <c r="G54" s="117">
        <f>'I-TZ-RC-RF-I'!I12</f>
        <v>6.8421052631578956</v>
      </c>
      <c r="H54" s="113" t="str">
        <f t="shared" si="2"/>
        <v>MD</v>
      </c>
      <c r="I54" s="10">
        <v>3</v>
      </c>
      <c r="J54" s="113" t="str">
        <f t="shared" si="9"/>
        <v>EF</v>
      </c>
      <c r="K54" s="11">
        <f t="shared" si="10"/>
        <v>20.526315789473685</v>
      </c>
      <c r="L54" s="113" t="str">
        <f t="shared" si="3"/>
        <v>A</v>
      </c>
      <c r="M54" s="10">
        <v>25</v>
      </c>
      <c r="N54" s="113" t="str">
        <f t="shared" si="11"/>
        <v>G</v>
      </c>
      <c r="O54" s="42">
        <f t="shared" si="4"/>
        <v>513</v>
      </c>
      <c r="P54" s="113" t="str">
        <f t="shared" si="5"/>
        <v>I</v>
      </c>
      <c r="Q54" s="114" t="str">
        <f t="shared" si="6"/>
        <v>Situación Crítica.
Corrección urgente.</v>
      </c>
      <c r="R54" s="113"/>
      <c r="S54" s="114" t="str">
        <f t="shared" si="7"/>
        <v>Lesiones con incapacidad laboral transitoria (I. L. T.).</v>
      </c>
      <c r="T54" s="114" t="s">
        <v>24</v>
      </c>
      <c r="U54" s="46"/>
    </row>
    <row r="55" spans="1:21" ht="57">
      <c r="A55" s="101"/>
      <c r="B55" s="114" t="s">
        <v>24</v>
      </c>
      <c r="C55" s="114" t="str">
        <f t="shared" si="0"/>
        <v>Condiciones inadecuadas</v>
      </c>
      <c r="D55" s="9" t="s">
        <v>27</v>
      </c>
      <c r="E55" s="114" t="str">
        <f t="shared" si="8"/>
        <v>Organización del trabajo incorrecta</v>
      </c>
      <c r="F55" s="114" t="str">
        <f t="shared" si="1"/>
        <v>Riesgo de seguridad (Riesgo Locativo)</v>
      </c>
      <c r="G55" s="117">
        <f>'I-TZ-RL-OI'!J14</f>
        <v>7.0270270270270263</v>
      </c>
      <c r="H55" s="113" t="str">
        <f t="shared" si="2"/>
        <v>MD</v>
      </c>
      <c r="I55" s="10">
        <v>2</v>
      </c>
      <c r="J55" s="113" t="str">
        <f t="shared" si="9"/>
        <v>EO</v>
      </c>
      <c r="K55" s="11">
        <f t="shared" si="10"/>
        <v>14.054054054054053</v>
      </c>
      <c r="L55" s="113" t="str">
        <f t="shared" si="3"/>
        <v>A</v>
      </c>
      <c r="M55" s="10">
        <v>25</v>
      </c>
      <c r="N55" s="113" t="str">
        <f t="shared" si="11"/>
        <v>G</v>
      </c>
      <c r="O55" s="42">
        <f t="shared" si="4"/>
        <v>351</v>
      </c>
      <c r="P55" s="113" t="str">
        <f t="shared" si="5"/>
        <v>II</v>
      </c>
      <c r="Q55" s="114" t="str">
        <f t="shared" si="6"/>
        <v>Corregir
y adoptar medidas de control.</v>
      </c>
      <c r="R55" s="113"/>
      <c r="S55" s="114" t="str">
        <f t="shared" si="7"/>
        <v>Lesiones con incapacidad laboral transitoria (I. L. T.).</v>
      </c>
      <c r="T55" s="114" t="s">
        <v>24</v>
      </c>
      <c r="U55" s="46"/>
    </row>
    <row r="56" spans="1:21" ht="57">
      <c r="A56" s="101"/>
      <c r="B56" s="114" t="s">
        <v>24</v>
      </c>
      <c r="C56" s="114" t="str">
        <f t="shared" si="0"/>
        <v>Trabajo en altura/ zonas con desnivel</v>
      </c>
      <c r="D56" s="9" t="s">
        <v>331</v>
      </c>
      <c r="E56" s="114" t="str">
        <f t="shared" si="8"/>
        <v>Caída de personas a distinto nivel</v>
      </c>
      <c r="F56" s="114" t="str">
        <f t="shared" si="1"/>
        <v>Riesgo de seguridad (Riesgo Mecánico)</v>
      </c>
      <c r="G56" s="117">
        <f>'I-TZ-RM-CDN'!J14</f>
        <v>7.419354838709677</v>
      </c>
      <c r="H56" s="113" t="str">
        <f t="shared" si="2"/>
        <v>MD</v>
      </c>
      <c r="I56" s="10">
        <v>3</v>
      </c>
      <c r="J56" s="113" t="str">
        <f t="shared" si="9"/>
        <v>EF</v>
      </c>
      <c r="K56" s="11">
        <f t="shared" si="10"/>
        <v>22.258064516129032</v>
      </c>
      <c r="L56" s="113" t="str">
        <f t="shared" si="3"/>
        <v>A</v>
      </c>
      <c r="M56" s="10">
        <v>60</v>
      </c>
      <c r="N56" s="113" t="str">
        <f t="shared" si="11"/>
        <v>MG</v>
      </c>
      <c r="O56" s="42">
        <f t="shared" si="4"/>
        <v>1335</v>
      </c>
      <c r="P56" s="113" t="str">
        <f t="shared" si="5"/>
        <v>I</v>
      </c>
      <c r="Q56" s="114" t="str">
        <f t="shared" si="6"/>
        <v>Situación Crítica.
Corrección urgente.</v>
      </c>
      <c r="R56" s="113"/>
      <c r="S56" s="114" t="str">
        <f t="shared" si="7"/>
        <v>Lesiones graves que pueden ser irreparables.</v>
      </c>
      <c r="T56" s="114" t="s">
        <v>24</v>
      </c>
      <c r="U56" s="46"/>
    </row>
    <row r="57" spans="1:21" ht="57">
      <c r="A57" s="101"/>
      <c r="B57" s="114" t="s">
        <v>24</v>
      </c>
      <c r="C57" s="114" t="str">
        <f t="shared" si="0"/>
        <v>Superficies irregulares u obstruidas</v>
      </c>
      <c r="D57" s="9" t="s">
        <v>322</v>
      </c>
      <c r="E57" s="114" t="str">
        <f t="shared" si="8"/>
        <v>Caída de personas al mismo nivel</v>
      </c>
      <c r="F57" s="114" t="str">
        <f t="shared" si="1"/>
        <v>Riesgo de seguridad (Riesgo Mecánico)</v>
      </c>
      <c r="G57" s="117">
        <f>'I-TZ-RM-CMN'!J15</f>
        <v>7.5</v>
      </c>
      <c r="H57" s="113" t="str">
        <f t="shared" si="2"/>
        <v>MD</v>
      </c>
      <c r="I57" s="10">
        <v>3</v>
      </c>
      <c r="J57" s="113" t="str">
        <f t="shared" si="9"/>
        <v>EF</v>
      </c>
      <c r="K57" s="11">
        <f t="shared" si="10"/>
        <v>22.5</v>
      </c>
      <c r="L57" s="113" t="str">
        <f t="shared" si="3"/>
        <v>A</v>
      </c>
      <c r="M57" s="10">
        <v>25</v>
      </c>
      <c r="N57" s="113" t="str">
        <f t="shared" si="11"/>
        <v>G</v>
      </c>
      <c r="O57" s="42">
        <f t="shared" si="4"/>
        <v>563</v>
      </c>
      <c r="P57" s="113" t="str">
        <f t="shared" si="5"/>
        <v>I</v>
      </c>
      <c r="Q57" s="114" t="str">
        <f t="shared" si="6"/>
        <v>Situación Crítica.
Corrección urgente.</v>
      </c>
      <c r="R57" s="113"/>
      <c r="S57" s="114" t="str">
        <f t="shared" si="7"/>
        <v>Lesiones con incapacidad laboral transitoria (I. L. T.).</v>
      </c>
      <c r="T57" s="114" t="s">
        <v>24</v>
      </c>
      <c r="U57" s="46"/>
    </row>
    <row r="58" spans="1:21" ht="57">
      <c r="A58" s="101"/>
      <c r="B58" s="114" t="s">
        <v>24</v>
      </c>
      <c r="C58" s="114" t="str">
        <f t="shared" si="0"/>
        <v>Estructuras inestables/ espacios confinados</v>
      </c>
      <c r="D58" s="9" t="s">
        <v>332</v>
      </c>
      <c r="E58" s="114" t="str">
        <f t="shared" si="8"/>
        <v>Caída de objetos por desplome</v>
      </c>
      <c r="F58" s="114" t="str">
        <f t="shared" si="1"/>
        <v>Riesgo de seguridad (Riesgo Mecánico)</v>
      </c>
      <c r="G58" s="117">
        <f>'I-TZ-RM-COD'!J14</f>
        <v>6.486486486486486</v>
      </c>
      <c r="H58" s="113" t="str">
        <f t="shared" si="2"/>
        <v>MD</v>
      </c>
      <c r="I58" s="10">
        <v>3</v>
      </c>
      <c r="J58" s="113" t="str">
        <f t="shared" si="9"/>
        <v>EF</v>
      </c>
      <c r="K58" s="11">
        <f t="shared" si="10"/>
        <v>19.45945945945946</v>
      </c>
      <c r="L58" s="113" t="str">
        <f t="shared" si="3"/>
        <v>A</v>
      </c>
      <c r="M58" s="10">
        <v>60</v>
      </c>
      <c r="N58" s="113" t="str">
        <f t="shared" si="11"/>
        <v>MG</v>
      </c>
      <c r="O58" s="42">
        <f t="shared" si="4"/>
        <v>1168</v>
      </c>
      <c r="P58" s="113" t="str">
        <f t="shared" si="5"/>
        <v>I</v>
      </c>
      <c r="Q58" s="114" t="str">
        <f t="shared" si="6"/>
        <v>Situación Crítica.
Corrección urgente.</v>
      </c>
      <c r="R58" s="113"/>
      <c r="S58" s="114" t="str">
        <f t="shared" si="7"/>
        <v>Lesiones graves que pueden ser irreparables.</v>
      </c>
      <c r="T58" s="114" t="s">
        <v>24</v>
      </c>
      <c r="U58" s="46"/>
    </row>
    <row r="59" spans="1:21" ht="57">
      <c r="A59" s="101"/>
      <c r="B59" s="114" t="s">
        <v>24</v>
      </c>
      <c r="C59" s="114" t="str">
        <f t="shared" si="0"/>
        <v>Desprendimiento de objetos</v>
      </c>
      <c r="D59" s="9" t="s">
        <v>323</v>
      </c>
      <c r="E59" s="114" t="str">
        <f t="shared" si="8"/>
        <v>Caída de objetos en manipulación</v>
      </c>
      <c r="F59" s="114" t="str">
        <f t="shared" si="1"/>
        <v>Riesgo de seguridad (Riesgo Mecánico)</v>
      </c>
      <c r="G59" s="117">
        <f>'I-TZ-RM-COM'!J16</f>
        <v>6.8571428571428559</v>
      </c>
      <c r="H59" s="113" t="str">
        <f t="shared" si="2"/>
        <v>MD</v>
      </c>
      <c r="I59" s="10">
        <v>3</v>
      </c>
      <c r="J59" s="113" t="str">
        <f t="shared" si="9"/>
        <v>EF</v>
      </c>
      <c r="K59" s="11">
        <f t="shared" si="10"/>
        <v>20.571428571428569</v>
      </c>
      <c r="L59" s="113" t="str">
        <f t="shared" si="3"/>
        <v>A</v>
      </c>
      <c r="M59" s="10">
        <v>25</v>
      </c>
      <c r="N59" s="113" t="str">
        <f t="shared" si="11"/>
        <v>G</v>
      </c>
      <c r="O59" s="42">
        <f t="shared" si="4"/>
        <v>514</v>
      </c>
      <c r="P59" s="113" t="str">
        <f t="shared" si="5"/>
        <v>I</v>
      </c>
      <c r="Q59" s="114" t="str">
        <f t="shared" si="6"/>
        <v>Situación Crítica.
Corrección urgente.</v>
      </c>
      <c r="R59" s="113"/>
      <c r="S59" s="114" t="str">
        <f t="shared" si="7"/>
        <v>Lesiones con incapacidad laboral transitoria (I. L. T.).</v>
      </c>
      <c r="T59" s="114" t="s">
        <v>24</v>
      </c>
      <c r="U59" s="46"/>
    </row>
    <row r="60" spans="1:21" ht="57">
      <c r="A60" s="101"/>
      <c r="B60" s="114" t="s">
        <v>24</v>
      </c>
      <c r="C60" s="114" t="str">
        <f t="shared" si="0"/>
        <v>Manipulación de máquinas/ herramientas</v>
      </c>
      <c r="D60" s="9" t="s">
        <v>324</v>
      </c>
      <c r="E60" s="114" t="str">
        <f t="shared" si="8"/>
        <v>Golpes/cortes por objetos o herramientas</v>
      </c>
      <c r="F60" s="114" t="str">
        <f t="shared" si="1"/>
        <v>Riesgo de seguridad (Riesgo Mecánico)</v>
      </c>
      <c r="G60" s="117">
        <f>'I-TZ-RM-GCOH'!J19</f>
        <v>6.875</v>
      </c>
      <c r="H60" s="113" t="str">
        <f t="shared" si="2"/>
        <v>MD</v>
      </c>
      <c r="I60" s="10">
        <v>3</v>
      </c>
      <c r="J60" s="113" t="str">
        <f t="shared" si="9"/>
        <v>EF</v>
      </c>
      <c r="K60" s="11">
        <f t="shared" si="10"/>
        <v>20.625</v>
      </c>
      <c r="L60" s="113" t="str">
        <f t="shared" si="3"/>
        <v>A</v>
      </c>
      <c r="M60" s="10">
        <v>25</v>
      </c>
      <c r="N60" s="113" t="str">
        <f t="shared" si="11"/>
        <v>G</v>
      </c>
      <c r="O60" s="42">
        <f t="shared" si="4"/>
        <v>516</v>
      </c>
      <c r="P60" s="113" t="str">
        <f t="shared" si="5"/>
        <v>I</v>
      </c>
      <c r="Q60" s="114" t="str">
        <f t="shared" si="6"/>
        <v>Situación Crítica.
Corrección urgente.</v>
      </c>
      <c r="R60" s="113"/>
      <c r="S60" s="114" t="str">
        <f t="shared" si="7"/>
        <v>Lesiones con incapacidad laboral transitoria (I. L. T.).</v>
      </c>
      <c r="T60" s="114" t="s">
        <v>24</v>
      </c>
      <c r="U60" s="46"/>
    </row>
    <row r="61" spans="1:21" ht="57">
      <c r="A61" s="101"/>
      <c r="B61" s="114" t="s">
        <v>24</v>
      </c>
      <c r="C61" s="114" t="str">
        <f t="shared" si="0"/>
        <v>Operaciones de conformado</v>
      </c>
      <c r="D61" s="9" t="s">
        <v>325</v>
      </c>
      <c r="E61" s="114" t="str">
        <f t="shared" si="8"/>
        <v>Proyección de fragmentos o partículas</v>
      </c>
      <c r="F61" s="114" t="str">
        <f t="shared" si="1"/>
        <v>Riesgo de seguridad (Riesgo Mecánico)</v>
      </c>
      <c r="G61" s="117">
        <f>'I-TZ-RM-PFP'!J14</f>
        <v>7.7419354838709671</v>
      </c>
      <c r="H61" s="113" t="str">
        <f t="shared" si="2"/>
        <v>MD</v>
      </c>
      <c r="I61" s="10">
        <v>3</v>
      </c>
      <c r="J61" s="113" t="str">
        <f t="shared" si="9"/>
        <v>EF</v>
      </c>
      <c r="K61" s="11">
        <f t="shared" si="10"/>
        <v>23.2258064516129</v>
      </c>
      <c r="L61" s="113" t="str">
        <f t="shared" si="3"/>
        <v>A</v>
      </c>
      <c r="M61" s="10">
        <v>25</v>
      </c>
      <c r="N61" s="113" t="str">
        <f t="shared" si="11"/>
        <v>G</v>
      </c>
      <c r="O61" s="42">
        <f t="shared" si="4"/>
        <v>581</v>
      </c>
      <c r="P61" s="113" t="str">
        <f t="shared" si="5"/>
        <v>I</v>
      </c>
      <c r="Q61" s="114" t="str">
        <f t="shared" si="6"/>
        <v>Situación Crítica.
Corrección urgente.</v>
      </c>
      <c r="R61" s="113"/>
      <c r="S61" s="114" t="str">
        <f t="shared" si="7"/>
        <v>Lesiones con incapacidad laboral transitoria (I. L. T.).</v>
      </c>
      <c r="T61" s="114" t="s">
        <v>24</v>
      </c>
      <c r="U61" s="46"/>
    </row>
    <row r="62" spans="1:21" ht="57">
      <c r="A62" s="101"/>
      <c r="B62" s="114" t="s">
        <v>24</v>
      </c>
      <c r="C62" s="114" t="str">
        <f t="shared" si="0"/>
        <v>Objetos fijos o móviles</v>
      </c>
      <c r="D62" s="9" t="s">
        <v>326</v>
      </c>
      <c r="E62" s="114" t="str">
        <f t="shared" si="8"/>
        <v>Atrapamiento por o entre objetos</v>
      </c>
      <c r="F62" s="114" t="str">
        <f t="shared" si="1"/>
        <v>Riesgo de seguridad (Riesgo Mecánico)</v>
      </c>
      <c r="G62" s="117">
        <f>'I-TZ-RM-APEO'!J17</f>
        <v>7.7083333333333339</v>
      </c>
      <c r="H62" s="113" t="str">
        <f t="shared" si="2"/>
        <v>MD</v>
      </c>
      <c r="I62" s="10">
        <v>3</v>
      </c>
      <c r="J62" s="113" t="str">
        <f t="shared" si="9"/>
        <v>EF</v>
      </c>
      <c r="K62" s="11">
        <f t="shared" si="10"/>
        <v>23.125</v>
      </c>
      <c r="L62" s="113" t="str">
        <f t="shared" si="3"/>
        <v>A</v>
      </c>
      <c r="M62" s="10">
        <v>60</v>
      </c>
      <c r="N62" s="113" t="str">
        <f t="shared" si="11"/>
        <v>MG</v>
      </c>
      <c r="O62" s="42">
        <f t="shared" si="4"/>
        <v>1388</v>
      </c>
      <c r="P62" s="113" t="str">
        <f t="shared" si="5"/>
        <v>I</v>
      </c>
      <c r="Q62" s="114" t="str">
        <f t="shared" si="6"/>
        <v>Situación Crítica.
Corrección urgente.</v>
      </c>
      <c r="R62" s="113"/>
      <c r="S62" s="114" t="str">
        <f t="shared" si="7"/>
        <v>Lesiones graves que pueden ser irreparables.</v>
      </c>
      <c r="T62" s="114" t="s">
        <v>24</v>
      </c>
      <c r="U62" s="46"/>
    </row>
    <row r="63" spans="1:21" ht="57">
      <c r="A63" s="101"/>
      <c r="B63" s="114" t="s">
        <v>24</v>
      </c>
      <c r="C63" s="114" t="str">
        <f t="shared" si="0"/>
        <v>Colisión/ impacto vehicular</v>
      </c>
      <c r="D63" s="9" t="s">
        <v>327</v>
      </c>
      <c r="E63" s="114" t="str">
        <f t="shared" si="8"/>
        <v>Atropellos o golpes con vehículos</v>
      </c>
      <c r="F63" s="114" t="str">
        <f t="shared" si="1"/>
        <v>Riesgo de seguridad (Riesgo Mecánico)</v>
      </c>
      <c r="G63" s="117">
        <f>'I-TZ-RM-AGV'!J16</f>
        <v>6.666666666666667</v>
      </c>
      <c r="H63" s="113" t="str">
        <f>IF(G63="","",IF(AND(G63&lt;=10,G63&gt;6),"MD",IF(AND(G63&lt;=6,G63&gt;2),"D",IF(AND(G63&lt;=2,G63&gt;0),"M",IF(G63=0,"B")))))</f>
        <v>MD</v>
      </c>
      <c r="I63" s="10">
        <v>2</v>
      </c>
      <c r="J63" s="113" t="str">
        <f>IF(I63=4,"EC",IF(I63=3,"EF",IF(I63=2,"EO",IF(I63=1,"EE",""))))</f>
        <v>EO</v>
      </c>
      <c r="K63" s="11">
        <f>IF(I63="","",G63*I63)</f>
        <v>13.333333333333334</v>
      </c>
      <c r="L63" s="113" t="str">
        <f>IF(K63="","",IF(K63&gt;=24,"MA",IF(AND(K63&lt;24,K63&gt;8),"A",IF(AND(K63&lt;=8,K63&gt;4),"M",IF(AND(K63&lt;=4,K63&gt;=0),"B")))))</f>
        <v>A</v>
      </c>
      <c r="M63" s="10">
        <v>100</v>
      </c>
      <c r="N63" s="113" t="str">
        <f>IF(M63="","",IF(M63=100,"M",IF(M63=60,"MG",IF(M63=25,"G",IF(M63=10,"L","")))))</f>
        <v>M</v>
      </c>
      <c r="O63" s="42">
        <f t="shared" si="4"/>
        <v>1333</v>
      </c>
      <c r="P63" s="113" t="str">
        <f>IF(O63="","",IF(O63="","",IF(AND(O63&lt;=4000,O63&gt;500),"I",IF(AND(O63&lt;=500,O63&gt;120),"II",IF(AND(O63&lt;=120,O63&gt;20),"III",IF(O63&lt;=20,"IV"))))))</f>
        <v>I</v>
      </c>
      <c r="Q63" s="114" t="str">
        <f>IF(P63="","",IF(P63="I","Situación Crítica.
Corrección urgente.",IF(P63="II","Corregir
y adoptar medidas de control.",IF(P63="III","Mejorar si es posible. Sería conveniente justificar la intervención y su rentabilidad.",IF(P63="IV","No intervenir, salvo que un análisis más preciso lo justifique.")))))</f>
        <v>Situación Crítica.
Corrección urgente.</v>
      </c>
      <c r="R63" s="113"/>
      <c r="S63" s="114" t="str">
        <f>IF(M63="","",IF(M63=10,"Pequeñas lesiones que no requieren hospitalización.",IF(M63=25,"Lesiones con incapacidad laboral transitoria (I. L. T.).",IF(M63=60,"Lesiones graves que pueden ser irreparables.",IF(M63=100,"1 muerto o más.")))))</f>
        <v>1 muerto o más.</v>
      </c>
      <c r="T63" s="114" t="s">
        <v>24</v>
      </c>
      <c r="U63" s="46"/>
    </row>
    <row r="64" spans="1:21" ht="85.5">
      <c r="A64" s="101"/>
      <c r="B64" s="114" t="s">
        <v>24</v>
      </c>
      <c r="C64" s="114" t="str">
        <f t="shared" si="0"/>
        <v>Situaciones fortuitas</v>
      </c>
      <c r="D64" s="9" t="s">
        <v>328</v>
      </c>
      <c r="E64" s="114" t="str">
        <f t="shared" si="8"/>
        <v>Otros riesgos de accidente a) inherentes a la manipulación de herramientas eléctricas</v>
      </c>
      <c r="F64" s="114" t="str">
        <f t="shared" si="1"/>
        <v>Riesgo de seguridad (Riesgo Mecánico)</v>
      </c>
      <c r="G64" s="117">
        <f>'I-TZ-RM-ORAa'!J17</f>
        <v>5.2777777777777768</v>
      </c>
      <c r="H64" s="113" t="str">
        <f t="shared" si="2"/>
        <v>D</v>
      </c>
      <c r="I64" s="10">
        <v>3</v>
      </c>
      <c r="J64" s="113" t="str">
        <f t="shared" si="9"/>
        <v>EF</v>
      </c>
      <c r="K64" s="11">
        <f t="shared" si="10"/>
        <v>15.83333333333333</v>
      </c>
      <c r="L64" s="113" t="str">
        <f t="shared" si="3"/>
        <v>A</v>
      </c>
      <c r="M64" s="10">
        <v>25</v>
      </c>
      <c r="N64" s="113" t="str">
        <f t="shared" si="11"/>
        <v>G</v>
      </c>
      <c r="O64" s="42">
        <f t="shared" si="4"/>
        <v>396</v>
      </c>
      <c r="P64" s="113" t="str">
        <f t="shared" si="5"/>
        <v>II</v>
      </c>
      <c r="Q64" s="114" t="str">
        <f t="shared" si="6"/>
        <v>Corregir
y adoptar medidas de control.</v>
      </c>
      <c r="R64" s="113"/>
      <c r="S64" s="114" t="str">
        <f t="shared" si="7"/>
        <v>Lesiones con incapacidad laboral transitoria (I. L. T.).</v>
      </c>
      <c r="T64" s="114" t="s">
        <v>24</v>
      </c>
      <c r="U64" s="46"/>
    </row>
    <row r="65" spans="1:21" ht="85.5">
      <c r="A65" s="101"/>
      <c r="B65" s="114" t="s">
        <v>24</v>
      </c>
      <c r="C65" s="114" t="str">
        <f t="shared" si="0"/>
        <v>Situaciones fortuitas</v>
      </c>
      <c r="D65" s="9" t="s">
        <v>329</v>
      </c>
      <c r="E65" s="114" t="str">
        <f t="shared" si="8"/>
        <v>Otros riesgos de accidente b) Inherentes a la manipulación de herramientas manuales</v>
      </c>
      <c r="F65" s="114" t="str">
        <f t="shared" si="1"/>
        <v>Riesgo de seguridad (Riesgo Mecánico)</v>
      </c>
      <c r="G65" s="117">
        <f>'I-TZ-RM-ORAb'!J18</f>
        <v>5.1219512195121952</v>
      </c>
      <c r="H65" s="113" t="str">
        <f t="shared" si="2"/>
        <v>D</v>
      </c>
      <c r="I65" s="10">
        <v>3</v>
      </c>
      <c r="J65" s="113" t="str">
        <f t="shared" si="9"/>
        <v>EF</v>
      </c>
      <c r="K65" s="11">
        <f t="shared" si="10"/>
        <v>15.365853658536587</v>
      </c>
      <c r="L65" s="113" t="str">
        <f t="shared" si="3"/>
        <v>A</v>
      </c>
      <c r="M65" s="10">
        <v>60</v>
      </c>
      <c r="N65" s="113" t="str">
        <f t="shared" si="11"/>
        <v>MG</v>
      </c>
      <c r="O65" s="42">
        <f t="shared" si="4"/>
        <v>922</v>
      </c>
      <c r="P65" s="113" t="str">
        <f t="shared" si="5"/>
        <v>I</v>
      </c>
      <c r="Q65" s="114" t="str">
        <f t="shared" si="6"/>
        <v>Situación Crítica.
Corrección urgente.</v>
      </c>
      <c r="R65" s="113"/>
      <c r="S65" s="114" t="str">
        <f t="shared" si="7"/>
        <v>Lesiones graves que pueden ser irreparables.</v>
      </c>
      <c r="T65" s="114" t="s">
        <v>24</v>
      </c>
      <c r="U65" s="46"/>
    </row>
    <row r="66" spans="1:21" ht="57">
      <c r="A66" s="101"/>
      <c r="B66" s="114" t="s">
        <v>24</v>
      </c>
      <c r="C66" s="114" t="str">
        <f t="shared" si="0"/>
        <v>Atmósferas contaminadas</v>
      </c>
      <c r="D66" s="9" t="s">
        <v>336</v>
      </c>
      <c r="E66" s="114" t="str">
        <f t="shared" si="8"/>
        <v>Otra exposición a) asfixia o intoxicación</v>
      </c>
      <c r="F66" s="114" t="str">
        <f t="shared" si="1"/>
        <v>Riesgo de seguridad (Riesgo Mecánico)</v>
      </c>
      <c r="G66" s="117">
        <f>'I-TZ-RM-OE-AI'!J15</f>
        <v>7.9166666666666679</v>
      </c>
      <c r="H66" s="113" t="str">
        <f>IF(G66="","",IF(AND(G66&lt;=10,G66&gt;6),"MD",IF(AND(G66&lt;=6,G66&gt;2),"D",IF(AND(G66&lt;=2,G66&gt;0),"M",IF(G66=0,"B")))))</f>
        <v>MD</v>
      </c>
      <c r="I66" s="10">
        <v>3</v>
      </c>
      <c r="J66" s="113" t="str">
        <f>IF(I66=4,"EC",IF(I66=3,"EF",IF(I66=2,"EO",IF(I66=1,"EE",""))))</f>
        <v>EF</v>
      </c>
      <c r="K66" s="11">
        <f>IF(I66="","",G66*I66)</f>
        <v>23.750000000000004</v>
      </c>
      <c r="L66" s="113" t="str">
        <f>IF(K66="","",IF(K66&gt;=24,"MA",IF(AND(K66&lt;24,K66&gt;8),"A",IF(AND(K66&lt;=8,K66&gt;4),"M",IF(AND(K66&lt;=4,K66&gt;=0),"B")))))</f>
        <v>A</v>
      </c>
      <c r="M66" s="10">
        <v>60</v>
      </c>
      <c r="N66" s="113" t="str">
        <f>IF(M66="","",IF(M66=100,"M",IF(M66=60,"MG",IF(M66=25,"G",IF(M66=10,"L","")))))</f>
        <v>MG</v>
      </c>
      <c r="O66" s="42">
        <f t="shared" si="4"/>
        <v>1425</v>
      </c>
      <c r="P66" s="113" t="str">
        <f>IF(O66="","",IF(O66="","",IF(AND(O66&lt;=4000,O66&gt;500),"I",IF(AND(O66&lt;=500,O66&gt;120),"II",IF(AND(O66&lt;=120,O66&gt;20),"III",IF(O66&lt;=20,"IV"))))))</f>
        <v>I</v>
      </c>
      <c r="Q66" s="114" t="str">
        <f>IF(P66="","",IF(P66="I","Situación Crítica.
Corrección urgente.",IF(P66="II","Corregir
y adoptar medidas de control.",IF(P66="III","Mejorar si es posible. Sería conveniente justificar la intervención y su rentabilidad.",IF(P66="IV","No intervenir, salvo que un análisis más preciso lo justifique.")))))</f>
        <v>Situación Crítica.
Corrección urgente.</v>
      </c>
      <c r="R66" s="113"/>
      <c r="S66" s="114" t="str">
        <f>IF(M66="","",IF(M66=10,"Pequeñas lesiones que no requieren hospitalización.",IF(M66=25,"Lesiones con incapacidad laboral transitoria (I. L. T.).",IF(M66=60,"Lesiones graves que pueden ser irreparables.",IF(M66=100,"1 muerto o más.")))))</f>
        <v>Lesiones graves que pueden ser irreparables.</v>
      </c>
      <c r="T66" s="114" t="s">
        <v>24</v>
      </c>
      <c r="U66" s="46"/>
    </row>
    <row r="67" spans="1:21" ht="57">
      <c r="A67" s="101"/>
      <c r="B67" s="114" t="s">
        <v>24</v>
      </c>
      <c r="C67" s="114" t="str">
        <f t="shared" si="0"/>
        <v>Energía eléctrica</v>
      </c>
      <c r="D67" s="9" t="s">
        <v>330</v>
      </c>
      <c r="E67" s="114" t="str">
        <f t="shared" si="8"/>
        <v>Contactos Eléctricos</v>
      </c>
      <c r="F67" s="114" t="str">
        <f t="shared" si="1"/>
        <v>Riesgo de seguridad (Riesgo Eléctrico)</v>
      </c>
      <c r="G67" s="117">
        <f>'I-TZ-RE-CE'!J19</f>
        <v>8.1666666666666661</v>
      </c>
      <c r="H67" s="113" t="str">
        <f t="shared" si="2"/>
        <v>MD</v>
      </c>
      <c r="I67" s="10">
        <v>2</v>
      </c>
      <c r="J67" s="113" t="str">
        <f t="shared" si="9"/>
        <v>EO</v>
      </c>
      <c r="K67" s="11">
        <f t="shared" si="10"/>
        <v>16.333333333333332</v>
      </c>
      <c r="L67" s="113" t="str">
        <f t="shared" si="3"/>
        <v>A</v>
      </c>
      <c r="M67" s="10">
        <v>25</v>
      </c>
      <c r="N67" s="113" t="str">
        <f t="shared" si="11"/>
        <v>G</v>
      </c>
      <c r="O67" s="42">
        <f t="shared" si="4"/>
        <v>408</v>
      </c>
      <c r="P67" s="113" t="str">
        <f t="shared" si="5"/>
        <v>II</v>
      </c>
      <c r="Q67" s="114" t="str">
        <f t="shared" si="6"/>
        <v>Corregir
y adoptar medidas de control.</v>
      </c>
      <c r="R67" s="113"/>
      <c r="S67" s="114" t="str">
        <f t="shared" si="7"/>
        <v>Lesiones con incapacidad laboral transitoria (I. L. T.).</v>
      </c>
      <c r="T67" s="114" t="s">
        <v>24</v>
      </c>
      <c r="U67" s="46"/>
    </row>
    <row r="68" spans="1:21" ht="57">
      <c r="A68" s="102"/>
      <c r="B68" s="114" t="s">
        <v>24</v>
      </c>
      <c r="C68" s="114" t="str">
        <f t="shared" si="0"/>
        <v>Posturas forzadas/ manipulación manual de cargas</v>
      </c>
      <c r="D68" s="9" t="s">
        <v>37</v>
      </c>
      <c r="E68" s="114" t="str">
        <f t="shared" si="8"/>
        <v>Sobreesfuerzos</v>
      </c>
      <c r="F68" s="114" t="str">
        <f t="shared" si="1"/>
        <v>Riesgo Ergonómico</v>
      </c>
      <c r="G68" s="117">
        <f>'I-TZ-RC-RE-S'!I15</f>
        <v>8.9285714285714288</v>
      </c>
      <c r="H68" s="113" t="str">
        <f t="shared" si="2"/>
        <v>MD</v>
      </c>
      <c r="I68" s="10">
        <v>2</v>
      </c>
      <c r="J68" s="113" t="str">
        <f t="shared" si="9"/>
        <v>EO</v>
      </c>
      <c r="K68" s="11">
        <f t="shared" si="10"/>
        <v>17.857142857142858</v>
      </c>
      <c r="L68" s="113" t="str">
        <f t="shared" si="3"/>
        <v>A</v>
      </c>
      <c r="M68" s="10">
        <v>25</v>
      </c>
      <c r="N68" s="113" t="str">
        <f t="shared" si="11"/>
        <v>G</v>
      </c>
      <c r="O68" s="42">
        <f t="shared" ref="O68:O85" si="12">IF(M68="","",ROUND(M68*K68,0))</f>
        <v>446</v>
      </c>
      <c r="P68" s="113" t="str">
        <f t="shared" si="5"/>
        <v>II</v>
      </c>
      <c r="Q68" s="114" t="str">
        <f t="shared" si="6"/>
        <v>Corregir
y adoptar medidas de control.</v>
      </c>
      <c r="R68" s="113"/>
      <c r="S68" s="114" t="str">
        <f t="shared" si="7"/>
        <v>Lesiones con incapacidad laboral transitoria (I. L. T.).</v>
      </c>
      <c r="T68" s="114" t="s">
        <v>24</v>
      </c>
      <c r="U68" s="46"/>
    </row>
    <row r="69" spans="1:21" ht="57">
      <c r="A69" s="103" t="s">
        <v>338</v>
      </c>
      <c r="B69" s="114" t="s">
        <v>24</v>
      </c>
      <c r="C69" s="114" t="str">
        <f t="shared" si="0"/>
        <v>Niveles sonoros</v>
      </c>
      <c r="D69" s="9" t="s">
        <v>25</v>
      </c>
      <c r="E69" s="114" t="str">
        <f t="shared" si="8"/>
        <v>Ruido</v>
      </c>
      <c r="F69" s="114" t="str">
        <f t="shared" ref="F69:F85" si="13">IF(D69="","",IF(D69="010-E","Riesgo de seguridad (Riesgo Mecánico)",IF(D69="020-E","Riesgo de seguridad (Riesgo Mecánico)",IF(D69="030-E","Riesgo de seguridad (Riesgo Mecánico)",IF(D69="040-E","Riesgo de seguridad (Riesgo Mecánico)",IF(D69="090-E","Riesgo de seguridad (Riesgo Mecánico)",IF(D69="110-E","Riesgo de seguridad (Riesgo Mecánico)",IF(D69="100-E","Riesgo de seguridad (Riesgo Mecánico)",IF(D69="230-E","Riesgo de seguridad (Riesgo Mecánico)",IF(D69="250a-E","Riesgo de seguridad (Riesgo Mecánico)",IF(D69="250b-E","Riesgo de seguridad (Riesgo Mecánico)",IF(D69="160-E","Riesgo de seguridad (Riesgo Eléctrico)",IF(D69="150a-E","Riesgo de seguridad (Riesgo Industrial Mayor)",IF(D69="150b-E","Riesgo de seguridad (Riesgo Industrial Mayor)",IF(D69="150c-E","Riesgo de seguridad (Riesgo Industrial Mayor)",IF(D69="570","Riesgo de seguridad (Riesgo Locativo)",IF(D69="120-I","Riesgo Mecánico",IF(D69="330","Riesgo Físico",IF(D69="340","Riesgo Físico",IF(D69="360","Riesgo Físico",IF(D69="170","Riesgo Químico",IF(D69="130","Riesgo Ergonómico",IF(D69="380","Riesgo Físico",IF(D69="010-I","Riesgo de seguridad (Riesgo Mecánico)",IF(D69="020-I","Riesgo de seguridad (Riesgo Mecánico)",IF(D69="030-I","Riesgo de seguridad (Riesgo Mecánico)",IF(D69="040-I","Riesgo de seguridad (Riesgo Mecánico)",IF(D69="090-I","Riesgo de seguridad (Riesgo Mecánico)",IF(D69="110-I","Riesgo de seguridad (Riesgo Mecánico)",IF(D69="100-I","Riesgo de seguridad (Riesgo Mecánico)",IF(D69="230-I","Riesgo de seguridad (Riesgo Mecánico)",IF(D69="250a-I","Riesgo de seguridad (Riesgo Mecánico)",IF(D69="250b-I","Riesgo de seguridad (Riesgo Mecánico)",IF(D69="160-I","Riesgo de seguridad (Riesgo Eléctrico)",IF(D69="390","Riesgo de seguridad (Riesgo Mecánico)")))))))))))))))))))))))))))))))))))</f>
        <v>Riesgo Físico</v>
      </c>
      <c r="G69" s="117">
        <f>'I-R-RC-RF-R'!I13</f>
        <v>8.4375</v>
      </c>
      <c r="H69" s="113" t="str">
        <f t="shared" si="2"/>
        <v>MD</v>
      </c>
      <c r="I69" s="10">
        <v>3</v>
      </c>
      <c r="J69" s="113" t="str">
        <f t="shared" si="9"/>
        <v>EF</v>
      </c>
      <c r="K69" s="11">
        <f t="shared" si="10"/>
        <v>25.3125</v>
      </c>
      <c r="L69" s="113" t="str">
        <f t="shared" si="3"/>
        <v>MA</v>
      </c>
      <c r="M69" s="10">
        <v>25</v>
      </c>
      <c r="N69" s="113" t="str">
        <f t="shared" si="11"/>
        <v>G</v>
      </c>
      <c r="O69" s="42">
        <f t="shared" si="12"/>
        <v>633</v>
      </c>
      <c r="P69" s="113" t="str">
        <f t="shared" si="5"/>
        <v>I</v>
      </c>
      <c r="Q69" s="114" t="str">
        <f t="shared" si="6"/>
        <v>Situación Crítica.
Corrección urgente.</v>
      </c>
      <c r="R69" s="113"/>
      <c r="S69" s="114" t="str">
        <f t="shared" si="7"/>
        <v>Lesiones con incapacidad laboral transitoria (I. L. T.).</v>
      </c>
      <c r="T69" s="114" t="s">
        <v>24</v>
      </c>
      <c r="U69" s="46"/>
    </row>
    <row r="70" spans="1:21" ht="57">
      <c r="A70" s="104"/>
      <c r="B70" s="114" t="s">
        <v>24</v>
      </c>
      <c r="C70" s="114" t="str">
        <f t="shared" si="0"/>
        <v>Movimientos oscilatorios</v>
      </c>
      <c r="D70" s="9" t="s">
        <v>39</v>
      </c>
      <c r="E70" s="114" t="str">
        <f t="shared" si="8"/>
        <v>Vibración</v>
      </c>
      <c r="F70" s="114" t="str">
        <f t="shared" si="13"/>
        <v>Riesgo Físico</v>
      </c>
      <c r="G70" s="117">
        <f>'I-R-RC-RF-V'!I13</f>
        <v>10</v>
      </c>
      <c r="H70" s="113" t="str">
        <f t="shared" si="2"/>
        <v>MD</v>
      </c>
      <c r="I70" s="10">
        <v>3</v>
      </c>
      <c r="J70" s="113" t="str">
        <f t="shared" si="9"/>
        <v>EF</v>
      </c>
      <c r="K70" s="11">
        <f t="shared" si="10"/>
        <v>30</v>
      </c>
      <c r="L70" s="113" t="str">
        <f t="shared" si="3"/>
        <v>MA</v>
      </c>
      <c r="M70" s="10">
        <v>25</v>
      </c>
      <c r="N70" s="113" t="str">
        <f t="shared" si="11"/>
        <v>G</v>
      </c>
      <c r="O70" s="42">
        <f t="shared" si="12"/>
        <v>750</v>
      </c>
      <c r="P70" s="113" t="str">
        <f t="shared" si="5"/>
        <v>I</v>
      </c>
      <c r="Q70" s="114" t="str">
        <f t="shared" si="6"/>
        <v>Situación Crítica.
Corrección urgente.</v>
      </c>
      <c r="R70" s="113"/>
      <c r="S70" s="114" t="str">
        <f t="shared" si="7"/>
        <v>Lesiones con incapacidad laboral transitoria (I. L. T.).</v>
      </c>
      <c r="T70" s="114" t="s">
        <v>24</v>
      </c>
      <c r="U70" s="46"/>
    </row>
    <row r="71" spans="1:21" ht="42.75">
      <c r="A71" s="104"/>
      <c r="B71" s="114" t="s">
        <v>24</v>
      </c>
      <c r="C71" s="114" t="str">
        <f t="shared" ref="C71:C85" si="14">IF(D71="","",IF(D71="010-E","Trabajo en altura/ zonas con desnivel",IF(D71="020-E","Superficies irregulares u obstruidas",IF(D71="030-E","Estructuras inestables/ espacios confinados",IF(D71="040-E","Desprendimiento de objetos",IF(D71="090-E","Manipulación de máquinas/ herramientas",IF(D71="100-E","Operaciones de conformado",IF(D71="110-E","Objetos fijos o móviles",IF(D71="250a-E","Situaciones fortuitas",IF(D71="230-E","Colisión/ impacto vehicular",IF(D71="250b-E","Situaciones fortuitas",IF(D71="160-E","Energía eléctrica",IF(D71="150a-E","Fuentes de calor",IF(D71="150b-E","Fuentes de calor",IF(D71="150c-E","Fuentes de calor",IF(D71="570","Condiciones inadecuadas",IF(D71="120-I","Maquinaria pesada",IF(D71="330","Niveles sonoros",IF(D71="340","Movimientos oscilatorios",IF(D71="360","Fuentes emisoras de energía",IF(D71="170","Sustancias químicas",IF(D71="380","Niveles lumínicos",IF(D71="010-I","Trabajo en altura/ zonas con desnivel",IF(D71="020-I","Superficies irregulares u obstruidas",IF(D71="030-I","Estructuras inestables/ espacios confinados",IF(D71="040-I","Desprendimiento de objetos",IF(D71="090-I","Manipulación de máquinas/ herramientas",IF(D71="100-I","Operaciones de conformado",IF(D71="110-I","Objetos fijos o móviles",IF(D71="250a-I","Situaciones fortuitas",IF(D71="230-I","Colisión/ impacto vehicular",IF(D71="250b-I","Situaciones fortuitas",IF(D71="160-I","Energía eléctrica",IF(D71="390","Atmósferas contaminadas",IF(D71="130","Posturas forzadas/ manipulación manual de cargas")))))))))))))))))))))))))))))))))))</f>
        <v>Fuentes emisoras de energía</v>
      </c>
      <c r="D71" s="9" t="s">
        <v>335</v>
      </c>
      <c r="E71" s="114" t="str">
        <f t="shared" si="8"/>
        <v>Radiaciones ionizantes</v>
      </c>
      <c r="F71" s="114" t="str">
        <f t="shared" si="13"/>
        <v>Riesgo Físico</v>
      </c>
      <c r="G71" s="117">
        <f>'I-R-RC-RF-RI'!I19</f>
        <v>7.8846153846153841</v>
      </c>
      <c r="H71" s="113" t="str">
        <f t="shared" si="2"/>
        <v>MD</v>
      </c>
      <c r="I71" s="10">
        <v>3</v>
      </c>
      <c r="J71" s="113" t="str">
        <f t="shared" si="9"/>
        <v>EF</v>
      </c>
      <c r="K71" s="11">
        <f t="shared" si="10"/>
        <v>23.653846153846153</v>
      </c>
      <c r="L71" s="113" t="str">
        <f t="shared" si="3"/>
        <v>A</v>
      </c>
      <c r="M71" s="10">
        <v>60</v>
      </c>
      <c r="N71" s="113" t="str">
        <f t="shared" si="11"/>
        <v>MG</v>
      </c>
      <c r="O71" s="42">
        <f t="shared" si="12"/>
        <v>1419</v>
      </c>
      <c r="P71" s="113" t="str">
        <f t="shared" si="5"/>
        <v>I</v>
      </c>
      <c r="Q71" s="114" t="str">
        <f t="shared" si="6"/>
        <v>Situación Crítica.
Corrección urgente.</v>
      </c>
      <c r="R71" s="113"/>
      <c r="S71" s="114" t="str">
        <f t="shared" ref="S71:S85" si="15">IF(M71="","",IF(M71=10,"Pequeñas lesiones que no requieren hospitalización.",IF(M71=25,"Lesiones con incapacidad laboral transitoria (I. L. T.).",IF(M71=60,"Lesiones graves que pueden ser irreparables.",IF(M71=100,"1 muerto o más.")))))</f>
        <v>Lesiones graves que pueden ser irreparables.</v>
      </c>
      <c r="T71" s="114" t="s">
        <v>24</v>
      </c>
      <c r="U71" s="46"/>
    </row>
    <row r="72" spans="1:21" ht="85.5">
      <c r="A72" s="104"/>
      <c r="B72" s="114" t="s">
        <v>24</v>
      </c>
      <c r="C72" s="114" t="str">
        <f t="shared" si="14"/>
        <v>Niveles lumínicos</v>
      </c>
      <c r="D72" s="9" t="s">
        <v>26</v>
      </c>
      <c r="E72" s="114" t="str">
        <f t="shared" si="8"/>
        <v>Iluminación</v>
      </c>
      <c r="F72" s="114" t="str">
        <f t="shared" si="13"/>
        <v>Riesgo Físico</v>
      </c>
      <c r="G72" s="117">
        <f>'I-R-RC-RF-RI'!I19</f>
        <v>7.8846153846153841</v>
      </c>
      <c r="H72" s="113" t="str">
        <f t="shared" si="2"/>
        <v>MD</v>
      </c>
      <c r="I72" s="10">
        <v>1</v>
      </c>
      <c r="J72" s="113" t="str">
        <f t="shared" si="9"/>
        <v>EE</v>
      </c>
      <c r="K72" s="11">
        <f t="shared" si="10"/>
        <v>7.8846153846153841</v>
      </c>
      <c r="L72" s="113" t="str">
        <f t="shared" si="3"/>
        <v>M</v>
      </c>
      <c r="M72" s="10">
        <v>10</v>
      </c>
      <c r="N72" s="113" t="str">
        <f t="shared" si="11"/>
        <v>L</v>
      </c>
      <c r="O72" s="42">
        <f t="shared" si="12"/>
        <v>79</v>
      </c>
      <c r="P72" s="113" t="str">
        <f t="shared" si="5"/>
        <v>III</v>
      </c>
      <c r="Q72" s="114" t="str">
        <f t="shared" si="6"/>
        <v>Mejorar si es posible. Sería conveniente justificar la intervención y su rentabilidad.</v>
      </c>
      <c r="R72" s="113"/>
      <c r="S72" s="114" t="str">
        <f t="shared" si="15"/>
        <v>Pequeñas lesiones que no requieren hospitalización.</v>
      </c>
      <c r="T72" s="114" t="s">
        <v>24</v>
      </c>
      <c r="U72" s="46"/>
    </row>
    <row r="73" spans="1:21" ht="85.5">
      <c r="A73" s="104"/>
      <c r="B73" s="114" t="s">
        <v>24</v>
      </c>
      <c r="C73" s="114" t="str">
        <f t="shared" si="14"/>
        <v>Condiciones inadecuadas</v>
      </c>
      <c r="D73" s="9" t="s">
        <v>27</v>
      </c>
      <c r="E73" s="114" t="str">
        <f t="shared" si="8"/>
        <v>Organización del trabajo incorrecta</v>
      </c>
      <c r="F73" s="114" t="str">
        <f t="shared" si="13"/>
        <v>Riesgo de seguridad (Riesgo Locativo)</v>
      </c>
      <c r="G73" s="117">
        <f>'I-R-RL-OI'!J14</f>
        <v>7.0270270270270263</v>
      </c>
      <c r="H73" s="113" t="str">
        <f t="shared" ref="H73:H85" si="16">IF(G73="","",IF(AND(G73&lt;=10,G73&gt;6),"MD",IF(AND(G73&lt;=6,G73&gt;2),"D",IF(AND(G73&lt;=2,G73&gt;0),"M",IF(G73=0,"B")))))</f>
        <v>MD</v>
      </c>
      <c r="I73" s="10">
        <v>1</v>
      </c>
      <c r="J73" s="113" t="str">
        <f t="shared" si="9"/>
        <v>EE</v>
      </c>
      <c r="K73" s="11">
        <f t="shared" si="10"/>
        <v>7.0270270270270263</v>
      </c>
      <c r="L73" s="113" t="str">
        <f t="shared" ref="L73:L85" si="17">IF(K73="","",IF(K73&gt;=24,"MA",IF(AND(K73&lt;24,K73&gt;8),"A",IF(AND(K73&lt;=8,K73&gt;4),"M",IF(AND(K73&lt;=4,K73&gt;=0),"B")))))</f>
        <v>M</v>
      </c>
      <c r="M73" s="10">
        <v>10</v>
      </c>
      <c r="N73" s="113" t="str">
        <f t="shared" si="11"/>
        <v>L</v>
      </c>
      <c r="O73" s="42">
        <f t="shared" si="12"/>
        <v>70</v>
      </c>
      <c r="P73" s="113" t="str">
        <f t="shared" ref="P73:P85" si="18">IF(O73="","",IF(O73="","",IF(AND(O73&lt;=4000,O73&gt;500),"I",IF(AND(O73&lt;=500,O73&gt;120),"II",IF(AND(O73&lt;=120,O73&gt;20),"III",IF(O73&lt;=20,"IV"))))))</f>
        <v>III</v>
      </c>
      <c r="Q73" s="114" t="str">
        <f t="shared" ref="Q73:Q85" si="19">IF(P73="","",IF(P73="I","Situación Crítica.
Corrección urgente.",IF(P73="II","Corregir
y adoptar medidas de control.",IF(P73="III","Mejorar si es posible. Sería conveniente justificar la intervención y su rentabilidad.",IF(P73="IV","No intervenir, salvo que un análisis más preciso lo justifique.")))))</f>
        <v>Mejorar si es posible. Sería conveniente justificar la intervención y su rentabilidad.</v>
      </c>
      <c r="R73" s="113"/>
      <c r="S73" s="114" t="str">
        <f t="shared" si="15"/>
        <v>Pequeñas lesiones que no requieren hospitalización.</v>
      </c>
      <c r="T73" s="114" t="s">
        <v>24</v>
      </c>
      <c r="U73" s="46"/>
    </row>
    <row r="74" spans="1:21" ht="57">
      <c r="A74" s="104"/>
      <c r="B74" s="114" t="s">
        <v>24</v>
      </c>
      <c r="C74" s="114" t="str">
        <f t="shared" si="14"/>
        <v>Trabajo en altura/ zonas con desnivel</v>
      </c>
      <c r="D74" s="9" t="s">
        <v>331</v>
      </c>
      <c r="E74" s="114" t="str">
        <f t="shared" si="8"/>
        <v>Caída de personas a distinto nivel</v>
      </c>
      <c r="F74" s="114" t="str">
        <f t="shared" si="13"/>
        <v>Riesgo de seguridad (Riesgo Mecánico)</v>
      </c>
      <c r="G74" s="117">
        <f>'I-R-RM-CDN'!J14</f>
        <v>7.419354838709677</v>
      </c>
      <c r="H74" s="113" t="str">
        <f t="shared" si="16"/>
        <v>MD</v>
      </c>
      <c r="I74" s="10">
        <v>2</v>
      </c>
      <c r="J74" s="113" t="str">
        <f t="shared" si="9"/>
        <v>EO</v>
      </c>
      <c r="K74" s="11">
        <f t="shared" si="10"/>
        <v>14.838709677419354</v>
      </c>
      <c r="L74" s="113" t="str">
        <f t="shared" si="17"/>
        <v>A</v>
      </c>
      <c r="M74" s="10">
        <v>60</v>
      </c>
      <c r="N74" s="113" t="str">
        <f t="shared" si="11"/>
        <v>MG</v>
      </c>
      <c r="O74" s="42">
        <f t="shared" si="12"/>
        <v>890</v>
      </c>
      <c r="P74" s="113" t="str">
        <f t="shared" si="18"/>
        <v>I</v>
      </c>
      <c r="Q74" s="114" t="str">
        <f t="shared" si="19"/>
        <v>Situación Crítica.
Corrección urgente.</v>
      </c>
      <c r="R74" s="113"/>
      <c r="S74" s="114" t="str">
        <f t="shared" si="15"/>
        <v>Lesiones graves que pueden ser irreparables.</v>
      </c>
      <c r="T74" s="114" t="s">
        <v>24</v>
      </c>
      <c r="U74" s="46"/>
    </row>
    <row r="75" spans="1:21" ht="57">
      <c r="A75" s="104"/>
      <c r="B75" s="114" t="s">
        <v>24</v>
      </c>
      <c r="C75" s="114" t="str">
        <f t="shared" si="14"/>
        <v>Superficies irregulares u obstruidas</v>
      </c>
      <c r="D75" s="9" t="s">
        <v>322</v>
      </c>
      <c r="E75" s="114" t="str">
        <f t="shared" si="8"/>
        <v>Caída de personas al mismo nivel</v>
      </c>
      <c r="F75" s="114" t="str">
        <f t="shared" si="13"/>
        <v>Riesgo de seguridad (Riesgo Mecánico)</v>
      </c>
      <c r="G75" s="117">
        <f>'I-R-RM-CMN'!J15</f>
        <v>7.5</v>
      </c>
      <c r="H75" s="113" t="str">
        <f t="shared" si="16"/>
        <v>MD</v>
      </c>
      <c r="I75" s="10">
        <v>3</v>
      </c>
      <c r="J75" s="113" t="str">
        <f t="shared" si="9"/>
        <v>EF</v>
      </c>
      <c r="K75" s="11">
        <f t="shared" si="10"/>
        <v>22.5</v>
      </c>
      <c r="L75" s="113" t="str">
        <f t="shared" si="17"/>
        <v>A</v>
      </c>
      <c r="M75" s="10">
        <v>25</v>
      </c>
      <c r="N75" s="113" t="str">
        <f t="shared" si="11"/>
        <v>G</v>
      </c>
      <c r="O75" s="42">
        <f t="shared" si="12"/>
        <v>563</v>
      </c>
      <c r="P75" s="113" t="str">
        <f t="shared" si="18"/>
        <v>I</v>
      </c>
      <c r="Q75" s="114" t="str">
        <f t="shared" si="19"/>
        <v>Situación Crítica.
Corrección urgente.</v>
      </c>
      <c r="R75" s="113"/>
      <c r="S75" s="114" t="str">
        <f t="shared" si="15"/>
        <v>Lesiones con incapacidad laboral transitoria (I. L. T.).</v>
      </c>
      <c r="T75" s="114" t="s">
        <v>24</v>
      </c>
      <c r="U75" s="46"/>
    </row>
    <row r="76" spans="1:21" ht="57">
      <c r="A76" s="104"/>
      <c r="B76" s="114" t="s">
        <v>24</v>
      </c>
      <c r="C76" s="114" t="str">
        <f t="shared" si="14"/>
        <v>Estructuras inestables/ espacios confinados</v>
      </c>
      <c r="D76" s="9" t="s">
        <v>332</v>
      </c>
      <c r="E76" s="114" t="str">
        <f t="shared" si="8"/>
        <v>Caída de objetos por desplome</v>
      </c>
      <c r="F76" s="114" t="str">
        <f t="shared" si="13"/>
        <v>Riesgo de seguridad (Riesgo Mecánico)</v>
      </c>
      <c r="G76" s="117">
        <f>'I-R-RM-COD'!J14</f>
        <v>6.486486486486486</v>
      </c>
      <c r="H76" s="113" t="str">
        <f t="shared" si="16"/>
        <v>MD</v>
      </c>
      <c r="I76" s="10">
        <v>3</v>
      </c>
      <c r="J76" s="113" t="str">
        <f t="shared" si="9"/>
        <v>EF</v>
      </c>
      <c r="K76" s="11">
        <f t="shared" si="10"/>
        <v>19.45945945945946</v>
      </c>
      <c r="L76" s="113" t="str">
        <f t="shared" si="17"/>
        <v>A</v>
      </c>
      <c r="M76" s="10">
        <v>60</v>
      </c>
      <c r="N76" s="113" t="str">
        <f t="shared" si="11"/>
        <v>MG</v>
      </c>
      <c r="O76" s="42">
        <f t="shared" si="12"/>
        <v>1168</v>
      </c>
      <c r="P76" s="113" t="str">
        <f t="shared" si="18"/>
        <v>I</v>
      </c>
      <c r="Q76" s="114" t="str">
        <f t="shared" si="19"/>
        <v>Situación Crítica.
Corrección urgente.</v>
      </c>
      <c r="R76" s="113"/>
      <c r="S76" s="114" t="str">
        <f t="shared" si="15"/>
        <v>Lesiones graves que pueden ser irreparables.</v>
      </c>
      <c r="T76" s="114" t="s">
        <v>24</v>
      </c>
      <c r="U76" s="46"/>
    </row>
    <row r="77" spans="1:21" ht="57">
      <c r="A77" s="104"/>
      <c r="B77" s="114" t="s">
        <v>24</v>
      </c>
      <c r="C77" s="114" t="str">
        <f t="shared" si="14"/>
        <v>Desprendimiento de objetos</v>
      </c>
      <c r="D77" s="9" t="s">
        <v>323</v>
      </c>
      <c r="E77" s="114" t="str">
        <f t="shared" si="8"/>
        <v>Caída de objetos en manipulación</v>
      </c>
      <c r="F77" s="114" t="str">
        <f t="shared" si="13"/>
        <v>Riesgo de seguridad (Riesgo Mecánico)</v>
      </c>
      <c r="G77" s="117">
        <f>'I-R-RM-COM'!J16</f>
        <v>6.8571428571428559</v>
      </c>
      <c r="H77" s="113" t="str">
        <f t="shared" si="16"/>
        <v>MD</v>
      </c>
      <c r="I77" s="10">
        <v>2</v>
      </c>
      <c r="J77" s="113" t="str">
        <f t="shared" si="9"/>
        <v>EO</v>
      </c>
      <c r="K77" s="11">
        <f t="shared" si="10"/>
        <v>13.714285714285712</v>
      </c>
      <c r="L77" s="113" t="str">
        <f t="shared" si="17"/>
        <v>A</v>
      </c>
      <c r="M77" s="10">
        <v>25</v>
      </c>
      <c r="N77" s="113" t="str">
        <f t="shared" si="11"/>
        <v>G</v>
      </c>
      <c r="O77" s="42">
        <f t="shared" si="12"/>
        <v>343</v>
      </c>
      <c r="P77" s="113" t="str">
        <f t="shared" si="18"/>
        <v>II</v>
      </c>
      <c r="Q77" s="114" t="str">
        <f t="shared" si="19"/>
        <v>Corregir
y adoptar medidas de control.</v>
      </c>
      <c r="R77" s="113"/>
      <c r="S77" s="114" t="str">
        <f t="shared" si="15"/>
        <v>Lesiones con incapacidad laboral transitoria (I. L. T.).</v>
      </c>
      <c r="T77" s="114" t="s">
        <v>24</v>
      </c>
      <c r="U77" s="46"/>
    </row>
    <row r="78" spans="1:21" ht="57">
      <c r="A78" s="104"/>
      <c r="B78" s="114" t="s">
        <v>24</v>
      </c>
      <c r="C78" s="114" t="str">
        <f t="shared" si="14"/>
        <v>Manipulación de máquinas/ herramientas</v>
      </c>
      <c r="D78" s="9" t="s">
        <v>324</v>
      </c>
      <c r="E78" s="114" t="str">
        <f t="shared" si="8"/>
        <v>Golpes/cortes por objetos o herramientas</v>
      </c>
      <c r="F78" s="114" t="str">
        <f t="shared" si="13"/>
        <v>Riesgo de seguridad (Riesgo Mecánico)</v>
      </c>
      <c r="G78" s="117">
        <f>'I-R-RM-GCOH'!J19</f>
        <v>6.875</v>
      </c>
      <c r="H78" s="113" t="str">
        <f t="shared" si="16"/>
        <v>MD</v>
      </c>
      <c r="I78" s="10">
        <v>3</v>
      </c>
      <c r="J78" s="113" t="str">
        <f t="shared" si="9"/>
        <v>EF</v>
      </c>
      <c r="K78" s="11">
        <f t="shared" si="10"/>
        <v>20.625</v>
      </c>
      <c r="L78" s="113" t="str">
        <f t="shared" si="17"/>
        <v>A</v>
      </c>
      <c r="M78" s="10">
        <v>25</v>
      </c>
      <c r="N78" s="113" t="str">
        <f t="shared" si="11"/>
        <v>G</v>
      </c>
      <c r="O78" s="42">
        <f t="shared" si="12"/>
        <v>516</v>
      </c>
      <c r="P78" s="113" t="str">
        <f t="shared" si="18"/>
        <v>I</v>
      </c>
      <c r="Q78" s="114" t="str">
        <f t="shared" si="19"/>
        <v>Situación Crítica.
Corrección urgente.</v>
      </c>
      <c r="R78" s="113"/>
      <c r="S78" s="114" t="str">
        <f t="shared" si="15"/>
        <v>Lesiones con incapacidad laboral transitoria (I. L. T.).</v>
      </c>
      <c r="T78" s="114" t="s">
        <v>24</v>
      </c>
      <c r="U78" s="46"/>
    </row>
    <row r="79" spans="1:21" ht="57">
      <c r="A79" s="104"/>
      <c r="B79" s="114" t="s">
        <v>24</v>
      </c>
      <c r="C79" s="114" t="str">
        <f t="shared" si="14"/>
        <v>Operaciones de conformado</v>
      </c>
      <c r="D79" s="9" t="s">
        <v>325</v>
      </c>
      <c r="E79" s="114" t="str">
        <f t="shared" si="8"/>
        <v>Proyección de fragmentos o partículas</v>
      </c>
      <c r="F79" s="114" t="str">
        <f t="shared" si="13"/>
        <v>Riesgo de seguridad (Riesgo Mecánico)</v>
      </c>
      <c r="G79" s="117">
        <f>'I-R-RM-PFP'!J14</f>
        <v>7.7419354838709671</v>
      </c>
      <c r="H79" s="113" t="str">
        <f t="shared" si="16"/>
        <v>MD</v>
      </c>
      <c r="I79" s="10">
        <v>3</v>
      </c>
      <c r="J79" s="113" t="str">
        <f t="shared" si="9"/>
        <v>EF</v>
      </c>
      <c r="K79" s="11">
        <f t="shared" si="10"/>
        <v>23.2258064516129</v>
      </c>
      <c r="L79" s="113" t="str">
        <f t="shared" si="17"/>
        <v>A</v>
      </c>
      <c r="M79" s="10">
        <v>25</v>
      </c>
      <c r="N79" s="113" t="str">
        <f t="shared" si="11"/>
        <v>G</v>
      </c>
      <c r="O79" s="42">
        <f t="shared" si="12"/>
        <v>581</v>
      </c>
      <c r="P79" s="113" t="str">
        <f t="shared" si="18"/>
        <v>I</v>
      </c>
      <c r="Q79" s="114" t="str">
        <f t="shared" si="19"/>
        <v>Situación Crítica.
Corrección urgente.</v>
      </c>
      <c r="R79" s="113"/>
      <c r="S79" s="114" t="str">
        <f t="shared" si="15"/>
        <v>Lesiones con incapacidad laboral transitoria (I. L. T.).</v>
      </c>
      <c r="T79" s="114" t="s">
        <v>24</v>
      </c>
      <c r="U79" s="46"/>
    </row>
    <row r="80" spans="1:21" ht="57">
      <c r="A80" s="104"/>
      <c r="B80" s="114" t="s">
        <v>24</v>
      </c>
      <c r="C80" s="114" t="str">
        <f t="shared" si="14"/>
        <v>Objetos fijos o móviles</v>
      </c>
      <c r="D80" s="9" t="s">
        <v>326</v>
      </c>
      <c r="E80" s="114" t="str">
        <f t="shared" si="8"/>
        <v>Atrapamiento por o entre objetos</v>
      </c>
      <c r="F80" s="114" t="str">
        <f t="shared" si="13"/>
        <v>Riesgo de seguridad (Riesgo Mecánico)</v>
      </c>
      <c r="G80" s="117">
        <f>'I-R-RM-APEO'!J17</f>
        <v>7.7083333333333339</v>
      </c>
      <c r="H80" s="113" t="str">
        <f t="shared" si="16"/>
        <v>MD</v>
      </c>
      <c r="I80" s="10">
        <v>3</v>
      </c>
      <c r="J80" s="113" t="str">
        <f t="shared" si="9"/>
        <v>EF</v>
      </c>
      <c r="K80" s="11">
        <f t="shared" si="10"/>
        <v>23.125</v>
      </c>
      <c r="L80" s="113" t="str">
        <f t="shared" si="17"/>
        <v>A</v>
      </c>
      <c r="M80" s="10">
        <v>60</v>
      </c>
      <c r="N80" s="113" t="str">
        <f t="shared" si="11"/>
        <v>MG</v>
      </c>
      <c r="O80" s="42">
        <f t="shared" si="12"/>
        <v>1388</v>
      </c>
      <c r="P80" s="113" t="str">
        <f t="shared" si="18"/>
        <v>I</v>
      </c>
      <c r="Q80" s="114" t="str">
        <f t="shared" si="19"/>
        <v>Situación Crítica.
Corrección urgente.</v>
      </c>
      <c r="R80" s="113"/>
      <c r="S80" s="114" t="str">
        <f t="shared" si="15"/>
        <v>Lesiones graves que pueden ser irreparables.</v>
      </c>
      <c r="T80" s="114" t="s">
        <v>24</v>
      </c>
      <c r="U80" s="46"/>
    </row>
    <row r="81" spans="1:21" ht="57">
      <c r="A81" s="104"/>
      <c r="B81" s="114" t="s">
        <v>24</v>
      </c>
      <c r="C81" s="114" t="str">
        <f t="shared" si="14"/>
        <v>Colisión/ impacto vehicular</v>
      </c>
      <c r="D81" s="9" t="s">
        <v>327</v>
      </c>
      <c r="E81" s="114" t="str">
        <f t="shared" si="8"/>
        <v>Atropellos o golpes con vehículos</v>
      </c>
      <c r="F81" s="114" t="str">
        <f t="shared" si="13"/>
        <v>Riesgo de seguridad (Riesgo Mecánico)</v>
      </c>
      <c r="G81" s="117">
        <f>'I-R-RM-AGV'!J16</f>
        <v>6.666666666666667</v>
      </c>
      <c r="H81" s="113" t="str">
        <f t="shared" si="16"/>
        <v>MD</v>
      </c>
      <c r="I81" s="10">
        <v>3</v>
      </c>
      <c r="J81" s="113" t="str">
        <f t="shared" si="9"/>
        <v>EF</v>
      </c>
      <c r="K81" s="11">
        <f t="shared" si="10"/>
        <v>20</v>
      </c>
      <c r="L81" s="113" t="str">
        <f t="shared" si="17"/>
        <v>A</v>
      </c>
      <c r="M81" s="10">
        <v>100</v>
      </c>
      <c r="N81" s="113" t="str">
        <f t="shared" si="11"/>
        <v>M</v>
      </c>
      <c r="O81" s="42">
        <f t="shared" si="12"/>
        <v>2000</v>
      </c>
      <c r="P81" s="113" t="str">
        <f t="shared" si="18"/>
        <v>I</v>
      </c>
      <c r="Q81" s="114" t="str">
        <f t="shared" si="19"/>
        <v>Situación Crítica.
Corrección urgente.</v>
      </c>
      <c r="R81" s="113"/>
      <c r="S81" s="114" t="str">
        <f t="shared" si="15"/>
        <v>1 muerto o más.</v>
      </c>
      <c r="T81" s="114" t="s">
        <v>24</v>
      </c>
      <c r="U81" s="46"/>
    </row>
    <row r="82" spans="1:21" ht="85.5">
      <c r="A82" s="104"/>
      <c r="B82" s="114" t="s">
        <v>24</v>
      </c>
      <c r="C82" s="114" t="str">
        <f t="shared" si="14"/>
        <v>Situaciones fortuitas</v>
      </c>
      <c r="D82" s="9" t="s">
        <v>328</v>
      </c>
      <c r="E82" s="114" t="str">
        <f t="shared" si="8"/>
        <v>Otros riesgos de accidente a) inherentes a la manipulación de herramientas eléctricas</v>
      </c>
      <c r="F82" s="114" t="str">
        <f t="shared" si="13"/>
        <v>Riesgo de seguridad (Riesgo Mecánico)</v>
      </c>
      <c r="G82" s="117">
        <f>'I-R-RM-ORAa'!J17</f>
        <v>5.2777777777777768</v>
      </c>
      <c r="H82" s="113" t="str">
        <f t="shared" si="16"/>
        <v>D</v>
      </c>
      <c r="I82" s="10">
        <v>2</v>
      </c>
      <c r="J82" s="113" t="str">
        <f t="shared" si="9"/>
        <v>EO</v>
      </c>
      <c r="K82" s="11">
        <f t="shared" si="10"/>
        <v>10.555555555555554</v>
      </c>
      <c r="L82" s="113" t="str">
        <f t="shared" si="17"/>
        <v>A</v>
      </c>
      <c r="M82" s="10">
        <v>25</v>
      </c>
      <c r="N82" s="113" t="str">
        <f t="shared" si="11"/>
        <v>G</v>
      </c>
      <c r="O82" s="42">
        <f t="shared" si="12"/>
        <v>264</v>
      </c>
      <c r="P82" s="113" t="str">
        <f t="shared" si="18"/>
        <v>II</v>
      </c>
      <c r="Q82" s="114" t="str">
        <f t="shared" si="19"/>
        <v>Corregir
y adoptar medidas de control.</v>
      </c>
      <c r="R82" s="113"/>
      <c r="S82" s="114" t="str">
        <f t="shared" si="15"/>
        <v>Lesiones con incapacidad laboral transitoria (I. L. T.).</v>
      </c>
      <c r="T82" s="114" t="s">
        <v>24</v>
      </c>
      <c r="U82" s="46"/>
    </row>
    <row r="83" spans="1:21" ht="85.5">
      <c r="A83" s="104"/>
      <c r="B83" s="114" t="s">
        <v>24</v>
      </c>
      <c r="C83" s="114" t="str">
        <f t="shared" si="14"/>
        <v>Situaciones fortuitas</v>
      </c>
      <c r="D83" s="9" t="s">
        <v>329</v>
      </c>
      <c r="E83" s="114" t="str">
        <f t="shared" si="8"/>
        <v>Otros riesgos de accidente b) Inherentes a la manipulación de herramientas manuales</v>
      </c>
      <c r="F83" s="114" t="str">
        <f t="shared" si="13"/>
        <v>Riesgo de seguridad (Riesgo Mecánico)</v>
      </c>
      <c r="G83" s="117">
        <f>'I-R-RM-ORAb'!J18</f>
        <v>5.1219512195121952</v>
      </c>
      <c r="H83" s="113" t="str">
        <f t="shared" si="16"/>
        <v>D</v>
      </c>
      <c r="I83" s="10">
        <v>3</v>
      </c>
      <c r="J83" s="113" t="str">
        <f t="shared" si="9"/>
        <v>EF</v>
      </c>
      <c r="K83" s="11">
        <f t="shared" si="10"/>
        <v>15.365853658536587</v>
      </c>
      <c r="L83" s="113" t="str">
        <f t="shared" si="17"/>
        <v>A</v>
      </c>
      <c r="M83" s="10">
        <v>25</v>
      </c>
      <c r="N83" s="113" t="str">
        <f t="shared" si="11"/>
        <v>G</v>
      </c>
      <c r="O83" s="42">
        <f t="shared" si="12"/>
        <v>384</v>
      </c>
      <c r="P83" s="113" t="str">
        <f t="shared" si="18"/>
        <v>II</v>
      </c>
      <c r="Q83" s="114" t="str">
        <f t="shared" si="19"/>
        <v>Corregir
y adoptar medidas de control.</v>
      </c>
      <c r="R83" s="113"/>
      <c r="S83" s="114" t="str">
        <f t="shared" si="15"/>
        <v>Lesiones con incapacidad laboral transitoria (I. L. T.).</v>
      </c>
      <c r="T83" s="114" t="s">
        <v>24</v>
      </c>
      <c r="U83" s="46"/>
    </row>
    <row r="84" spans="1:21" ht="57">
      <c r="A84" s="104"/>
      <c r="B84" s="114" t="s">
        <v>24</v>
      </c>
      <c r="C84" s="114" t="str">
        <f t="shared" si="14"/>
        <v>Energía eléctrica</v>
      </c>
      <c r="D84" s="9" t="s">
        <v>330</v>
      </c>
      <c r="E84" s="114" t="str">
        <f t="shared" si="8"/>
        <v>Contactos Eléctricos</v>
      </c>
      <c r="F84" s="114" t="str">
        <f t="shared" si="13"/>
        <v>Riesgo de seguridad (Riesgo Eléctrico)</v>
      </c>
      <c r="G84" s="117">
        <f>'I-R-RE-CE'!J19</f>
        <v>8.1666666666666661</v>
      </c>
      <c r="H84" s="113" t="str">
        <f t="shared" si="16"/>
        <v>MD</v>
      </c>
      <c r="I84" s="10">
        <v>2</v>
      </c>
      <c r="J84" s="113" t="str">
        <f t="shared" si="9"/>
        <v>EO</v>
      </c>
      <c r="K84" s="11">
        <f t="shared" si="10"/>
        <v>16.333333333333332</v>
      </c>
      <c r="L84" s="113" t="str">
        <f t="shared" si="17"/>
        <v>A</v>
      </c>
      <c r="M84" s="10">
        <v>25</v>
      </c>
      <c r="N84" s="113" t="str">
        <f t="shared" si="11"/>
        <v>G</v>
      </c>
      <c r="O84" s="42">
        <f t="shared" si="12"/>
        <v>408</v>
      </c>
      <c r="P84" s="113" t="str">
        <f t="shared" si="18"/>
        <v>II</v>
      </c>
      <c r="Q84" s="114" t="str">
        <f t="shared" si="19"/>
        <v>Corregir
y adoptar medidas de control.</v>
      </c>
      <c r="R84" s="113"/>
      <c r="S84" s="114" t="str">
        <f t="shared" si="15"/>
        <v>Lesiones con incapacidad laboral transitoria (I. L. T.).</v>
      </c>
      <c r="T84" s="114" t="s">
        <v>24</v>
      </c>
      <c r="U84" s="46"/>
    </row>
    <row r="85" spans="1:21" ht="57">
      <c r="A85" s="105"/>
      <c r="B85" s="114" t="s">
        <v>24</v>
      </c>
      <c r="C85" s="114" t="str">
        <f t="shared" si="14"/>
        <v>Posturas forzadas/ manipulación manual de cargas</v>
      </c>
      <c r="D85" s="9" t="s">
        <v>37</v>
      </c>
      <c r="E85" s="114" t="str">
        <f t="shared" si="8"/>
        <v>Sobreesfuerzos</v>
      </c>
      <c r="F85" s="114" t="str">
        <f t="shared" si="13"/>
        <v>Riesgo Ergonómico</v>
      </c>
      <c r="G85" s="117">
        <f>'I-R-RC-RE-S'!I15</f>
        <v>8.9285714285714288</v>
      </c>
      <c r="H85" s="113" t="str">
        <f t="shared" si="16"/>
        <v>MD</v>
      </c>
      <c r="I85" s="10">
        <v>3</v>
      </c>
      <c r="J85" s="113" t="str">
        <f t="shared" si="9"/>
        <v>EF</v>
      </c>
      <c r="K85" s="11">
        <f t="shared" si="10"/>
        <v>26.785714285714285</v>
      </c>
      <c r="L85" s="113" t="str">
        <f t="shared" si="17"/>
        <v>MA</v>
      </c>
      <c r="M85" s="10">
        <v>25</v>
      </c>
      <c r="N85" s="113" t="str">
        <f t="shared" si="11"/>
        <v>G</v>
      </c>
      <c r="O85" s="42">
        <f t="shared" si="12"/>
        <v>670</v>
      </c>
      <c r="P85" s="113" t="str">
        <f t="shared" si="18"/>
        <v>I</v>
      </c>
      <c r="Q85" s="114" t="str">
        <f t="shared" si="19"/>
        <v>Situación Crítica.
Corrección urgente.</v>
      </c>
      <c r="R85" s="113"/>
      <c r="S85" s="114" t="str">
        <f t="shared" si="15"/>
        <v>Lesiones con incapacidad laboral transitoria (I. L. T.).</v>
      </c>
      <c r="T85" s="114" t="s">
        <v>24</v>
      </c>
      <c r="U85" s="46"/>
    </row>
    <row r="86" spans="1:21">
      <c r="A86" s="116"/>
      <c r="B86" s="116"/>
      <c r="C86" s="118"/>
      <c r="D86" s="25"/>
      <c r="E86" s="118"/>
      <c r="F86" s="118"/>
      <c r="G86" s="116"/>
      <c r="H86" s="116"/>
      <c r="I86" s="116"/>
      <c r="J86" s="116"/>
      <c r="K86" s="119"/>
      <c r="L86" s="116"/>
      <c r="M86" s="116"/>
      <c r="N86" s="116"/>
      <c r="O86" s="119"/>
      <c r="P86" s="116"/>
      <c r="Q86" s="116"/>
      <c r="R86" s="116"/>
      <c r="S86" s="116"/>
      <c r="T86" s="116"/>
    </row>
    <row r="87" spans="1:21">
      <c r="A87" s="116"/>
      <c r="B87" s="116"/>
      <c r="C87" s="118"/>
      <c r="D87" s="25"/>
      <c r="E87" s="118"/>
      <c r="F87" s="118"/>
      <c r="G87" s="116"/>
      <c r="H87" s="116"/>
      <c r="I87" s="116"/>
      <c r="J87" s="116"/>
      <c r="K87" s="119"/>
      <c r="L87" s="116"/>
      <c r="M87" s="116"/>
      <c r="N87" s="116"/>
      <c r="O87" s="119"/>
      <c r="P87" s="116"/>
      <c r="Q87" s="116"/>
      <c r="R87" s="116"/>
      <c r="S87" s="116"/>
      <c r="T87" s="116"/>
    </row>
    <row r="88" spans="1:21">
      <c r="A88" s="116"/>
      <c r="B88" s="116"/>
      <c r="C88" s="118"/>
      <c r="D88" s="25"/>
      <c r="E88" s="118"/>
      <c r="F88" s="118"/>
      <c r="G88" s="116"/>
      <c r="H88" s="116"/>
      <c r="I88" s="116"/>
      <c r="J88" s="116"/>
      <c r="K88" s="119"/>
      <c r="L88" s="116"/>
      <c r="M88" s="116"/>
      <c r="N88" s="116"/>
      <c r="O88" s="119"/>
      <c r="P88" s="116"/>
      <c r="Q88" s="116"/>
      <c r="R88" s="116"/>
      <c r="S88" s="116"/>
      <c r="T88" s="116"/>
    </row>
    <row r="89" spans="1:21">
      <c r="A89" s="116"/>
      <c r="B89" s="116"/>
      <c r="C89" s="118"/>
      <c r="D89" s="25"/>
      <c r="E89" s="118"/>
      <c r="F89" s="118"/>
      <c r="G89" s="116"/>
      <c r="H89" s="116"/>
      <c r="I89" s="116"/>
      <c r="J89" s="116"/>
      <c r="K89" s="119"/>
      <c r="L89" s="116"/>
      <c r="M89" s="116"/>
      <c r="N89" s="116"/>
      <c r="O89" s="119"/>
      <c r="P89" s="116"/>
      <c r="Q89" s="116"/>
      <c r="R89" s="116"/>
      <c r="S89" s="116"/>
      <c r="T89" s="116"/>
    </row>
    <row r="90" spans="1:21">
      <c r="A90" s="116"/>
      <c r="B90" s="116"/>
      <c r="C90" s="118"/>
      <c r="D90" s="25"/>
      <c r="E90" s="118"/>
      <c r="F90" s="118"/>
      <c r="G90" s="116"/>
      <c r="H90" s="116"/>
      <c r="I90" s="116"/>
      <c r="J90" s="116"/>
      <c r="K90" s="119"/>
      <c r="L90" s="116"/>
      <c r="M90" s="116"/>
      <c r="N90" s="116"/>
      <c r="O90" s="119"/>
      <c r="P90" s="116"/>
      <c r="Q90" s="116"/>
      <c r="R90" s="116"/>
      <c r="S90" s="116"/>
      <c r="T90" s="116"/>
    </row>
    <row r="91" spans="1:21">
      <c r="A91" s="116"/>
      <c r="B91" s="116"/>
      <c r="C91" s="118"/>
      <c r="D91" s="25"/>
      <c r="E91" s="118"/>
      <c r="F91" s="118"/>
      <c r="G91" s="116"/>
      <c r="H91" s="116"/>
      <c r="I91" s="116"/>
      <c r="J91" s="116"/>
      <c r="K91" s="119"/>
      <c r="L91" s="116"/>
      <c r="M91" s="116"/>
      <c r="N91" s="116"/>
      <c r="O91" s="119"/>
      <c r="P91" s="116"/>
      <c r="Q91" s="116"/>
      <c r="R91" s="116"/>
      <c r="S91" s="116"/>
      <c r="T91" s="116"/>
    </row>
    <row r="92" spans="1:21">
      <c r="A92" s="116"/>
      <c r="B92" s="116"/>
      <c r="C92" s="118"/>
      <c r="D92" s="25"/>
      <c r="E92" s="118"/>
      <c r="F92" s="118"/>
      <c r="G92" s="116"/>
      <c r="H92" s="116"/>
      <c r="I92" s="116"/>
      <c r="J92" s="116"/>
      <c r="K92" s="119"/>
      <c r="L92" s="116"/>
      <c r="M92" s="116"/>
      <c r="N92" s="116"/>
      <c r="O92" s="119"/>
      <c r="P92" s="116"/>
      <c r="Q92" s="116"/>
      <c r="R92" s="116"/>
      <c r="S92" s="116"/>
      <c r="T92" s="116"/>
    </row>
  </sheetData>
  <mergeCells count="10">
    <mergeCell ref="A34:A50"/>
    <mergeCell ref="A51:A68"/>
    <mergeCell ref="A69:A85"/>
    <mergeCell ref="R1:T1"/>
    <mergeCell ref="A3:A16"/>
    <mergeCell ref="A17:A33"/>
    <mergeCell ref="A1:A2"/>
    <mergeCell ref="B1:B2"/>
    <mergeCell ref="C1:F1"/>
    <mergeCell ref="G1:Q1"/>
  </mergeCells>
  <conditionalFormatting sqref="H3:H85">
    <cfRule type="expression" dxfId="20" priority="17">
      <formula>$G3=""</formula>
    </cfRule>
    <cfRule type="expression" dxfId="19" priority="18">
      <formula>$H3="B"</formula>
    </cfRule>
    <cfRule type="expression" dxfId="18" priority="19">
      <formula>$H3="M"</formula>
    </cfRule>
    <cfRule type="expression" dxfId="17" priority="20">
      <formula>$H3="D"</formula>
    </cfRule>
    <cfRule type="expression" dxfId="16" priority="21">
      <formula>$H3="MD"</formula>
    </cfRule>
  </conditionalFormatting>
  <conditionalFormatting sqref="J3:J85">
    <cfRule type="expression" dxfId="15" priority="13">
      <formula>$I3=1</formula>
    </cfRule>
    <cfRule type="expression" dxfId="14" priority="14">
      <formula>$I3=2</formula>
    </cfRule>
    <cfRule type="expression" dxfId="13" priority="15">
      <formula>$I3=3</formula>
    </cfRule>
    <cfRule type="expression" dxfId="12" priority="16">
      <formula>$I3=4</formula>
    </cfRule>
  </conditionalFormatting>
  <conditionalFormatting sqref="L3:L85">
    <cfRule type="expression" dxfId="11" priority="1">
      <formula>$L3="B"</formula>
    </cfRule>
    <cfRule type="expression" dxfId="10" priority="2">
      <formula>$L3="M"</formula>
    </cfRule>
    <cfRule type="expression" dxfId="9" priority="3">
      <formula>$L3="A"</formula>
    </cfRule>
    <cfRule type="expression" dxfId="8" priority="4">
      <formula>$L3="MA"</formula>
    </cfRule>
  </conditionalFormatting>
  <conditionalFormatting sqref="N3:N85">
    <cfRule type="expression" dxfId="7" priority="9">
      <formula>$M3=10</formula>
    </cfRule>
    <cfRule type="expression" dxfId="6" priority="10">
      <formula>$M3=25</formula>
    </cfRule>
    <cfRule type="expression" dxfId="5" priority="11">
      <formula>$M3=60</formula>
    </cfRule>
    <cfRule type="expression" dxfId="4" priority="12">
      <formula>$M3=100</formula>
    </cfRule>
  </conditionalFormatting>
  <conditionalFormatting sqref="P3:P85">
    <cfRule type="expression" dxfId="3" priority="5">
      <formula>$P3="IV"</formula>
    </cfRule>
    <cfRule type="expression" dxfId="2" priority="6">
      <formula>$P3="III"</formula>
    </cfRule>
    <cfRule type="expression" dxfId="1" priority="7">
      <formula>$P3="II"</formula>
    </cfRule>
    <cfRule type="expression" dxfId="0" priority="8">
      <formula>$P3="I"</formula>
    </cfRule>
  </conditionalFormatting>
  <hyperlinks>
    <hyperlink ref="V2" location="'E-Resumen'!A1" display="'E-Resumen'!A1" xr:uid="{7B6F37AC-7F63-4B18-91E4-A12D2F5E74DB}"/>
  </hyperlinks>
  <pageMargins left="0.70866141732283472" right="0.70866141732283472" top="0.74803149606299213" bottom="0.74803149606299213" header="0.31496062992125984" footer="0.31496062992125984"/>
  <pageSetup scale="61" fitToHeight="0" orientation="landscape" r:id="rId1"/>
  <rowBreaks count="2" manualBreakCount="2">
    <brk id="9" max="16383" man="1"/>
    <brk id="16" max="16383" man="1"/>
  </rowBreaks>
  <ignoredErrors>
    <ignoredError sqref="D3:D16 D33 D17:D20 D50:D51 D34:D38 D52:D55 D68 D69:D85 D48 D66" numberStoredAsText="1"/>
    <ignoredError sqref="G41 G76" formula="1"/>
  </ignoredErrors>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DBE1D-4E37-4C3A-82C9-1A71B54CFA61}">
  <sheetPr>
    <tabColor rgb="FFC00000"/>
  </sheetPr>
  <dimension ref="A1:I13"/>
  <sheetViews>
    <sheetView workbookViewId="0">
      <pane xSplit="3" ySplit="4" topLeftCell="D5" activePane="bottomRight" state="frozen"/>
      <selection pane="bottomRight" activeCell="B4" sqref="A1:I13"/>
      <selection pane="bottomLeft" activeCell="A3" sqref="A3:A16"/>
      <selection pane="topRight" activeCell="A3" sqref="A3:A16"/>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9" width="12" style="21" customWidth="1"/>
    <col min="10" max="16384" width="11.42578125" style="21"/>
  </cols>
  <sheetData>
    <row r="1" spans="1:9" ht="15">
      <c r="A1" s="70" t="s">
        <v>51</v>
      </c>
      <c r="B1" s="70"/>
      <c r="C1" s="84" t="s">
        <v>339</v>
      </c>
      <c r="D1" s="120"/>
      <c r="E1" s="120"/>
      <c r="F1" s="120"/>
      <c r="G1" s="120"/>
      <c r="H1" s="120"/>
      <c r="I1" s="121"/>
    </row>
    <row r="2" spans="1:9" ht="15">
      <c r="A2" s="70" t="s">
        <v>0</v>
      </c>
      <c r="B2" s="70"/>
      <c r="C2" s="84" t="s">
        <v>23</v>
      </c>
      <c r="D2" s="120"/>
      <c r="E2" s="120"/>
      <c r="F2" s="120"/>
      <c r="G2" s="120"/>
      <c r="H2" s="120"/>
      <c r="I2" s="121"/>
    </row>
    <row r="3" spans="1:9" ht="15">
      <c r="A3" s="70" t="s">
        <v>53</v>
      </c>
      <c r="B3" s="70"/>
      <c r="C3" s="55" t="s">
        <v>54</v>
      </c>
      <c r="D3" s="122">
        <v>330</v>
      </c>
      <c r="E3" s="122"/>
      <c r="F3" s="122"/>
      <c r="G3" s="122"/>
      <c r="H3" s="122"/>
      <c r="I3" s="122"/>
    </row>
    <row r="4" spans="1:9" ht="60">
      <c r="A4" s="52" t="s">
        <v>55</v>
      </c>
      <c r="B4" s="70" t="s">
        <v>56</v>
      </c>
      <c r="C4" s="70"/>
      <c r="D4" s="52" t="s">
        <v>24</v>
      </c>
      <c r="E4" s="52" t="s">
        <v>57</v>
      </c>
      <c r="F4" s="52" t="s">
        <v>58</v>
      </c>
      <c r="G4" s="52" t="s">
        <v>59</v>
      </c>
      <c r="H4" s="52" t="s">
        <v>60</v>
      </c>
      <c r="I4" s="52" t="s">
        <v>61</v>
      </c>
    </row>
    <row r="5" spans="1:9" ht="46.5" customHeight="1">
      <c r="A5" s="52">
        <v>1</v>
      </c>
      <c r="B5" s="122" t="s">
        <v>62</v>
      </c>
      <c r="C5" s="122"/>
      <c r="D5" s="123"/>
      <c r="E5" s="123" t="s">
        <v>63</v>
      </c>
      <c r="F5" s="123"/>
      <c r="G5" s="123">
        <v>10</v>
      </c>
      <c r="H5" s="124">
        <f>(G5*10)/SUM($G$5:$G$12)</f>
        <v>1.5625</v>
      </c>
      <c r="I5" s="124">
        <f t="shared" ref="I5:I12" si="0">IF(E5="X",((G5*10)/SUM($G$5:$G$12)),0)</f>
        <v>1.5625</v>
      </c>
    </row>
    <row r="6" spans="1:9" ht="60" customHeight="1">
      <c r="A6" s="52">
        <v>2</v>
      </c>
      <c r="B6" s="122" t="s">
        <v>64</v>
      </c>
      <c r="C6" s="122"/>
      <c r="D6" s="123"/>
      <c r="E6" s="123" t="s">
        <v>63</v>
      </c>
      <c r="F6" s="123"/>
      <c r="G6" s="123">
        <v>6</v>
      </c>
      <c r="H6" s="124">
        <f t="shared" ref="H6:H12" si="1">(G6*10)/SUM($G$5:$G$12)</f>
        <v>0.9375</v>
      </c>
      <c r="I6" s="124">
        <f t="shared" si="0"/>
        <v>0.9375</v>
      </c>
    </row>
    <row r="7" spans="1:9" ht="47.25" customHeight="1">
      <c r="A7" s="52">
        <v>3</v>
      </c>
      <c r="B7" s="122" t="s">
        <v>65</v>
      </c>
      <c r="C7" s="122"/>
      <c r="D7" s="123"/>
      <c r="E7" s="123" t="s">
        <v>63</v>
      </c>
      <c r="F7" s="123"/>
      <c r="G7" s="123">
        <v>10</v>
      </c>
      <c r="H7" s="124">
        <f t="shared" si="1"/>
        <v>1.5625</v>
      </c>
      <c r="I7" s="124">
        <f t="shared" si="0"/>
        <v>1.5625</v>
      </c>
    </row>
    <row r="8" spans="1:9" ht="47.25" customHeight="1">
      <c r="A8" s="52">
        <v>4</v>
      </c>
      <c r="B8" s="122" t="s">
        <v>66</v>
      </c>
      <c r="C8" s="122"/>
      <c r="D8" s="123"/>
      <c r="E8" s="123" t="s">
        <v>63</v>
      </c>
      <c r="F8" s="123"/>
      <c r="G8" s="123">
        <v>2</v>
      </c>
      <c r="H8" s="124">
        <f t="shared" si="1"/>
        <v>0.3125</v>
      </c>
      <c r="I8" s="124">
        <f t="shared" si="0"/>
        <v>0.3125</v>
      </c>
    </row>
    <row r="9" spans="1:9" ht="75.75" customHeight="1">
      <c r="A9" s="52">
        <v>5</v>
      </c>
      <c r="B9" s="122" t="s">
        <v>67</v>
      </c>
      <c r="C9" s="122"/>
      <c r="D9" s="123" t="s">
        <v>63</v>
      </c>
      <c r="E9" s="123"/>
      <c r="F9" s="123"/>
      <c r="G9" s="123">
        <v>10</v>
      </c>
      <c r="H9" s="124">
        <f t="shared" si="1"/>
        <v>1.5625</v>
      </c>
      <c r="I9" s="124">
        <f t="shared" si="0"/>
        <v>0</v>
      </c>
    </row>
    <row r="10" spans="1:9" ht="46.5" customHeight="1">
      <c r="A10" s="52">
        <v>6</v>
      </c>
      <c r="B10" s="122" t="s">
        <v>68</v>
      </c>
      <c r="C10" s="122"/>
      <c r="D10" s="123"/>
      <c r="E10" s="123" t="s">
        <v>63</v>
      </c>
      <c r="F10" s="123"/>
      <c r="G10" s="123">
        <v>6</v>
      </c>
      <c r="H10" s="124">
        <f t="shared" si="1"/>
        <v>0.9375</v>
      </c>
      <c r="I10" s="124">
        <f t="shared" si="0"/>
        <v>0.9375</v>
      </c>
    </row>
    <row r="11" spans="1:9" ht="50.25" customHeight="1">
      <c r="A11" s="52">
        <v>7</v>
      </c>
      <c r="B11" s="122" t="s">
        <v>69</v>
      </c>
      <c r="C11" s="122"/>
      <c r="D11" s="123"/>
      <c r="E11" s="123" t="s">
        <v>63</v>
      </c>
      <c r="F11" s="123"/>
      <c r="G11" s="123">
        <v>10</v>
      </c>
      <c r="H11" s="124">
        <f t="shared" si="1"/>
        <v>1.5625</v>
      </c>
      <c r="I11" s="124">
        <f t="shared" si="0"/>
        <v>1.5625</v>
      </c>
    </row>
    <row r="12" spans="1:9" ht="61.5" customHeight="1">
      <c r="A12" s="52">
        <v>8</v>
      </c>
      <c r="B12" s="122" t="s">
        <v>70</v>
      </c>
      <c r="C12" s="122"/>
      <c r="D12" s="123"/>
      <c r="E12" s="123" t="s">
        <v>63</v>
      </c>
      <c r="F12" s="123"/>
      <c r="G12" s="123">
        <v>10</v>
      </c>
      <c r="H12" s="124">
        <f t="shared" si="1"/>
        <v>1.5625</v>
      </c>
      <c r="I12" s="124">
        <f t="shared" si="0"/>
        <v>1.5625</v>
      </c>
    </row>
    <row r="13" spans="1:9" ht="15.75" customHeight="1">
      <c r="A13" s="71" t="s">
        <v>71</v>
      </c>
      <c r="B13" s="72"/>
      <c r="C13" s="72"/>
      <c r="D13" s="72"/>
      <c r="E13" s="72"/>
      <c r="F13" s="72"/>
      <c r="G13" s="72"/>
      <c r="H13" s="28">
        <f>SUM(H5:H12)</f>
        <v>10</v>
      </c>
      <c r="I13" s="20">
        <f>SUM(I5:I12)</f>
        <v>8.4375</v>
      </c>
    </row>
  </sheetData>
  <mergeCells count="16">
    <mergeCell ref="A1:B1"/>
    <mergeCell ref="A2:B2"/>
    <mergeCell ref="C2:I2"/>
    <mergeCell ref="C1:I1"/>
    <mergeCell ref="A13:G13"/>
    <mergeCell ref="A3:B3"/>
    <mergeCell ref="D3:I3"/>
    <mergeCell ref="B4:C4"/>
    <mergeCell ref="B5:C5"/>
    <mergeCell ref="B6:C6"/>
    <mergeCell ref="B7:C7"/>
    <mergeCell ref="B8:C8"/>
    <mergeCell ref="B9:C9"/>
    <mergeCell ref="B10:C10"/>
    <mergeCell ref="B11:C11"/>
    <mergeCell ref="B12:C12"/>
  </mergeCells>
  <pageMargins left="0.7" right="0.7" top="0.75" bottom="0.75" header="0.3" footer="0.3"/>
  <pageSetup orientation="portrait" r:id="rId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BF6A8-0E20-4C72-A96D-D3FA0655FAAD}">
  <sheetPr>
    <tabColor rgb="FFC00000"/>
  </sheetPr>
  <dimension ref="A1:I13"/>
  <sheetViews>
    <sheetView workbookViewId="0">
      <pane xSplit="3" ySplit="4" topLeftCell="D5" activePane="bottomRight" state="frozen"/>
      <selection pane="bottomRight" activeCell="B8" sqref="A1:I13"/>
      <selection pane="bottomLeft" activeCell="A3" sqref="A3:A16"/>
      <selection pane="topRight" activeCell="A3" sqref="A3:A16"/>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339</v>
      </c>
      <c r="D1" s="120"/>
      <c r="E1" s="120"/>
      <c r="F1" s="120"/>
      <c r="G1" s="120"/>
      <c r="H1" s="120"/>
      <c r="I1" s="121"/>
    </row>
    <row r="2" spans="1:9" ht="15">
      <c r="A2" s="70" t="s">
        <v>0</v>
      </c>
      <c r="B2" s="70"/>
      <c r="C2" s="84" t="s">
        <v>23</v>
      </c>
      <c r="D2" s="120"/>
      <c r="E2" s="120"/>
      <c r="F2" s="120"/>
      <c r="G2" s="120"/>
      <c r="H2" s="120"/>
      <c r="I2" s="121"/>
    </row>
    <row r="3" spans="1:9" ht="15">
      <c r="A3" s="70" t="s">
        <v>53</v>
      </c>
      <c r="B3" s="70"/>
      <c r="C3" s="55" t="s">
        <v>230</v>
      </c>
      <c r="D3" s="122">
        <v>340</v>
      </c>
      <c r="E3" s="122"/>
      <c r="F3" s="122"/>
      <c r="G3" s="122"/>
      <c r="H3" s="122"/>
      <c r="I3" s="122"/>
    </row>
    <row r="4" spans="1:9" ht="60">
      <c r="A4" s="52" t="s">
        <v>55</v>
      </c>
      <c r="B4" s="70" t="s">
        <v>56</v>
      </c>
      <c r="C4" s="70"/>
      <c r="D4" s="52" t="s">
        <v>24</v>
      </c>
      <c r="E4" s="52" t="s">
        <v>57</v>
      </c>
      <c r="F4" s="52" t="s">
        <v>58</v>
      </c>
      <c r="G4" s="52" t="s">
        <v>59</v>
      </c>
      <c r="H4" s="52" t="s">
        <v>60</v>
      </c>
      <c r="I4" s="52" t="s">
        <v>61</v>
      </c>
    </row>
    <row r="5" spans="1:9" ht="57.75" customHeight="1">
      <c r="A5" s="52">
        <v>1</v>
      </c>
      <c r="B5" s="122" t="s">
        <v>231</v>
      </c>
      <c r="C5" s="122"/>
      <c r="D5" s="123"/>
      <c r="E5" s="123" t="s">
        <v>63</v>
      </c>
      <c r="F5" s="123"/>
      <c r="G5" s="123">
        <v>6</v>
      </c>
      <c r="H5" s="124">
        <f>(G5*10)/SUM($G$5:$G$12)</f>
        <v>1</v>
      </c>
      <c r="I5" s="125">
        <f>IF(E5="X",((G5*10)/SUM($G$5:$G$12)),0)</f>
        <v>1</v>
      </c>
    </row>
    <row r="6" spans="1:9" ht="47.25" customHeight="1">
      <c r="A6" s="52">
        <v>2</v>
      </c>
      <c r="B6" s="122" t="s">
        <v>232</v>
      </c>
      <c r="C6" s="122"/>
      <c r="D6" s="123"/>
      <c r="E6" s="123" t="s">
        <v>63</v>
      </c>
      <c r="F6" s="123"/>
      <c r="G6" s="123">
        <v>6</v>
      </c>
      <c r="H6" s="124">
        <f t="shared" ref="H6:H12" si="0">(G6*10)/SUM($G$5:$G$12)</f>
        <v>1</v>
      </c>
      <c r="I6" s="125">
        <f t="shared" ref="I6:I12" si="1">IF(E6="X",((G6*10)/SUM($G$5:$G$12)),0)</f>
        <v>1</v>
      </c>
    </row>
    <row r="7" spans="1:9" ht="41.25" customHeight="1">
      <c r="A7" s="52">
        <v>3</v>
      </c>
      <c r="B7" s="122" t="s">
        <v>233</v>
      </c>
      <c r="C7" s="122"/>
      <c r="D7" s="123"/>
      <c r="E7" s="123" t="s">
        <v>63</v>
      </c>
      <c r="F7" s="123"/>
      <c r="G7" s="123">
        <v>2</v>
      </c>
      <c r="H7" s="124">
        <f t="shared" si="0"/>
        <v>0.33333333333333331</v>
      </c>
      <c r="I7" s="125">
        <f t="shared" si="1"/>
        <v>0.33333333333333331</v>
      </c>
    </row>
    <row r="8" spans="1:9" ht="74.25" customHeight="1">
      <c r="A8" s="52">
        <v>4</v>
      </c>
      <c r="B8" s="122" t="s">
        <v>234</v>
      </c>
      <c r="C8" s="122"/>
      <c r="D8" s="123"/>
      <c r="E8" s="123" t="s">
        <v>63</v>
      </c>
      <c r="F8" s="123"/>
      <c r="G8" s="123">
        <v>6</v>
      </c>
      <c r="H8" s="124">
        <f t="shared" si="0"/>
        <v>1</v>
      </c>
      <c r="I8" s="125">
        <f t="shared" si="1"/>
        <v>1</v>
      </c>
    </row>
    <row r="9" spans="1:9" ht="45" customHeight="1">
      <c r="A9" s="52">
        <v>5</v>
      </c>
      <c r="B9" s="122" t="s">
        <v>235</v>
      </c>
      <c r="C9" s="122"/>
      <c r="D9" s="123"/>
      <c r="E9" s="123" t="s">
        <v>63</v>
      </c>
      <c r="F9" s="123"/>
      <c r="G9" s="123">
        <v>10</v>
      </c>
      <c r="H9" s="124">
        <f t="shared" si="0"/>
        <v>1.6666666666666667</v>
      </c>
      <c r="I9" s="125">
        <f t="shared" si="1"/>
        <v>1.6666666666666667</v>
      </c>
    </row>
    <row r="10" spans="1:9" ht="47.25" customHeight="1">
      <c r="A10" s="52">
        <v>6</v>
      </c>
      <c r="B10" s="122" t="s">
        <v>236</v>
      </c>
      <c r="C10" s="122"/>
      <c r="D10" s="123"/>
      <c r="E10" s="123" t="s">
        <v>63</v>
      </c>
      <c r="F10" s="123"/>
      <c r="G10" s="123">
        <v>10</v>
      </c>
      <c r="H10" s="124">
        <f t="shared" si="0"/>
        <v>1.6666666666666667</v>
      </c>
      <c r="I10" s="125">
        <f t="shared" si="1"/>
        <v>1.6666666666666667</v>
      </c>
    </row>
    <row r="11" spans="1:9" ht="60" customHeight="1">
      <c r="A11" s="52">
        <v>7</v>
      </c>
      <c r="B11" s="122" t="s">
        <v>237</v>
      </c>
      <c r="C11" s="122"/>
      <c r="D11" s="123"/>
      <c r="E11" s="123" t="s">
        <v>63</v>
      </c>
      <c r="F11" s="123"/>
      <c r="G11" s="123">
        <v>10</v>
      </c>
      <c r="H11" s="124">
        <f t="shared" si="0"/>
        <v>1.6666666666666667</v>
      </c>
      <c r="I11" s="125">
        <f t="shared" si="1"/>
        <v>1.6666666666666667</v>
      </c>
    </row>
    <row r="12" spans="1:9" ht="63" customHeight="1">
      <c r="A12" s="52">
        <v>8</v>
      </c>
      <c r="B12" s="122" t="s">
        <v>238</v>
      </c>
      <c r="C12" s="122"/>
      <c r="D12" s="123"/>
      <c r="E12" s="123" t="s">
        <v>63</v>
      </c>
      <c r="F12" s="123"/>
      <c r="G12" s="123">
        <v>10</v>
      </c>
      <c r="H12" s="124">
        <f t="shared" si="0"/>
        <v>1.6666666666666667</v>
      </c>
      <c r="I12" s="125">
        <f t="shared" si="1"/>
        <v>1.6666666666666667</v>
      </c>
    </row>
    <row r="13" spans="1:9" ht="15.75" customHeight="1">
      <c r="A13" s="83" t="s">
        <v>71</v>
      </c>
      <c r="B13" s="83"/>
      <c r="C13" s="83"/>
      <c r="D13" s="83"/>
      <c r="E13" s="83"/>
      <c r="F13" s="83"/>
      <c r="G13" s="83"/>
      <c r="H13" s="28">
        <f>SUM(H5:H12)</f>
        <v>10</v>
      </c>
      <c r="I13" s="20">
        <f>SUM(I5:I12)</f>
        <v>10</v>
      </c>
    </row>
  </sheetData>
  <mergeCells count="16">
    <mergeCell ref="A1:B1"/>
    <mergeCell ref="A2:B2"/>
    <mergeCell ref="C2:I2"/>
    <mergeCell ref="C1:I1"/>
    <mergeCell ref="A13:G13"/>
    <mergeCell ref="A3:B3"/>
    <mergeCell ref="D3:I3"/>
    <mergeCell ref="B4:C4"/>
    <mergeCell ref="B5:C5"/>
    <mergeCell ref="B6:C6"/>
    <mergeCell ref="B7:C7"/>
    <mergeCell ref="B8:C8"/>
    <mergeCell ref="B9:C9"/>
    <mergeCell ref="B10:C10"/>
    <mergeCell ref="B11:C11"/>
    <mergeCell ref="B12:C12"/>
  </mergeCell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C6DF3-AD4F-47C0-BBEC-1880F887C80F}">
  <sheetPr>
    <tabColor rgb="FFC00000"/>
  </sheetPr>
  <dimension ref="A1:I12"/>
  <sheetViews>
    <sheetView workbookViewId="0">
      <pane xSplit="3" ySplit="4" topLeftCell="D5" activePane="bottomRight" state="frozen"/>
      <selection pane="bottomRight" activeCell="B5" sqref="A1:I12"/>
      <selection pane="bottomLeft" activeCell="A3" sqref="A3:A16"/>
      <selection pane="topRight" activeCell="A3" sqref="A3:A16"/>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339</v>
      </c>
      <c r="D1" s="120"/>
      <c r="E1" s="120"/>
      <c r="F1" s="120"/>
      <c r="G1" s="120"/>
      <c r="H1" s="120"/>
      <c r="I1" s="121"/>
    </row>
    <row r="2" spans="1:9" ht="15">
      <c r="A2" s="70" t="s">
        <v>0</v>
      </c>
      <c r="B2" s="70"/>
      <c r="C2" s="84" t="s">
        <v>23</v>
      </c>
      <c r="D2" s="120"/>
      <c r="E2" s="120"/>
      <c r="F2" s="120"/>
      <c r="G2" s="120"/>
      <c r="H2" s="120"/>
      <c r="I2" s="121"/>
    </row>
    <row r="3" spans="1:9" ht="15">
      <c r="A3" s="70" t="s">
        <v>72</v>
      </c>
      <c r="B3" s="70"/>
      <c r="C3" s="55" t="s">
        <v>73</v>
      </c>
      <c r="D3" s="122">
        <v>380</v>
      </c>
      <c r="E3" s="122"/>
      <c r="F3" s="122"/>
      <c r="G3" s="122"/>
      <c r="H3" s="122"/>
      <c r="I3" s="122"/>
    </row>
    <row r="4" spans="1:9" ht="60">
      <c r="A4" s="52" t="s">
        <v>55</v>
      </c>
      <c r="B4" s="70" t="s">
        <v>56</v>
      </c>
      <c r="C4" s="70"/>
      <c r="D4" s="52" t="s">
        <v>24</v>
      </c>
      <c r="E4" s="52" t="s">
        <v>57</v>
      </c>
      <c r="F4" s="52" t="s">
        <v>58</v>
      </c>
      <c r="G4" s="52" t="s">
        <v>59</v>
      </c>
      <c r="H4" s="52" t="s">
        <v>60</v>
      </c>
      <c r="I4" s="52" t="s">
        <v>61</v>
      </c>
    </row>
    <row r="5" spans="1:9" ht="63" customHeight="1">
      <c r="A5" s="52">
        <v>1</v>
      </c>
      <c r="B5" s="122" t="s">
        <v>74</v>
      </c>
      <c r="C5" s="122"/>
      <c r="D5" s="123" t="s">
        <v>63</v>
      </c>
      <c r="E5" s="123"/>
      <c r="F5" s="123"/>
      <c r="G5" s="123">
        <v>2</v>
      </c>
      <c r="H5" s="124">
        <f>(G5*10)/SUM($G$5:$G$11)</f>
        <v>0.52631578947368418</v>
      </c>
      <c r="I5" s="125">
        <f>IF(E5="X",((G5*10)/SUM($G$5:$G$11)),0)</f>
        <v>0</v>
      </c>
    </row>
    <row r="6" spans="1:9" ht="69" customHeight="1">
      <c r="A6" s="52">
        <v>2</v>
      </c>
      <c r="B6" s="122" t="s">
        <v>75</v>
      </c>
      <c r="C6" s="122"/>
      <c r="D6" s="123" t="s">
        <v>63</v>
      </c>
      <c r="E6" s="123"/>
      <c r="F6" s="123"/>
      <c r="G6" s="123">
        <v>6</v>
      </c>
      <c r="H6" s="124">
        <f t="shared" ref="H6:H11" si="0">(G6*10)/SUM($G$5:$G$11)</f>
        <v>1.5789473684210527</v>
      </c>
      <c r="I6" s="125">
        <f t="shared" ref="I6:I11" si="1">IF(E6="X",((G6*10)/SUM($G$5:$G$11)),0)</f>
        <v>0</v>
      </c>
    </row>
    <row r="7" spans="1:9" ht="31.5" customHeight="1">
      <c r="A7" s="52">
        <v>3</v>
      </c>
      <c r="B7" s="122" t="s">
        <v>76</v>
      </c>
      <c r="C7" s="122"/>
      <c r="D7" s="123"/>
      <c r="E7" s="123" t="s">
        <v>63</v>
      </c>
      <c r="F7" s="123"/>
      <c r="G7" s="123">
        <v>10</v>
      </c>
      <c r="H7" s="124">
        <f t="shared" si="0"/>
        <v>2.6315789473684212</v>
      </c>
      <c r="I7" s="125">
        <f t="shared" si="1"/>
        <v>2.6315789473684212</v>
      </c>
    </row>
    <row r="8" spans="1:9" ht="47.25" customHeight="1">
      <c r="A8" s="52">
        <v>4</v>
      </c>
      <c r="B8" s="122" t="s">
        <v>77</v>
      </c>
      <c r="C8" s="122"/>
      <c r="D8" s="123"/>
      <c r="E8" s="123" t="s">
        <v>63</v>
      </c>
      <c r="F8" s="123"/>
      <c r="G8" s="123">
        <v>10</v>
      </c>
      <c r="H8" s="124">
        <f t="shared" si="0"/>
        <v>2.6315789473684212</v>
      </c>
      <c r="I8" s="125">
        <f t="shared" si="1"/>
        <v>2.6315789473684212</v>
      </c>
    </row>
    <row r="9" spans="1:9" ht="47.25" customHeight="1">
      <c r="A9" s="52">
        <v>5</v>
      </c>
      <c r="B9" s="122" t="s">
        <v>78</v>
      </c>
      <c r="C9" s="122"/>
      <c r="D9" s="123"/>
      <c r="E9" s="123" t="s">
        <v>63</v>
      </c>
      <c r="F9" s="123"/>
      <c r="G9" s="123">
        <v>6</v>
      </c>
      <c r="H9" s="124">
        <f t="shared" si="0"/>
        <v>1.5789473684210527</v>
      </c>
      <c r="I9" s="125">
        <f t="shared" si="1"/>
        <v>1.5789473684210527</v>
      </c>
    </row>
    <row r="10" spans="1:9" ht="35.25" customHeight="1">
      <c r="A10" s="52">
        <v>6</v>
      </c>
      <c r="B10" s="122" t="s">
        <v>79</v>
      </c>
      <c r="C10" s="122"/>
      <c r="D10" s="123" t="s">
        <v>63</v>
      </c>
      <c r="E10" s="123"/>
      <c r="F10" s="123"/>
      <c r="G10" s="123">
        <v>2</v>
      </c>
      <c r="H10" s="124">
        <f t="shared" si="0"/>
        <v>0.52631578947368418</v>
      </c>
      <c r="I10" s="125">
        <f t="shared" si="1"/>
        <v>0</v>
      </c>
    </row>
    <row r="11" spans="1:9" ht="44.25" customHeight="1">
      <c r="A11" s="52">
        <v>7</v>
      </c>
      <c r="B11" s="122" t="s">
        <v>80</v>
      </c>
      <c r="C11" s="122"/>
      <c r="D11" s="123" t="s">
        <v>63</v>
      </c>
      <c r="E11" s="123"/>
      <c r="F11" s="123"/>
      <c r="G11" s="123">
        <v>2</v>
      </c>
      <c r="H11" s="124">
        <f t="shared" si="0"/>
        <v>0.52631578947368418</v>
      </c>
      <c r="I11" s="125">
        <f t="shared" si="1"/>
        <v>0</v>
      </c>
    </row>
    <row r="12" spans="1:9" ht="15.75" customHeight="1">
      <c r="A12" s="71" t="s">
        <v>71</v>
      </c>
      <c r="B12" s="72"/>
      <c r="C12" s="72"/>
      <c r="D12" s="72"/>
      <c r="E12" s="72"/>
      <c r="F12" s="72"/>
      <c r="G12" s="72"/>
      <c r="H12" s="28">
        <f>SUM(H5:H11)</f>
        <v>10.000000000000002</v>
      </c>
      <c r="I12" s="20">
        <f>SUM(I5:I11)</f>
        <v>6.8421052631578956</v>
      </c>
    </row>
  </sheetData>
  <mergeCells count="15">
    <mergeCell ref="B8:C8"/>
    <mergeCell ref="B9:C9"/>
    <mergeCell ref="B10:C10"/>
    <mergeCell ref="B11:C11"/>
    <mergeCell ref="A12:G12"/>
    <mergeCell ref="A1:B1"/>
    <mergeCell ref="A2:B2"/>
    <mergeCell ref="C2:I2"/>
    <mergeCell ref="C1:I1"/>
    <mergeCell ref="B7:C7"/>
    <mergeCell ref="A3:B3"/>
    <mergeCell ref="D3:I3"/>
    <mergeCell ref="B4:C4"/>
    <mergeCell ref="B5:C5"/>
    <mergeCell ref="B6:C6"/>
  </mergeCell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6C62E-81A6-4FA5-B648-0F66D60F1F42}">
  <sheetPr>
    <tabColor rgb="FFC00000"/>
  </sheetPr>
  <dimension ref="A1:J14"/>
  <sheetViews>
    <sheetView workbookViewId="0">
      <pane xSplit="4" ySplit="4" topLeftCell="E5" activePane="bottomRight" state="frozen"/>
      <selection pane="bottomRight" activeCell="B6" sqref="A1:J14"/>
      <selection pane="bottomLeft" activeCell="A3" sqref="A3:J15"/>
      <selection pane="topRight" activeCell="A3" sqref="A3:J15"/>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339</v>
      </c>
      <c r="D1" s="74"/>
      <c r="E1" s="74"/>
      <c r="F1" s="74"/>
      <c r="G1" s="74"/>
      <c r="H1" s="74"/>
      <c r="I1" s="74"/>
      <c r="J1" s="75"/>
    </row>
    <row r="2" spans="1:10" ht="15">
      <c r="A2" s="70" t="s">
        <v>0</v>
      </c>
      <c r="B2" s="70"/>
      <c r="C2" s="73" t="s">
        <v>23</v>
      </c>
      <c r="D2" s="74"/>
      <c r="E2" s="74"/>
      <c r="F2" s="74"/>
      <c r="G2" s="74"/>
      <c r="H2" s="74"/>
      <c r="I2" s="74"/>
      <c r="J2" s="75"/>
    </row>
    <row r="3" spans="1:10" ht="45">
      <c r="A3" s="70" t="s">
        <v>81</v>
      </c>
      <c r="B3" s="70"/>
      <c r="C3" s="18" t="s">
        <v>82</v>
      </c>
      <c r="D3" s="55" t="s">
        <v>83</v>
      </c>
      <c r="E3" s="122">
        <v>570</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34.5" customHeight="1">
      <c r="A5" s="52">
        <v>1</v>
      </c>
      <c r="B5" s="122" t="s">
        <v>84</v>
      </c>
      <c r="C5" s="122"/>
      <c r="D5" s="122"/>
      <c r="E5" s="123"/>
      <c r="F5" s="123" t="s">
        <v>63</v>
      </c>
      <c r="G5" s="123"/>
      <c r="H5" s="123">
        <v>10</v>
      </c>
      <c r="I5" s="124">
        <f>(H5*10)/SUM($H$5:$H$13)</f>
        <v>1.3513513513513513</v>
      </c>
      <c r="J5" s="125">
        <f>IF(F5="X",((H5*10)/SUM($H$5:$H$13)),0)</f>
        <v>1.3513513513513513</v>
      </c>
    </row>
    <row r="6" spans="1:10" ht="21" customHeight="1">
      <c r="A6" s="52">
        <v>2</v>
      </c>
      <c r="B6" s="122" t="s">
        <v>85</v>
      </c>
      <c r="C6" s="122"/>
      <c r="D6" s="122"/>
      <c r="E6" s="123"/>
      <c r="F6" s="123" t="s">
        <v>63</v>
      </c>
      <c r="G6" s="123"/>
      <c r="H6" s="123">
        <v>10</v>
      </c>
      <c r="I6" s="124">
        <f t="shared" ref="I6:I13" si="0">(H6*10)/SUM($H$5:$H$13)</f>
        <v>1.3513513513513513</v>
      </c>
      <c r="J6" s="125">
        <f t="shared" ref="J6:J13" si="1">IF(F6="X",((H6*10)/SUM($H$5:$H$13)),0)</f>
        <v>1.3513513513513513</v>
      </c>
    </row>
    <row r="7" spans="1:10" ht="33" customHeight="1">
      <c r="A7" s="52">
        <v>3</v>
      </c>
      <c r="B7" s="122" t="s">
        <v>86</v>
      </c>
      <c r="C7" s="122"/>
      <c r="D7" s="122"/>
      <c r="E7" s="123" t="s">
        <v>63</v>
      </c>
      <c r="F7" s="123"/>
      <c r="G7" s="123"/>
      <c r="H7" s="123">
        <v>6</v>
      </c>
      <c r="I7" s="124">
        <f t="shared" si="0"/>
        <v>0.81081081081081086</v>
      </c>
      <c r="J7" s="125">
        <f t="shared" si="1"/>
        <v>0</v>
      </c>
    </row>
    <row r="8" spans="1:10" ht="60" customHeight="1">
      <c r="A8" s="52">
        <v>4</v>
      </c>
      <c r="B8" s="122" t="s">
        <v>87</v>
      </c>
      <c r="C8" s="122"/>
      <c r="D8" s="122"/>
      <c r="E8" s="123"/>
      <c r="F8" s="123" t="s">
        <v>63</v>
      </c>
      <c r="G8" s="123"/>
      <c r="H8" s="123">
        <v>10</v>
      </c>
      <c r="I8" s="124">
        <f t="shared" si="0"/>
        <v>1.3513513513513513</v>
      </c>
      <c r="J8" s="125">
        <f t="shared" si="1"/>
        <v>1.3513513513513513</v>
      </c>
    </row>
    <row r="9" spans="1:10" ht="33" customHeight="1">
      <c r="A9" s="52">
        <v>5</v>
      </c>
      <c r="B9" s="122" t="s">
        <v>88</v>
      </c>
      <c r="C9" s="122"/>
      <c r="D9" s="122"/>
      <c r="E9" s="123"/>
      <c r="F9" s="123" t="s">
        <v>63</v>
      </c>
      <c r="G9" s="123"/>
      <c r="H9" s="123">
        <v>6</v>
      </c>
      <c r="I9" s="124">
        <f t="shared" si="0"/>
        <v>0.81081081081081086</v>
      </c>
      <c r="J9" s="125">
        <f t="shared" si="1"/>
        <v>0.81081081081081086</v>
      </c>
    </row>
    <row r="10" spans="1:10" ht="34.5" customHeight="1">
      <c r="A10" s="52">
        <v>6</v>
      </c>
      <c r="B10" s="122" t="s">
        <v>89</v>
      </c>
      <c r="C10" s="122"/>
      <c r="D10" s="122"/>
      <c r="E10" s="123"/>
      <c r="F10" s="123" t="s">
        <v>63</v>
      </c>
      <c r="G10" s="123"/>
      <c r="H10" s="123">
        <v>6</v>
      </c>
      <c r="I10" s="124">
        <f t="shared" si="0"/>
        <v>0.81081081081081086</v>
      </c>
      <c r="J10" s="125">
        <f t="shared" si="1"/>
        <v>0.81081081081081086</v>
      </c>
    </row>
    <row r="11" spans="1:10" ht="74.25" customHeight="1">
      <c r="A11" s="52">
        <v>7</v>
      </c>
      <c r="B11" s="122" t="s">
        <v>90</v>
      </c>
      <c r="C11" s="122"/>
      <c r="D11" s="122"/>
      <c r="E11" s="123" t="s">
        <v>63</v>
      </c>
      <c r="F11" s="123"/>
      <c r="G11" s="123"/>
      <c r="H11" s="123">
        <v>10</v>
      </c>
      <c r="I11" s="124">
        <f t="shared" si="0"/>
        <v>1.3513513513513513</v>
      </c>
      <c r="J11" s="125">
        <f>IF(F11="X",((H11*10)/SUM($H$5:$H$13)),0)</f>
        <v>0</v>
      </c>
    </row>
    <row r="12" spans="1:10" ht="32.25" customHeight="1">
      <c r="A12" s="52">
        <v>8</v>
      </c>
      <c r="B12" s="122" t="s">
        <v>91</v>
      </c>
      <c r="C12" s="122"/>
      <c r="D12" s="122"/>
      <c r="E12" s="123"/>
      <c r="F12" s="123" t="s">
        <v>63</v>
      </c>
      <c r="G12" s="123"/>
      <c r="H12" s="123">
        <v>10</v>
      </c>
      <c r="I12" s="124">
        <f t="shared" si="0"/>
        <v>1.3513513513513513</v>
      </c>
      <c r="J12" s="125">
        <f t="shared" si="1"/>
        <v>1.3513513513513513</v>
      </c>
    </row>
    <row r="13" spans="1:10" ht="51" customHeight="1">
      <c r="A13" s="52">
        <v>9</v>
      </c>
      <c r="B13" s="122" t="s">
        <v>92</v>
      </c>
      <c r="C13" s="122"/>
      <c r="D13" s="122"/>
      <c r="E13" s="123" t="s">
        <v>63</v>
      </c>
      <c r="F13" s="123"/>
      <c r="G13" s="123"/>
      <c r="H13" s="123">
        <v>6</v>
      </c>
      <c r="I13" s="124">
        <f t="shared" si="0"/>
        <v>0.81081081081081086</v>
      </c>
      <c r="J13" s="125">
        <f t="shared" si="1"/>
        <v>0</v>
      </c>
    </row>
    <row r="14" spans="1:10" ht="15" customHeight="1">
      <c r="A14" s="71" t="s">
        <v>71</v>
      </c>
      <c r="B14" s="72"/>
      <c r="C14" s="72"/>
      <c r="D14" s="72"/>
      <c r="E14" s="72"/>
      <c r="F14" s="72"/>
      <c r="G14" s="72"/>
      <c r="H14" s="72"/>
      <c r="I14" s="28">
        <f>SUM(I5:I13)</f>
        <v>9.9999999999999982</v>
      </c>
      <c r="J14" s="19">
        <f>SUM(J5:J13)</f>
        <v>7.0270270270270263</v>
      </c>
    </row>
  </sheetData>
  <mergeCells count="17">
    <mergeCell ref="A14:H14"/>
    <mergeCell ref="B8:D8"/>
    <mergeCell ref="B9:D9"/>
    <mergeCell ref="B10:D10"/>
    <mergeCell ref="B11:D11"/>
    <mergeCell ref="B12:D12"/>
    <mergeCell ref="B13:D13"/>
    <mergeCell ref="A1:B1"/>
    <mergeCell ref="A2:B2"/>
    <mergeCell ref="C1:J1"/>
    <mergeCell ref="C2:J2"/>
    <mergeCell ref="B7:D7"/>
    <mergeCell ref="A3:B3"/>
    <mergeCell ref="E3:J3"/>
    <mergeCell ref="B4:D4"/>
    <mergeCell ref="B5:D5"/>
    <mergeCell ref="B6:D6"/>
  </mergeCell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85EDA-77B5-481E-A2CE-C9F253912312}">
  <sheetPr>
    <tabColor rgb="FFC00000"/>
  </sheetPr>
  <dimension ref="A1:J15"/>
  <sheetViews>
    <sheetView workbookViewId="0">
      <pane xSplit="4" ySplit="4" topLeftCell="E5" activePane="bottomRight" state="frozen"/>
      <selection pane="bottomRight" activeCell="B9" sqref="A1:J15"/>
      <selection pane="bottomLeft" activeCell="A3" sqref="A3:J15"/>
      <selection pane="topRight" activeCell="A3" sqref="A3:J15"/>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23</v>
      </c>
      <c r="D2" s="74"/>
      <c r="E2" s="74"/>
      <c r="F2" s="74"/>
      <c r="G2" s="74"/>
      <c r="H2" s="74"/>
      <c r="I2" s="74"/>
      <c r="J2" s="75"/>
    </row>
    <row r="3" spans="1:10" ht="45">
      <c r="A3" s="70" t="s">
        <v>81</v>
      </c>
      <c r="B3" s="70"/>
      <c r="C3" s="18" t="s">
        <v>93</v>
      </c>
      <c r="D3" s="55" t="s">
        <v>94</v>
      </c>
      <c r="E3" s="122" t="s">
        <v>340</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28.5" customHeight="1">
      <c r="A5" s="52">
        <v>1</v>
      </c>
      <c r="B5" s="122" t="s">
        <v>341</v>
      </c>
      <c r="C5" s="122"/>
      <c r="D5" s="122"/>
      <c r="E5" s="123"/>
      <c r="F5" s="123" t="s">
        <v>63</v>
      </c>
      <c r="G5" s="123"/>
      <c r="H5" s="123">
        <v>10</v>
      </c>
      <c r="I5" s="124">
        <f>IF(H5="","",((H5*10)/SUM($H$5:$H$14)))</f>
        <v>1.5625</v>
      </c>
      <c r="J5" s="125">
        <f>IF(F5="X",((H5*10)/SUM($H$5:$H$14)),0)</f>
        <v>1.5625</v>
      </c>
    </row>
    <row r="6" spans="1:10" ht="42.75" customHeight="1">
      <c r="A6" s="52">
        <v>2</v>
      </c>
      <c r="B6" s="122" t="s">
        <v>342</v>
      </c>
      <c r="C6" s="122"/>
      <c r="D6" s="122"/>
      <c r="E6" s="123"/>
      <c r="F6" s="123" t="s">
        <v>63</v>
      </c>
      <c r="G6" s="123"/>
      <c r="H6" s="123">
        <v>10</v>
      </c>
      <c r="I6" s="124">
        <f t="shared" ref="I6:I14" si="0">IF(H6="","",((H6*10)/SUM($H$5:$H$14)))</f>
        <v>1.5625</v>
      </c>
      <c r="J6" s="125">
        <f t="shared" ref="J6:J14" si="1">IF(F6="X",((H6*10)/SUM($H$5:$H$14)),0)</f>
        <v>1.5625</v>
      </c>
    </row>
    <row r="7" spans="1:10" ht="28.5" customHeight="1">
      <c r="A7" s="52">
        <v>3</v>
      </c>
      <c r="B7" s="122" t="s">
        <v>272</v>
      </c>
      <c r="C7" s="122"/>
      <c r="D7" s="122"/>
      <c r="E7" s="123" t="s">
        <v>63</v>
      </c>
      <c r="F7" s="123"/>
      <c r="G7" s="123"/>
      <c r="H7" s="123">
        <v>10</v>
      </c>
      <c r="I7" s="124">
        <f t="shared" si="0"/>
        <v>1.5625</v>
      </c>
      <c r="J7" s="125">
        <f t="shared" si="1"/>
        <v>0</v>
      </c>
    </row>
    <row r="8" spans="1:10" ht="28.5" customHeight="1">
      <c r="A8" s="52">
        <v>4</v>
      </c>
      <c r="B8" s="122" t="s">
        <v>343</v>
      </c>
      <c r="C8" s="122"/>
      <c r="D8" s="122"/>
      <c r="E8" s="123" t="s">
        <v>63</v>
      </c>
      <c r="F8" s="123"/>
      <c r="G8" s="123"/>
      <c r="H8" s="123">
        <v>6</v>
      </c>
      <c r="I8" s="124">
        <f t="shared" si="0"/>
        <v>0.9375</v>
      </c>
      <c r="J8" s="125">
        <f t="shared" si="1"/>
        <v>0</v>
      </c>
    </row>
    <row r="9" spans="1:10" ht="42.75" customHeight="1">
      <c r="A9" s="52">
        <v>5</v>
      </c>
      <c r="B9" s="122" t="s">
        <v>344</v>
      </c>
      <c r="C9" s="122"/>
      <c r="D9" s="122"/>
      <c r="E9" s="123"/>
      <c r="F9" s="123" t="s">
        <v>63</v>
      </c>
      <c r="G9" s="123"/>
      <c r="H9" s="123">
        <v>10</v>
      </c>
      <c r="I9" s="124">
        <f t="shared" si="0"/>
        <v>1.5625</v>
      </c>
      <c r="J9" s="125">
        <f t="shared" si="1"/>
        <v>1.5625</v>
      </c>
    </row>
    <row r="10" spans="1:10" ht="42.75" customHeight="1">
      <c r="A10" s="52">
        <v>6</v>
      </c>
      <c r="B10" s="122" t="s">
        <v>345</v>
      </c>
      <c r="C10" s="122"/>
      <c r="D10" s="122"/>
      <c r="E10" s="123"/>
      <c r="F10" s="123" t="s">
        <v>63</v>
      </c>
      <c r="G10" s="123"/>
      <c r="H10" s="123">
        <v>6</v>
      </c>
      <c r="I10" s="124">
        <f t="shared" si="0"/>
        <v>0.9375</v>
      </c>
      <c r="J10" s="125">
        <f t="shared" si="1"/>
        <v>0.9375</v>
      </c>
    </row>
    <row r="11" spans="1:10" ht="57" customHeight="1">
      <c r="A11" s="52">
        <v>7</v>
      </c>
      <c r="B11" s="122" t="s">
        <v>346</v>
      </c>
      <c r="C11" s="122"/>
      <c r="D11" s="122"/>
      <c r="E11" s="123"/>
      <c r="F11" s="123" t="s">
        <v>63</v>
      </c>
      <c r="G11" s="123"/>
      <c r="H11" s="123">
        <v>6</v>
      </c>
      <c r="I11" s="124">
        <f t="shared" si="0"/>
        <v>0.9375</v>
      </c>
      <c r="J11" s="125">
        <f t="shared" si="1"/>
        <v>0.9375</v>
      </c>
    </row>
    <row r="12" spans="1:10" ht="42.75" customHeight="1">
      <c r="A12" s="52">
        <v>8</v>
      </c>
      <c r="B12" s="122" t="s">
        <v>347</v>
      </c>
      <c r="C12" s="122"/>
      <c r="D12" s="122"/>
      <c r="E12" s="123"/>
      <c r="F12" s="123" t="s">
        <v>63</v>
      </c>
      <c r="G12" s="123"/>
      <c r="H12" s="123">
        <v>2</v>
      </c>
      <c r="I12" s="124">
        <f t="shared" si="0"/>
        <v>0.3125</v>
      </c>
      <c r="J12" s="125">
        <f t="shared" si="1"/>
        <v>0.3125</v>
      </c>
    </row>
    <row r="13" spans="1:10" ht="39" customHeight="1">
      <c r="A13" s="52">
        <v>9</v>
      </c>
      <c r="B13" s="122" t="s">
        <v>348</v>
      </c>
      <c r="C13" s="122"/>
      <c r="D13" s="122"/>
      <c r="E13" s="123"/>
      <c r="F13" s="123" t="s">
        <v>63</v>
      </c>
      <c r="G13" s="123"/>
      <c r="H13" s="123">
        <v>2</v>
      </c>
      <c r="I13" s="124">
        <f t="shared" si="0"/>
        <v>0.3125</v>
      </c>
      <c r="J13" s="125">
        <f t="shared" si="1"/>
        <v>0.3125</v>
      </c>
    </row>
    <row r="14" spans="1:10" ht="28.5" customHeight="1">
      <c r="A14" s="52">
        <v>10</v>
      </c>
      <c r="B14" s="122" t="s">
        <v>349</v>
      </c>
      <c r="C14" s="122"/>
      <c r="D14" s="122"/>
      <c r="E14" s="123"/>
      <c r="F14" s="123" t="s">
        <v>63</v>
      </c>
      <c r="G14" s="123"/>
      <c r="H14" s="123">
        <v>2</v>
      </c>
      <c r="I14" s="124">
        <f t="shared" si="0"/>
        <v>0.3125</v>
      </c>
      <c r="J14" s="125">
        <f t="shared" si="1"/>
        <v>0.3125</v>
      </c>
    </row>
    <row r="15" spans="1:10">
      <c r="A15" s="112" t="s">
        <v>71</v>
      </c>
      <c r="B15" s="112"/>
      <c r="C15" s="112"/>
      <c r="D15" s="112"/>
      <c r="E15" s="112"/>
      <c r="F15" s="112"/>
      <c r="G15" s="112"/>
      <c r="H15" s="112"/>
      <c r="I15" s="37">
        <f>SUM(I5:I14)</f>
        <v>10</v>
      </c>
      <c r="J15" s="36">
        <f>SUM(J5:J14)</f>
        <v>7.5</v>
      </c>
    </row>
  </sheetData>
  <mergeCells count="18">
    <mergeCell ref="B14:D14"/>
    <mergeCell ref="A15:H15"/>
    <mergeCell ref="B11:D11"/>
    <mergeCell ref="B12:D12"/>
    <mergeCell ref="B13:D13"/>
    <mergeCell ref="A1:B1"/>
    <mergeCell ref="A2:B2"/>
    <mergeCell ref="C1:J1"/>
    <mergeCell ref="C2:J2"/>
    <mergeCell ref="B10:D10"/>
    <mergeCell ref="A3:B3"/>
    <mergeCell ref="E3:J3"/>
    <mergeCell ref="B4:D4"/>
    <mergeCell ref="B5:D5"/>
    <mergeCell ref="B6:D6"/>
    <mergeCell ref="B7:D7"/>
    <mergeCell ref="B8:D8"/>
    <mergeCell ref="B9:D9"/>
  </mergeCell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BE168-8D14-482D-828A-BE07FF2A21E5}">
  <sheetPr>
    <tabColor rgb="FFC00000"/>
  </sheetPr>
  <dimension ref="A1:J16"/>
  <sheetViews>
    <sheetView workbookViewId="0">
      <pane xSplit="4" ySplit="4" topLeftCell="E5" activePane="bottomRight" state="frozen"/>
      <selection pane="bottomRight" activeCell="B7" sqref="A1:J16"/>
      <selection pane="bottomLeft" activeCell="A3" sqref="A3:J15"/>
      <selection pane="topRight" activeCell="A3" sqref="A3:J15"/>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23</v>
      </c>
      <c r="D2" s="74"/>
      <c r="E2" s="74"/>
      <c r="F2" s="74"/>
      <c r="G2" s="74"/>
      <c r="H2" s="74"/>
      <c r="I2" s="74"/>
      <c r="J2" s="75"/>
    </row>
    <row r="3" spans="1:10" ht="45">
      <c r="A3" s="70" t="s">
        <v>81</v>
      </c>
      <c r="B3" s="70"/>
      <c r="C3" s="18" t="s">
        <v>93</v>
      </c>
      <c r="D3" s="55" t="s">
        <v>107</v>
      </c>
      <c r="E3" s="122" t="s">
        <v>350</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2.75" customHeight="1">
      <c r="A5" s="52">
        <v>1</v>
      </c>
      <c r="B5" s="122" t="s">
        <v>351</v>
      </c>
      <c r="C5" s="122"/>
      <c r="D5" s="122"/>
      <c r="E5" s="123" t="s">
        <v>63</v>
      </c>
      <c r="F5" s="123"/>
      <c r="G5" s="55"/>
      <c r="H5" s="123">
        <v>6</v>
      </c>
      <c r="I5" s="124">
        <f>IF(H5="","",((H5*10)/SUM($H$5:$H$15)))</f>
        <v>0.8571428571428571</v>
      </c>
      <c r="J5" s="125">
        <f>IF(F5="X",((H5*10)/SUM($H$5:$H$15)),0)</f>
        <v>0</v>
      </c>
    </row>
    <row r="6" spans="1:10" ht="28.5" customHeight="1">
      <c r="A6" s="52">
        <v>2</v>
      </c>
      <c r="B6" s="122" t="s">
        <v>272</v>
      </c>
      <c r="C6" s="122"/>
      <c r="D6" s="122"/>
      <c r="E6" s="123" t="s">
        <v>63</v>
      </c>
      <c r="F6" s="123"/>
      <c r="G6" s="55"/>
      <c r="H6" s="123">
        <v>10</v>
      </c>
      <c r="I6" s="124">
        <f t="shared" ref="I6:I15" si="0">IF(H6="","",((H6*10)/SUM($H$5:$H$15)))</f>
        <v>1.4285714285714286</v>
      </c>
      <c r="J6" s="125">
        <f t="shared" ref="J6:J15" si="1">IF(F6="X",((H6*10)/SUM($H$5:$H$15)),0)</f>
        <v>0</v>
      </c>
    </row>
    <row r="7" spans="1:10" ht="42.75" customHeight="1">
      <c r="A7" s="52">
        <v>3</v>
      </c>
      <c r="B7" s="122" t="s">
        <v>352</v>
      </c>
      <c r="C7" s="122"/>
      <c r="D7" s="122"/>
      <c r="E7" s="123"/>
      <c r="F7" s="123" t="s">
        <v>63</v>
      </c>
      <c r="G7" s="55"/>
      <c r="H7" s="123">
        <v>10</v>
      </c>
      <c r="I7" s="124">
        <f t="shared" si="0"/>
        <v>1.4285714285714286</v>
      </c>
      <c r="J7" s="125">
        <f t="shared" si="1"/>
        <v>1.4285714285714286</v>
      </c>
    </row>
    <row r="8" spans="1:10" ht="28.5" customHeight="1">
      <c r="A8" s="52">
        <v>4</v>
      </c>
      <c r="B8" s="122" t="s">
        <v>353</v>
      </c>
      <c r="C8" s="122"/>
      <c r="D8" s="122"/>
      <c r="E8" s="123"/>
      <c r="F8" s="123" t="s">
        <v>63</v>
      </c>
      <c r="G8" s="55"/>
      <c r="H8" s="123">
        <v>10</v>
      </c>
      <c r="I8" s="124">
        <f t="shared" si="0"/>
        <v>1.4285714285714286</v>
      </c>
      <c r="J8" s="125">
        <f t="shared" si="1"/>
        <v>1.4285714285714286</v>
      </c>
    </row>
    <row r="9" spans="1:10" ht="42.75" customHeight="1">
      <c r="A9" s="52">
        <v>5</v>
      </c>
      <c r="B9" s="122" t="s">
        <v>354</v>
      </c>
      <c r="C9" s="122"/>
      <c r="D9" s="122"/>
      <c r="E9" s="123"/>
      <c r="F9" s="123" t="s">
        <v>63</v>
      </c>
      <c r="G9" s="55"/>
      <c r="H9" s="123">
        <v>6</v>
      </c>
      <c r="I9" s="124">
        <f t="shared" si="0"/>
        <v>0.8571428571428571</v>
      </c>
      <c r="J9" s="125">
        <f t="shared" si="1"/>
        <v>0.8571428571428571</v>
      </c>
    </row>
    <row r="10" spans="1:10" ht="28.5" customHeight="1">
      <c r="A10" s="52">
        <v>6</v>
      </c>
      <c r="B10" s="122" t="s">
        <v>355</v>
      </c>
      <c r="C10" s="122"/>
      <c r="D10" s="122"/>
      <c r="E10" s="123"/>
      <c r="F10" s="123" t="s">
        <v>63</v>
      </c>
      <c r="G10" s="55"/>
      <c r="H10" s="123">
        <v>6</v>
      </c>
      <c r="I10" s="124">
        <f t="shared" si="0"/>
        <v>0.8571428571428571</v>
      </c>
      <c r="J10" s="125">
        <f t="shared" si="1"/>
        <v>0.8571428571428571</v>
      </c>
    </row>
    <row r="11" spans="1:10" ht="42.75" customHeight="1">
      <c r="A11" s="52">
        <v>7</v>
      </c>
      <c r="B11" s="122" t="s">
        <v>356</v>
      </c>
      <c r="C11" s="122"/>
      <c r="D11" s="122"/>
      <c r="E11" s="123"/>
      <c r="F11" s="123" t="s">
        <v>63</v>
      </c>
      <c r="G11" s="55"/>
      <c r="H11" s="123">
        <v>6</v>
      </c>
      <c r="I11" s="124">
        <f t="shared" si="0"/>
        <v>0.8571428571428571</v>
      </c>
      <c r="J11" s="125">
        <f t="shared" si="1"/>
        <v>0.8571428571428571</v>
      </c>
    </row>
    <row r="12" spans="1:10" ht="42.75" customHeight="1">
      <c r="A12" s="52">
        <v>8</v>
      </c>
      <c r="B12" s="122" t="s">
        <v>357</v>
      </c>
      <c r="C12" s="122"/>
      <c r="D12" s="122"/>
      <c r="E12" s="123"/>
      <c r="F12" s="123" t="s">
        <v>63</v>
      </c>
      <c r="G12" s="55"/>
      <c r="H12" s="123">
        <v>2</v>
      </c>
      <c r="I12" s="124">
        <f t="shared" si="0"/>
        <v>0.2857142857142857</v>
      </c>
      <c r="J12" s="125">
        <f t="shared" si="1"/>
        <v>0.2857142857142857</v>
      </c>
    </row>
    <row r="13" spans="1:10" ht="42.75" customHeight="1">
      <c r="A13" s="52">
        <v>9</v>
      </c>
      <c r="B13" s="122" t="s">
        <v>358</v>
      </c>
      <c r="C13" s="122"/>
      <c r="D13" s="122"/>
      <c r="E13" s="123" t="s">
        <v>63</v>
      </c>
      <c r="F13" s="123"/>
      <c r="G13" s="55"/>
      <c r="H13" s="123">
        <v>6</v>
      </c>
      <c r="I13" s="124">
        <f t="shared" si="0"/>
        <v>0.8571428571428571</v>
      </c>
      <c r="J13" s="125">
        <f t="shared" si="1"/>
        <v>0</v>
      </c>
    </row>
    <row r="14" spans="1:10" ht="42.75" customHeight="1">
      <c r="A14" s="52">
        <v>10</v>
      </c>
      <c r="B14" s="122" t="s">
        <v>359</v>
      </c>
      <c r="C14" s="122"/>
      <c r="D14" s="122"/>
      <c r="E14" s="123"/>
      <c r="F14" s="123" t="s">
        <v>63</v>
      </c>
      <c r="G14" s="55"/>
      <c r="H14" s="123">
        <v>6</v>
      </c>
      <c r="I14" s="124">
        <f t="shared" si="0"/>
        <v>0.8571428571428571</v>
      </c>
      <c r="J14" s="125">
        <f t="shared" si="1"/>
        <v>0.8571428571428571</v>
      </c>
    </row>
    <row r="15" spans="1:10" ht="57" customHeight="1">
      <c r="A15" s="52">
        <v>11</v>
      </c>
      <c r="B15" s="122" t="s">
        <v>360</v>
      </c>
      <c r="C15" s="122"/>
      <c r="D15" s="122"/>
      <c r="E15" s="123"/>
      <c r="F15" s="123" t="s">
        <v>63</v>
      </c>
      <c r="G15" s="55"/>
      <c r="H15" s="123">
        <v>2</v>
      </c>
      <c r="I15" s="124">
        <f t="shared" si="0"/>
        <v>0.2857142857142857</v>
      </c>
      <c r="J15" s="125">
        <f t="shared" si="1"/>
        <v>0.2857142857142857</v>
      </c>
    </row>
    <row r="16" spans="1:10">
      <c r="A16" s="112" t="s">
        <v>71</v>
      </c>
      <c r="B16" s="112"/>
      <c r="C16" s="112"/>
      <c r="D16" s="112"/>
      <c r="E16" s="112"/>
      <c r="F16" s="112"/>
      <c r="G16" s="112"/>
      <c r="H16" s="112"/>
      <c r="I16" s="37">
        <f>SUM(I5:I15)</f>
        <v>10</v>
      </c>
      <c r="J16" s="36">
        <f>SUM(J5:J15)</f>
        <v>6.8571428571428559</v>
      </c>
    </row>
  </sheetData>
  <mergeCells count="19">
    <mergeCell ref="B4:D4"/>
    <mergeCell ref="A16:H16"/>
    <mergeCell ref="B5:D5"/>
    <mergeCell ref="B6:D6"/>
    <mergeCell ref="B7:D7"/>
    <mergeCell ref="B8:D8"/>
    <mergeCell ref="B9:D9"/>
    <mergeCell ref="B10:D10"/>
    <mergeCell ref="B11:D11"/>
    <mergeCell ref="B12:D12"/>
    <mergeCell ref="B13:D13"/>
    <mergeCell ref="B14:D14"/>
    <mergeCell ref="B15:D15"/>
    <mergeCell ref="A1:B1"/>
    <mergeCell ref="A2:B2"/>
    <mergeCell ref="C1:J1"/>
    <mergeCell ref="C2:J2"/>
    <mergeCell ref="A3:B3"/>
    <mergeCell ref="E3:J3"/>
  </mergeCell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4BE44-AF98-4260-8732-0754D344EA69}">
  <sheetPr>
    <tabColor rgb="FFC00000"/>
  </sheetPr>
  <dimension ref="A1:J19"/>
  <sheetViews>
    <sheetView workbookViewId="0">
      <pane xSplit="4" ySplit="4" topLeftCell="E5" activePane="bottomRight" state="frozen"/>
      <selection pane="bottomRight" activeCell="B8" sqref="A1:J19"/>
      <selection pane="bottomLeft" activeCell="A3" sqref="A3:J15"/>
      <selection pane="topRight" activeCell="A3" sqref="A3:J15"/>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23</v>
      </c>
      <c r="D2" s="74"/>
      <c r="E2" s="74"/>
      <c r="F2" s="74"/>
      <c r="G2" s="74"/>
      <c r="H2" s="74"/>
      <c r="I2" s="74"/>
      <c r="J2" s="75"/>
    </row>
    <row r="3" spans="1:10" ht="45">
      <c r="A3" s="70" t="s">
        <v>81</v>
      </c>
      <c r="B3" s="70"/>
      <c r="C3" s="18" t="s">
        <v>93</v>
      </c>
      <c r="D3" s="55" t="s">
        <v>121</v>
      </c>
      <c r="E3" s="122" t="s">
        <v>361</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28.5" customHeight="1">
      <c r="A5" s="52">
        <v>1</v>
      </c>
      <c r="B5" s="122" t="s">
        <v>272</v>
      </c>
      <c r="C5" s="122"/>
      <c r="D5" s="122"/>
      <c r="E5" s="123"/>
      <c r="F5" s="123" t="s">
        <v>63</v>
      </c>
      <c r="G5" s="123"/>
      <c r="H5" s="123">
        <v>10</v>
      </c>
      <c r="I5" s="124">
        <f>IF(H5="","",((H5*10)/SUM($H$5:$H$18)))</f>
        <v>1.0416666666666667</v>
      </c>
      <c r="J5" s="125">
        <f>IF(F5="X",((H5*10)/SUM($H$5:$H$18)),0)</f>
        <v>1.0416666666666667</v>
      </c>
    </row>
    <row r="6" spans="1:10" ht="28.5" customHeight="1">
      <c r="A6" s="52">
        <v>2</v>
      </c>
      <c r="B6" s="122" t="s">
        <v>362</v>
      </c>
      <c r="C6" s="122"/>
      <c r="D6" s="122"/>
      <c r="E6" s="123" t="s">
        <v>63</v>
      </c>
      <c r="F6" s="123"/>
      <c r="G6" s="123"/>
      <c r="H6" s="123">
        <v>6</v>
      </c>
      <c r="I6" s="124">
        <f t="shared" ref="I6:I18" si="0">IF(H6="","",((H6*10)/SUM($H$5:$H$18)))</f>
        <v>0.625</v>
      </c>
      <c r="J6" s="125">
        <f t="shared" ref="J6:J18" si="1">IF(F6="X",((H6*10)/SUM($H$5:$H$18)),0)</f>
        <v>0</v>
      </c>
    </row>
    <row r="7" spans="1:10" ht="28.5" customHeight="1">
      <c r="A7" s="57">
        <v>3</v>
      </c>
      <c r="B7" s="122" t="s">
        <v>363</v>
      </c>
      <c r="C7" s="122"/>
      <c r="D7" s="122"/>
      <c r="E7" s="27"/>
      <c r="F7" s="27" t="s">
        <v>63</v>
      </c>
      <c r="G7" s="27"/>
      <c r="H7" s="27">
        <v>6</v>
      </c>
      <c r="I7" s="124">
        <f t="shared" si="0"/>
        <v>0.625</v>
      </c>
      <c r="J7" s="125">
        <f t="shared" si="1"/>
        <v>0.625</v>
      </c>
    </row>
    <row r="8" spans="1:10" ht="42.75" customHeight="1">
      <c r="A8" s="52">
        <v>4</v>
      </c>
      <c r="B8" s="122" t="s">
        <v>364</v>
      </c>
      <c r="C8" s="122"/>
      <c r="D8" s="122"/>
      <c r="E8" s="123"/>
      <c r="F8" s="123" t="s">
        <v>63</v>
      </c>
      <c r="G8" s="123"/>
      <c r="H8" s="123">
        <v>10</v>
      </c>
      <c r="I8" s="124">
        <f t="shared" si="0"/>
        <v>1.0416666666666667</v>
      </c>
      <c r="J8" s="125">
        <f t="shared" si="1"/>
        <v>1.0416666666666667</v>
      </c>
    </row>
    <row r="9" spans="1:10" ht="28.5" customHeight="1">
      <c r="A9" s="52">
        <v>5</v>
      </c>
      <c r="B9" s="122" t="s">
        <v>365</v>
      </c>
      <c r="C9" s="122"/>
      <c r="D9" s="122"/>
      <c r="E9" s="123"/>
      <c r="F9" s="123" t="s">
        <v>63</v>
      </c>
      <c r="G9" s="123"/>
      <c r="H9" s="123">
        <v>10</v>
      </c>
      <c r="I9" s="124">
        <f t="shared" si="0"/>
        <v>1.0416666666666667</v>
      </c>
      <c r="J9" s="125">
        <f t="shared" si="1"/>
        <v>1.0416666666666667</v>
      </c>
    </row>
    <row r="10" spans="1:10" ht="42.75" customHeight="1">
      <c r="A10" s="52">
        <v>6</v>
      </c>
      <c r="B10" s="122" t="s">
        <v>366</v>
      </c>
      <c r="C10" s="122"/>
      <c r="D10" s="122"/>
      <c r="E10" s="123" t="s">
        <v>63</v>
      </c>
      <c r="F10" s="123"/>
      <c r="G10" s="123"/>
      <c r="H10" s="123">
        <v>6</v>
      </c>
      <c r="I10" s="124">
        <f t="shared" si="0"/>
        <v>0.625</v>
      </c>
      <c r="J10" s="125">
        <f t="shared" si="1"/>
        <v>0</v>
      </c>
    </row>
    <row r="11" spans="1:10" ht="28.5" customHeight="1">
      <c r="A11" s="52">
        <v>7</v>
      </c>
      <c r="B11" s="122" t="s">
        <v>367</v>
      </c>
      <c r="C11" s="122"/>
      <c r="D11" s="122"/>
      <c r="E11" s="123"/>
      <c r="F11" s="123" t="s">
        <v>63</v>
      </c>
      <c r="G11" s="123"/>
      <c r="H11" s="123">
        <v>10</v>
      </c>
      <c r="I11" s="124">
        <f t="shared" si="0"/>
        <v>1.0416666666666667</v>
      </c>
      <c r="J11" s="125">
        <f t="shared" si="1"/>
        <v>1.0416666666666667</v>
      </c>
    </row>
    <row r="12" spans="1:10" ht="28.5" customHeight="1">
      <c r="A12" s="52">
        <v>8</v>
      </c>
      <c r="B12" s="122" t="s">
        <v>368</v>
      </c>
      <c r="C12" s="122"/>
      <c r="D12" s="122"/>
      <c r="E12" s="123"/>
      <c r="F12" s="123" t="s">
        <v>63</v>
      </c>
      <c r="G12" s="123"/>
      <c r="H12" s="123">
        <v>6</v>
      </c>
      <c r="I12" s="124">
        <f t="shared" si="0"/>
        <v>0.625</v>
      </c>
      <c r="J12" s="125">
        <f t="shared" si="1"/>
        <v>0.625</v>
      </c>
    </row>
    <row r="13" spans="1:10" ht="28.5" customHeight="1">
      <c r="A13" s="52">
        <v>9</v>
      </c>
      <c r="B13" s="122" t="s">
        <v>369</v>
      </c>
      <c r="C13" s="122"/>
      <c r="D13" s="122"/>
      <c r="E13" s="123" t="s">
        <v>63</v>
      </c>
      <c r="F13" s="123"/>
      <c r="G13" s="123"/>
      <c r="H13" s="123">
        <v>6</v>
      </c>
      <c r="I13" s="124">
        <f t="shared" si="0"/>
        <v>0.625</v>
      </c>
      <c r="J13" s="125">
        <f t="shared" si="1"/>
        <v>0</v>
      </c>
    </row>
    <row r="14" spans="1:10" ht="42.75" customHeight="1">
      <c r="A14" s="52">
        <v>10</v>
      </c>
      <c r="B14" s="122" t="s">
        <v>191</v>
      </c>
      <c r="C14" s="122"/>
      <c r="D14" s="122"/>
      <c r="E14" s="123" t="s">
        <v>63</v>
      </c>
      <c r="F14" s="123"/>
      <c r="G14" s="123"/>
      <c r="H14" s="123">
        <v>6</v>
      </c>
      <c r="I14" s="124">
        <f t="shared" si="0"/>
        <v>0.625</v>
      </c>
      <c r="J14" s="125">
        <f t="shared" si="1"/>
        <v>0</v>
      </c>
    </row>
    <row r="15" spans="1:10" ht="57" customHeight="1">
      <c r="A15" s="52">
        <v>11</v>
      </c>
      <c r="B15" s="122" t="s">
        <v>370</v>
      </c>
      <c r="C15" s="122"/>
      <c r="D15" s="122"/>
      <c r="E15" s="123"/>
      <c r="F15" s="123" t="s">
        <v>63</v>
      </c>
      <c r="G15" s="123"/>
      <c r="H15" s="123">
        <v>6</v>
      </c>
      <c r="I15" s="124">
        <f t="shared" si="0"/>
        <v>0.625</v>
      </c>
      <c r="J15" s="125">
        <f t="shared" si="1"/>
        <v>0.625</v>
      </c>
    </row>
    <row r="16" spans="1:10" ht="57" customHeight="1">
      <c r="A16" s="52">
        <v>12</v>
      </c>
      <c r="B16" s="122" t="s">
        <v>371</v>
      </c>
      <c r="C16" s="122"/>
      <c r="D16" s="122"/>
      <c r="E16" s="123" t="s">
        <v>63</v>
      </c>
      <c r="F16" s="123"/>
      <c r="G16" s="123"/>
      <c r="H16" s="123">
        <v>6</v>
      </c>
      <c r="I16" s="124">
        <f t="shared" si="0"/>
        <v>0.625</v>
      </c>
      <c r="J16" s="125">
        <f t="shared" si="1"/>
        <v>0</v>
      </c>
    </row>
    <row r="17" spans="1:10" ht="28.5" customHeight="1">
      <c r="A17" s="52">
        <v>13</v>
      </c>
      <c r="B17" s="122" t="s">
        <v>372</v>
      </c>
      <c r="C17" s="122"/>
      <c r="D17" s="122"/>
      <c r="E17" s="123"/>
      <c r="F17" s="123" t="s">
        <v>63</v>
      </c>
      <c r="G17" s="123"/>
      <c r="H17" s="123">
        <v>2</v>
      </c>
      <c r="I17" s="124">
        <f t="shared" si="0"/>
        <v>0.20833333333333334</v>
      </c>
      <c r="J17" s="125">
        <f t="shared" si="1"/>
        <v>0.20833333333333334</v>
      </c>
    </row>
    <row r="18" spans="1:10" ht="28.5" customHeight="1">
      <c r="A18" s="52">
        <v>14</v>
      </c>
      <c r="B18" s="122" t="s">
        <v>373</v>
      </c>
      <c r="C18" s="122"/>
      <c r="D18" s="122"/>
      <c r="E18" s="123"/>
      <c r="F18" s="123" t="s">
        <v>63</v>
      </c>
      <c r="G18" s="123"/>
      <c r="H18" s="123">
        <v>6</v>
      </c>
      <c r="I18" s="124">
        <f t="shared" si="0"/>
        <v>0.625</v>
      </c>
      <c r="J18" s="125">
        <f t="shared" si="1"/>
        <v>0.625</v>
      </c>
    </row>
    <row r="19" spans="1:10">
      <c r="A19" s="112" t="s">
        <v>71</v>
      </c>
      <c r="B19" s="112"/>
      <c r="C19" s="112"/>
      <c r="D19" s="112"/>
      <c r="E19" s="112"/>
      <c r="F19" s="112"/>
      <c r="G19" s="112"/>
      <c r="H19" s="112"/>
      <c r="I19" s="37">
        <f>SUM(I5:I18)</f>
        <v>10.000000000000002</v>
      </c>
      <c r="J19" s="36">
        <f>SUM(J5:J18)</f>
        <v>6.875</v>
      </c>
    </row>
  </sheetData>
  <mergeCells count="22">
    <mergeCell ref="B17:D17"/>
    <mergeCell ref="B18:D18"/>
    <mergeCell ref="A19:H19"/>
    <mergeCell ref="B11:D11"/>
    <mergeCell ref="B12:D12"/>
    <mergeCell ref="B13:D13"/>
    <mergeCell ref="B14:D14"/>
    <mergeCell ref="B15:D15"/>
    <mergeCell ref="B16:D16"/>
    <mergeCell ref="A1:B1"/>
    <mergeCell ref="A2:B2"/>
    <mergeCell ref="C1:J1"/>
    <mergeCell ref="C2:J2"/>
    <mergeCell ref="B10:D10"/>
    <mergeCell ref="A3:B3"/>
    <mergeCell ref="E3:J3"/>
    <mergeCell ref="B4:D4"/>
    <mergeCell ref="B5:D5"/>
    <mergeCell ref="B6:D6"/>
    <mergeCell ref="B7:D7"/>
    <mergeCell ref="B8:D8"/>
    <mergeCell ref="B9:D9"/>
  </mergeCell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3F9E7-18F5-43DB-9B09-9E6EC3AEF48F}">
  <sheetPr>
    <tabColor rgb="FFC00000"/>
  </sheetPr>
  <dimension ref="A1:J14"/>
  <sheetViews>
    <sheetView workbookViewId="0">
      <selection activeCell="B8" sqref="A1:J14"/>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23</v>
      </c>
      <c r="D2" s="74"/>
      <c r="E2" s="74"/>
      <c r="F2" s="74"/>
      <c r="G2" s="74"/>
      <c r="H2" s="74"/>
      <c r="I2" s="74"/>
      <c r="J2" s="75"/>
    </row>
    <row r="3" spans="1:10" ht="45">
      <c r="A3" s="70" t="s">
        <v>81</v>
      </c>
      <c r="B3" s="70"/>
      <c r="C3" s="18" t="s">
        <v>93</v>
      </c>
      <c r="D3" s="55" t="s">
        <v>136</v>
      </c>
      <c r="E3" s="122" t="s">
        <v>374</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28.5" customHeight="1">
      <c r="A5" s="52">
        <v>1</v>
      </c>
      <c r="B5" s="122" t="s">
        <v>272</v>
      </c>
      <c r="C5" s="122"/>
      <c r="D5" s="122"/>
      <c r="E5" s="123"/>
      <c r="F5" s="123" t="s">
        <v>63</v>
      </c>
      <c r="G5" s="123"/>
      <c r="H5" s="123">
        <v>10</v>
      </c>
      <c r="I5" s="124">
        <f>IF(H5="","",((H5*10)/SUM($H$5:$H$13)))</f>
        <v>1.6129032258064515</v>
      </c>
      <c r="J5" s="125">
        <f>IF(F5="X",((H5*10)/SUM($H$5:$H$13)),0)</f>
        <v>1.6129032258064515</v>
      </c>
    </row>
    <row r="6" spans="1:10" ht="42.75" customHeight="1">
      <c r="A6" s="52">
        <v>2</v>
      </c>
      <c r="B6" s="122" t="s">
        <v>375</v>
      </c>
      <c r="C6" s="122"/>
      <c r="D6" s="122"/>
      <c r="E6" s="123"/>
      <c r="F6" s="123" t="s">
        <v>63</v>
      </c>
      <c r="G6" s="123"/>
      <c r="H6" s="123">
        <v>6</v>
      </c>
      <c r="I6" s="124">
        <f t="shared" ref="I6:I13" si="0">IF(H6="","",((H6*10)/SUM($H$5:$H$13)))</f>
        <v>0.967741935483871</v>
      </c>
      <c r="J6" s="125">
        <f t="shared" ref="J6:J13" si="1">IF(F6="X",((H6*10)/SUM($H$5:$H$13)),0)</f>
        <v>0.967741935483871</v>
      </c>
    </row>
    <row r="7" spans="1:10" ht="57" customHeight="1">
      <c r="A7" s="52">
        <v>3</v>
      </c>
      <c r="B7" s="122" t="s">
        <v>376</v>
      </c>
      <c r="C7" s="122"/>
      <c r="D7" s="122"/>
      <c r="E7" s="123"/>
      <c r="F7" s="123" t="s">
        <v>63</v>
      </c>
      <c r="G7" s="123"/>
      <c r="H7" s="123">
        <v>6</v>
      </c>
      <c r="I7" s="124">
        <f t="shared" si="0"/>
        <v>0.967741935483871</v>
      </c>
      <c r="J7" s="125">
        <f t="shared" si="1"/>
        <v>0.967741935483871</v>
      </c>
    </row>
    <row r="8" spans="1:10" ht="57" customHeight="1">
      <c r="A8" s="52">
        <v>4</v>
      </c>
      <c r="B8" s="122" t="s">
        <v>377</v>
      </c>
      <c r="C8" s="122"/>
      <c r="D8" s="122"/>
      <c r="E8" s="123"/>
      <c r="F8" s="123" t="s">
        <v>63</v>
      </c>
      <c r="G8" s="123"/>
      <c r="H8" s="123">
        <v>10</v>
      </c>
      <c r="I8" s="124">
        <f t="shared" si="0"/>
        <v>1.6129032258064515</v>
      </c>
      <c r="J8" s="125">
        <f t="shared" si="1"/>
        <v>1.6129032258064515</v>
      </c>
    </row>
    <row r="9" spans="1:10" ht="42.75" customHeight="1">
      <c r="A9" s="52">
        <v>5</v>
      </c>
      <c r="B9" s="122" t="s">
        <v>378</v>
      </c>
      <c r="C9" s="122"/>
      <c r="D9" s="122"/>
      <c r="E9" s="123"/>
      <c r="F9" s="123" t="s">
        <v>63</v>
      </c>
      <c r="G9" s="123"/>
      <c r="H9" s="123">
        <v>10</v>
      </c>
      <c r="I9" s="124">
        <f t="shared" si="0"/>
        <v>1.6129032258064515</v>
      </c>
      <c r="J9" s="125">
        <f t="shared" si="1"/>
        <v>1.6129032258064515</v>
      </c>
    </row>
    <row r="10" spans="1:10" ht="28.5" customHeight="1">
      <c r="A10" s="52">
        <v>6</v>
      </c>
      <c r="B10" s="122" t="s">
        <v>379</v>
      </c>
      <c r="C10" s="122"/>
      <c r="D10" s="122"/>
      <c r="E10" s="123" t="s">
        <v>63</v>
      </c>
      <c r="F10" s="123"/>
      <c r="G10" s="123"/>
      <c r="H10" s="123">
        <v>10</v>
      </c>
      <c r="I10" s="124">
        <f t="shared" si="0"/>
        <v>1.6129032258064515</v>
      </c>
      <c r="J10" s="125">
        <f t="shared" si="1"/>
        <v>0</v>
      </c>
    </row>
    <row r="11" spans="1:10" ht="28.5" customHeight="1">
      <c r="A11" s="52">
        <v>7</v>
      </c>
      <c r="B11" s="122" t="s">
        <v>380</v>
      </c>
      <c r="C11" s="122"/>
      <c r="D11" s="122"/>
      <c r="E11" s="123"/>
      <c r="F11" s="123" t="s">
        <v>63</v>
      </c>
      <c r="G11" s="123"/>
      <c r="H11" s="123">
        <v>6</v>
      </c>
      <c r="I11" s="124">
        <f t="shared" si="0"/>
        <v>0.967741935483871</v>
      </c>
      <c r="J11" s="125">
        <f t="shared" si="1"/>
        <v>0.967741935483871</v>
      </c>
    </row>
    <row r="12" spans="1:10" ht="28.5" customHeight="1">
      <c r="A12" s="52">
        <v>8</v>
      </c>
      <c r="B12" s="122" t="s">
        <v>381</v>
      </c>
      <c r="C12" s="122"/>
      <c r="D12" s="122"/>
      <c r="E12" s="123" t="s">
        <v>63</v>
      </c>
      <c r="F12" s="123"/>
      <c r="G12" s="123"/>
      <c r="H12" s="123">
        <v>2</v>
      </c>
      <c r="I12" s="124">
        <f t="shared" si="0"/>
        <v>0.32258064516129031</v>
      </c>
      <c r="J12" s="125">
        <f t="shared" si="1"/>
        <v>0</v>
      </c>
    </row>
    <row r="13" spans="1:10" ht="28.5" customHeight="1">
      <c r="A13" s="52">
        <v>9</v>
      </c>
      <c r="B13" s="122" t="s">
        <v>382</v>
      </c>
      <c r="C13" s="122"/>
      <c r="D13" s="122"/>
      <c r="E13" s="123" t="s">
        <v>63</v>
      </c>
      <c r="F13" s="123"/>
      <c r="G13" s="123"/>
      <c r="H13" s="123">
        <v>2</v>
      </c>
      <c r="I13" s="124">
        <f t="shared" si="0"/>
        <v>0.32258064516129031</v>
      </c>
      <c r="J13" s="125">
        <f t="shared" si="1"/>
        <v>0</v>
      </c>
    </row>
    <row r="14" spans="1:10">
      <c r="A14" s="112" t="s">
        <v>71</v>
      </c>
      <c r="B14" s="112"/>
      <c r="C14" s="112"/>
      <c r="D14" s="112"/>
      <c r="E14" s="112"/>
      <c r="F14" s="112"/>
      <c r="G14" s="112"/>
      <c r="H14" s="112"/>
      <c r="I14" s="37">
        <f>SUM(I5:I13)</f>
        <v>10</v>
      </c>
      <c r="J14" s="36">
        <f>SUM(J5:J13)</f>
        <v>7.7419354838709671</v>
      </c>
    </row>
  </sheetData>
  <mergeCells count="17">
    <mergeCell ref="B4:D4"/>
    <mergeCell ref="B11:D11"/>
    <mergeCell ref="B12:D12"/>
    <mergeCell ref="B13:D13"/>
    <mergeCell ref="A14:H14"/>
    <mergeCell ref="B5:D5"/>
    <mergeCell ref="B6:D6"/>
    <mergeCell ref="B7:D7"/>
    <mergeCell ref="B8:D8"/>
    <mergeCell ref="B9:D9"/>
    <mergeCell ref="B10:D10"/>
    <mergeCell ref="A1:B1"/>
    <mergeCell ref="A2:B2"/>
    <mergeCell ref="C1:J1"/>
    <mergeCell ref="C2:J2"/>
    <mergeCell ref="A3:B3"/>
    <mergeCell ref="E3:J3"/>
  </mergeCell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C9DE2-B66C-4499-9017-810FA3EB75BA}">
  <sheetPr>
    <tabColor rgb="FFC00000"/>
  </sheetPr>
  <dimension ref="A1:J17"/>
  <sheetViews>
    <sheetView workbookViewId="0">
      <pane xSplit="4" ySplit="4" topLeftCell="E5" activePane="bottomRight" state="frozen"/>
      <selection pane="bottomRight" activeCell="B9" sqref="A1:J17"/>
      <selection pane="bottomLeft" activeCell="A3" sqref="A3:J15"/>
      <selection pane="topRight" activeCell="A3" sqref="A3:J15"/>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23</v>
      </c>
      <c r="D2" s="74"/>
      <c r="E2" s="74"/>
      <c r="F2" s="74"/>
      <c r="G2" s="74"/>
      <c r="H2" s="74"/>
      <c r="I2" s="74"/>
      <c r="J2" s="75"/>
    </row>
    <row r="3" spans="1:10" ht="45">
      <c r="A3" s="70" t="s">
        <v>81</v>
      </c>
      <c r="B3" s="70"/>
      <c r="C3" s="18" t="s">
        <v>93</v>
      </c>
      <c r="D3" s="55" t="s">
        <v>146</v>
      </c>
      <c r="E3" s="122" t="s">
        <v>383</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28.5" customHeight="1">
      <c r="A5" s="52">
        <v>1</v>
      </c>
      <c r="B5" s="122" t="s">
        <v>272</v>
      </c>
      <c r="C5" s="122"/>
      <c r="D5" s="122"/>
      <c r="E5" s="123"/>
      <c r="F5" s="123" t="s">
        <v>63</v>
      </c>
      <c r="G5" s="123"/>
      <c r="H5" s="123">
        <v>10</v>
      </c>
      <c r="I5" s="124">
        <f>IF(H5="","",((H5*10)/SUM($H$5:$H$16)))</f>
        <v>1.0416666666666667</v>
      </c>
      <c r="J5" s="125">
        <f>IF(F5="X",((H5*10)/SUM($H$5:$H$16)),0)</f>
        <v>1.0416666666666667</v>
      </c>
    </row>
    <row r="6" spans="1:10" ht="28.5" customHeight="1">
      <c r="A6" s="52">
        <v>2</v>
      </c>
      <c r="B6" s="122" t="s">
        <v>384</v>
      </c>
      <c r="C6" s="122"/>
      <c r="D6" s="122"/>
      <c r="E6" s="123"/>
      <c r="F6" s="123" t="s">
        <v>63</v>
      </c>
      <c r="G6" s="123"/>
      <c r="H6" s="123">
        <v>10</v>
      </c>
      <c r="I6" s="124">
        <f t="shared" ref="I6:I16" si="0">IF(H6="","",((H6*10)/SUM($H$5:$H$16)))</f>
        <v>1.0416666666666667</v>
      </c>
      <c r="J6" s="125">
        <f t="shared" ref="J6:J16" si="1">IF(F6="X",((H6*10)/SUM($H$5:$H$16)),0)</f>
        <v>1.0416666666666667</v>
      </c>
    </row>
    <row r="7" spans="1:10" ht="28.5" customHeight="1">
      <c r="A7" s="52">
        <v>3</v>
      </c>
      <c r="B7" s="122" t="s">
        <v>385</v>
      </c>
      <c r="C7" s="122"/>
      <c r="D7" s="122"/>
      <c r="E7" s="123"/>
      <c r="F7" s="123" t="s">
        <v>63</v>
      </c>
      <c r="G7" s="123"/>
      <c r="H7" s="123">
        <v>6</v>
      </c>
      <c r="I7" s="124">
        <f t="shared" si="0"/>
        <v>0.625</v>
      </c>
      <c r="J7" s="125">
        <f t="shared" si="1"/>
        <v>0.625</v>
      </c>
    </row>
    <row r="8" spans="1:10" ht="28.5" customHeight="1">
      <c r="A8" s="52">
        <v>4</v>
      </c>
      <c r="B8" s="122" t="s">
        <v>386</v>
      </c>
      <c r="C8" s="122"/>
      <c r="D8" s="122"/>
      <c r="E8" s="123"/>
      <c r="F8" s="123" t="s">
        <v>63</v>
      </c>
      <c r="G8" s="123"/>
      <c r="H8" s="123">
        <v>6</v>
      </c>
      <c r="I8" s="124">
        <f t="shared" si="0"/>
        <v>0.625</v>
      </c>
      <c r="J8" s="125">
        <f t="shared" si="1"/>
        <v>0.625</v>
      </c>
    </row>
    <row r="9" spans="1:10" ht="28.5" customHeight="1">
      <c r="A9" s="52">
        <v>5</v>
      </c>
      <c r="B9" s="122" t="s">
        <v>387</v>
      </c>
      <c r="C9" s="122"/>
      <c r="D9" s="122"/>
      <c r="E9" s="123"/>
      <c r="F9" s="123" t="s">
        <v>63</v>
      </c>
      <c r="G9" s="123"/>
      <c r="H9" s="123">
        <v>10</v>
      </c>
      <c r="I9" s="124">
        <f t="shared" si="0"/>
        <v>1.0416666666666667</v>
      </c>
      <c r="J9" s="125">
        <f t="shared" si="1"/>
        <v>1.0416666666666667</v>
      </c>
    </row>
    <row r="10" spans="1:10" ht="42.75" customHeight="1">
      <c r="A10" s="52">
        <v>6</v>
      </c>
      <c r="B10" s="122" t="s">
        <v>388</v>
      </c>
      <c r="C10" s="122"/>
      <c r="D10" s="122"/>
      <c r="E10" s="123"/>
      <c r="F10" s="123" t="s">
        <v>63</v>
      </c>
      <c r="G10" s="123"/>
      <c r="H10" s="123">
        <v>10</v>
      </c>
      <c r="I10" s="124">
        <f t="shared" si="0"/>
        <v>1.0416666666666667</v>
      </c>
      <c r="J10" s="125">
        <f t="shared" si="1"/>
        <v>1.0416666666666667</v>
      </c>
    </row>
    <row r="11" spans="1:10" ht="57" customHeight="1">
      <c r="A11" s="52">
        <v>7</v>
      </c>
      <c r="B11" s="122" t="s">
        <v>389</v>
      </c>
      <c r="C11" s="122"/>
      <c r="D11" s="122"/>
      <c r="E11" s="123" t="s">
        <v>63</v>
      </c>
      <c r="F11" s="123"/>
      <c r="G11" s="123"/>
      <c r="H11" s="123">
        <v>10</v>
      </c>
      <c r="I11" s="124">
        <f t="shared" si="0"/>
        <v>1.0416666666666667</v>
      </c>
      <c r="J11" s="125">
        <f t="shared" si="1"/>
        <v>0</v>
      </c>
    </row>
    <row r="12" spans="1:10" ht="28.5" customHeight="1">
      <c r="A12" s="52">
        <v>8</v>
      </c>
      <c r="B12" s="122" t="s">
        <v>390</v>
      </c>
      <c r="C12" s="122"/>
      <c r="D12" s="122"/>
      <c r="E12" s="123" t="s">
        <v>63</v>
      </c>
      <c r="F12" s="123"/>
      <c r="G12" s="123"/>
      <c r="H12" s="123">
        <v>6</v>
      </c>
      <c r="I12" s="124">
        <f t="shared" si="0"/>
        <v>0.625</v>
      </c>
      <c r="J12" s="125">
        <f t="shared" si="1"/>
        <v>0</v>
      </c>
    </row>
    <row r="13" spans="1:10" ht="28.5" customHeight="1">
      <c r="A13" s="52">
        <v>9</v>
      </c>
      <c r="B13" s="122" t="s">
        <v>391</v>
      </c>
      <c r="C13" s="122"/>
      <c r="D13" s="122"/>
      <c r="E13" s="123" t="s">
        <v>63</v>
      </c>
      <c r="F13" s="123"/>
      <c r="G13" s="123"/>
      <c r="H13" s="123">
        <v>6</v>
      </c>
      <c r="I13" s="124">
        <f t="shared" si="0"/>
        <v>0.625</v>
      </c>
      <c r="J13" s="125">
        <f t="shared" si="1"/>
        <v>0</v>
      </c>
    </row>
    <row r="14" spans="1:10" ht="42.75" customHeight="1">
      <c r="A14" s="52">
        <v>10</v>
      </c>
      <c r="B14" s="122" t="s">
        <v>392</v>
      </c>
      <c r="C14" s="122"/>
      <c r="D14" s="122"/>
      <c r="E14" s="123"/>
      <c r="F14" s="123" t="s">
        <v>63</v>
      </c>
      <c r="G14" s="123"/>
      <c r="H14" s="123">
        <v>10</v>
      </c>
      <c r="I14" s="124">
        <f t="shared" si="0"/>
        <v>1.0416666666666667</v>
      </c>
      <c r="J14" s="125">
        <f t="shared" si="1"/>
        <v>1.0416666666666667</v>
      </c>
    </row>
    <row r="15" spans="1:10" ht="57" customHeight="1">
      <c r="A15" s="52">
        <v>11</v>
      </c>
      <c r="B15" s="122" t="s">
        <v>393</v>
      </c>
      <c r="C15" s="122"/>
      <c r="D15" s="122"/>
      <c r="E15" s="123"/>
      <c r="F15" s="123" t="s">
        <v>63</v>
      </c>
      <c r="G15" s="123"/>
      <c r="H15" s="123">
        <v>6</v>
      </c>
      <c r="I15" s="124">
        <f t="shared" si="0"/>
        <v>0.625</v>
      </c>
      <c r="J15" s="125">
        <f t="shared" si="1"/>
        <v>0.625</v>
      </c>
    </row>
    <row r="16" spans="1:10" ht="57" customHeight="1">
      <c r="A16" s="52">
        <v>12</v>
      </c>
      <c r="B16" s="122" t="s">
        <v>394</v>
      </c>
      <c r="C16" s="122"/>
      <c r="D16" s="122"/>
      <c r="E16" s="123"/>
      <c r="F16" s="123" t="s">
        <v>63</v>
      </c>
      <c r="G16" s="123"/>
      <c r="H16" s="123">
        <v>6</v>
      </c>
      <c r="I16" s="124">
        <f t="shared" si="0"/>
        <v>0.625</v>
      </c>
      <c r="J16" s="125">
        <f t="shared" si="1"/>
        <v>0.625</v>
      </c>
    </row>
    <row r="17" spans="1:10">
      <c r="A17" s="112" t="s">
        <v>71</v>
      </c>
      <c r="B17" s="112"/>
      <c r="C17" s="112"/>
      <c r="D17" s="112"/>
      <c r="E17" s="112"/>
      <c r="F17" s="112"/>
      <c r="G17" s="112"/>
      <c r="H17" s="112"/>
      <c r="I17" s="37">
        <f>SUM(I5:I16)</f>
        <v>10</v>
      </c>
      <c r="J17" s="36">
        <f>SUM(J5:J16)</f>
        <v>7.7083333333333339</v>
      </c>
    </row>
  </sheetData>
  <mergeCells count="20">
    <mergeCell ref="A17:H17"/>
    <mergeCell ref="B14:D14"/>
    <mergeCell ref="B15:D15"/>
    <mergeCell ref="B16:D16"/>
    <mergeCell ref="B11:D11"/>
    <mergeCell ref="B12:D12"/>
    <mergeCell ref="B13:D13"/>
    <mergeCell ref="A1:B1"/>
    <mergeCell ref="A2:B2"/>
    <mergeCell ref="C1:J1"/>
    <mergeCell ref="C2:J2"/>
    <mergeCell ref="B10:D10"/>
    <mergeCell ref="A3:B3"/>
    <mergeCell ref="E3:J3"/>
    <mergeCell ref="B4:D4"/>
    <mergeCell ref="B5:D5"/>
    <mergeCell ref="B6:D6"/>
    <mergeCell ref="B7:D7"/>
    <mergeCell ref="B8:D8"/>
    <mergeCell ref="B9:D9"/>
  </mergeCell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A7CB2-AFD8-4CFA-A20B-E2E12B87B04F}">
  <sheetPr>
    <tabColor rgb="FFC00000"/>
  </sheetPr>
  <dimension ref="A1:J16"/>
  <sheetViews>
    <sheetView workbookViewId="0">
      <pane xSplit="4" ySplit="4" topLeftCell="E5" activePane="bottomRight" state="frozen"/>
      <selection pane="bottomRight" activeCell="B8" sqref="A1:J16"/>
      <selection pane="bottomLeft" activeCell="A3" sqref="A3:J15"/>
      <selection pane="topRight" activeCell="A3" sqref="A3:J15"/>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23</v>
      </c>
      <c r="D2" s="74"/>
      <c r="E2" s="74"/>
      <c r="F2" s="74"/>
      <c r="G2" s="74"/>
      <c r="H2" s="74"/>
      <c r="I2" s="74"/>
      <c r="J2" s="75"/>
    </row>
    <row r="3" spans="1:10" ht="45">
      <c r="A3" s="70" t="s">
        <v>81</v>
      </c>
      <c r="B3" s="70"/>
      <c r="C3" s="18" t="s">
        <v>93</v>
      </c>
      <c r="D3" s="55" t="s">
        <v>160</v>
      </c>
      <c r="E3" s="122" t="s">
        <v>395</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28.5" customHeight="1">
      <c r="A5" s="52">
        <v>1</v>
      </c>
      <c r="B5" s="122" t="s">
        <v>272</v>
      </c>
      <c r="C5" s="122"/>
      <c r="D5" s="122"/>
      <c r="E5" s="123"/>
      <c r="F5" s="123" t="s">
        <v>63</v>
      </c>
      <c r="G5" s="123"/>
      <c r="H5" s="123">
        <v>10</v>
      </c>
      <c r="I5" s="124">
        <f>IF(H5="","",((H5*10)/SUM($H$5:$H$15)))</f>
        <v>1.5151515151515151</v>
      </c>
      <c r="J5" s="125">
        <f>IF(F5="X",((H5*10)/SUM($H$5:$H$15)),0)</f>
        <v>1.5151515151515151</v>
      </c>
    </row>
    <row r="6" spans="1:10" ht="42.75" customHeight="1">
      <c r="A6" s="52">
        <v>2</v>
      </c>
      <c r="B6" s="122" t="s">
        <v>396</v>
      </c>
      <c r="C6" s="122"/>
      <c r="D6" s="122"/>
      <c r="E6" s="123"/>
      <c r="F6" s="123" t="s">
        <v>63</v>
      </c>
      <c r="G6" s="123"/>
      <c r="H6" s="123">
        <v>6</v>
      </c>
      <c r="I6" s="124">
        <f t="shared" ref="I6:I15" si="0">IF(H6="","",((H6*10)/SUM($H$5:$H$15)))</f>
        <v>0.90909090909090906</v>
      </c>
      <c r="J6" s="125">
        <f t="shared" ref="J6:J15" si="1">IF(F6="X",((H6*10)/SUM($H$5:$H$15)),0)</f>
        <v>0.90909090909090906</v>
      </c>
    </row>
    <row r="7" spans="1:10" ht="42.75" customHeight="1">
      <c r="A7" s="52">
        <v>3</v>
      </c>
      <c r="B7" s="122" t="s">
        <v>397</v>
      </c>
      <c r="C7" s="122"/>
      <c r="D7" s="122"/>
      <c r="E7" s="123"/>
      <c r="F7" s="123" t="s">
        <v>63</v>
      </c>
      <c r="G7" s="123"/>
      <c r="H7" s="123">
        <v>2</v>
      </c>
      <c r="I7" s="124">
        <f t="shared" si="0"/>
        <v>0.30303030303030304</v>
      </c>
      <c r="J7" s="125">
        <f t="shared" si="1"/>
        <v>0.30303030303030304</v>
      </c>
    </row>
    <row r="8" spans="1:10" ht="42.75" customHeight="1">
      <c r="A8" s="52">
        <v>4</v>
      </c>
      <c r="B8" s="122" t="s">
        <v>398</v>
      </c>
      <c r="C8" s="122"/>
      <c r="D8" s="122"/>
      <c r="E8" s="123"/>
      <c r="F8" s="123" t="s">
        <v>63</v>
      </c>
      <c r="G8" s="123"/>
      <c r="H8" s="123">
        <v>2</v>
      </c>
      <c r="I8" s="124">
        <f t="shared" si="0"/>
        <v>0.30303030303030304</v>
      </c>
      <c r="J8" s="125">
        <f t="shared" si="1"/>
        <v>0.30303030303030304</v>
      </c>
    </row>
    <row r="9" spans="1:10" ht="28.5" customHeight="1">
      <c r="A9" s="52">
        <v>5</v>
      </c>
      <c r="B9" s="122" t="s">
        <v>399</v>
      </c>
      <c r="C9" s="122"/>
      <c r="D9" s="122"/>
      <c r="E9" s="123" t="s">
        <v>63</v>
      </c>
      <c r="F9" s="123"/>
      <c r="G9" s="123"/>
      <c r="H9" s="123">
        <v>6</v>
      </c>
      <c r="I9" s="124">
        <f t="shared" si="0"/>
        <v>0.90909090909090906</v>
      </c>
      <c r="J9" s="125">
        <f t="shared" si="1"/>
        <v>0</v>
      </c>
    </row>
    <row r="10" spans="1:10" ht="28.5" customHeight="1">
      <c r="A10" s="52">
        <v>6</v>
      </c>
      <c r="B10" s="122" t="s">
        <v>400</v>
      </c>
      <c r="C10" s="122"/>
      <c r="D10" s="122"/>
      <c r="E10" s="123"/>
      <c r="F10" s="123" t="s">
        <v>63</v>
      </c>
      <c r="G10" s="123"/>
      <c r="H10" s="123">
        <v>10</v>
      </c>
      <c r="I10" s="124">
        <f t="shared" si="0"/>
        <v>1.5151515151515151</v>
      </c>
      <c r="J10" s="125">
        <f t="shared" si="1"/>
        <v>1.5151515151515151</v>
      </c>
    </row>
    <row r="11" spans="1:10" ht="28.5" customHeight="1">
      <c r="A11" s="52">
        <v>7</v>
      </c>
      <c r="B11" s="122" t="s">
        <v>168</v>
      </c>
      <c r="C11" s="122"/>
      <c r="D11" s="122"/>
      <c r="E11" s="123" t="s">
        <v>63</v>
      </c>
      <c r="F11" s="123"/>
      <c r="G11" s="123"/>
      <c r="H11" s="123">
        <v>10</v>
      </c>
      <c r="I11" s="124">
        <f t="shared" si="0"/>
        <v>1.5151515151515151</v>
      </c>
      <c r="J11" s="125">
        <f t="shared" si="1"/>
        <v>0</v>
      </c>
    </row>
    <row r="12" spans="1:10" ht="28.5" customHeight="1">
      <c r="A12" s="52">
        <v>8</v>
      </c>
      <c r="B12" s="122" t="s">
        <v>401</v>
      </c>
      <c r="C12" s="122"/>
      <c r="D12" s="122"/>
      <c r="E12" s="123" t="s">
        <v>63</v>
      </c>
      <c r="F12" s="123"/>
      <c r="G12" s="123"/>
      <c r="H12" s="123">
        <v>6</v>
      </c>
      <c r="I12" s="124">
        <f t="shared" si="0"/>
        <v>0.90909090909090906</v>
      </c>
      <c r="J12" s="125">
        <f t="shared" si="1"/>
        <v>0</v>
      </c>
    </row>
    <row r="13" spans="1:10" ht="42.75" customHeight="1">
      <c r="A13" s="52">
        <v>9</v>
      </c>
      <c r="B13" s="122" t="s">
        <v>402</v>
      </c>
      <c r="C13" s="122"/>
      <c r="D13" s="122"/>
      <c r="E13" s="123"/>
      <c r="F13" s="123" t="s">
        <v>63</v>
      </c>
      <c r="G13" s="123"/>
      <c r="H13" s="123">
        <v>2</v>
      </c>
      <c r="I13" s="124">
        <f t="shared" si="0"/>
        <v>0.30303030303030304</v>
      </c>
      <c r="J13" s="125">
        <f t="shared" si="1"/>
        <v>0.30303030303030304</v>
      </c>
    </row>
    <row r="14" spans="1:10" ht="28.5" customHeight="1">
      <c r="A14" s="52">
        <v>10</v>
      </c>
      <c r="B14" s="122" t="s">
        <v>403</v>
      </c>
      <c r="C14" s="122"/>
      <c r="D14" s="122"/>
      <c r="E14" s="123"/>
      <c r="F14" s="123" t="s">
        <v>63</v>
      </c>
      <c r="G14" s="123"/>
      <c r="H14" s="123">
        <v>6</v>
      </c>
      <c r="I14" s="124">
        <f t="shared" si="0"/>
        <v>0.90909090909090906</v>
      </c>
      <c r="J14" s="125">
        <f t="shared" si="1"/>
        <v>0.90909090909090906</v>
      </c>
    </row>
    <row r="15" spans="1:10">
      <c r="A15" s="52">
        <v>11</v>
      </c>
      <c r="B15" s="122" t="s">
        <v>172</v>
      </c>
      <c r="C15" s="122"/>
      <c r="D15" s="122"/>
      <c r="E15" s="123"/>
      <c r="F15" s="123" t="s">
        <v>63</v>
      </c>
      <c r="G15" s="123"/>
      <c r="H15" s="123">
        <v>6</v>
      </c>
      <c r="I15" s="124">
        <f t="shared" si="0"/>
        <v>0.90909090909090906</v>
      </c>
      <c r="J15" s="125">
        <f t="shared" si="1"/>
        <v>0.90909090909090906</v>
      </c>
    </row>
    <row r="16" spans="1:10">
      <c r="A16" s="112" t="s">
        <v>71</v>
      </c>
      <c r="B16" s="112"/>
      <c r="C16" s="112"/>
      <c r="D16" s="112"/>
      <c r="E16" s="112"/>
      <c r="F16" s="112"/>
      <c r="G16" s="112"/>
      <c r="H16" s="112"/>
      <c r="I16" s="37">
        <f>SUM(I5:I15)</f>
        <v>10</v>
      </c>
      <c r="J16" s="36">
        <f>SUM(J5:J15)</f>
        <v>6.666666666666667</v>
      </c>
    </row>
  </sheetData>
  <mergeCells count="19">
    <mergeCell ref="B4:D4"/>
    <mergeCell ref="A16:H16"/>
    <mergeCell ref="B5:D5"/>
    <mergeCell ref="B6:D6"/>
    <mergeCell ref="B7:D7"/>
    <mergeCell ref="B8:D8"/>
    <mergeCell ref="B9:D9"/>
    <mergeCell ref="B10:D10"/>
    <mergeCell ref="B11:D11"/>
    <mergeCell ref="B12:D12"/>
    <mergeCell ref="B13:D13"/>
    <mergeCell ref="B14:D14"/>
    <mergeCell ref="B15:D15"/>
    <mergeCell ref="A1:B1"/>
    <mergeCell ref="A2:B2"/>
    <mergeCell ref="C1:J1"/>
    <mergeCell ref="C2:J2"/>
    <mergeCell ref="A3:B3"/>
    <mergeCell ref="E3:J3"/>
  </mergeCell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35723-CB1D-4005-B56C-3D0ABBE89380}">
  <sheetPr>
    <tabColor rgb="FFC00000"/>
  </sheetPr>
  <dimension ref="A1:J17"/>
  <sheetViews>
    <sheetView workbookViewId="0">
      <pane xSplit="4" ySplit="4" topLeftCell="E5" activePane="bottomRight" state="frozen"/>
      <selection pane="bottomRight" activeCell="B5" sqref="A1:J17"/>
      <selection pane="bottomLeft" activeCell="A3" sqref="A3:J15"/>
      <selection pane="topRight" activeCell="A3" sqref="A3:J15"/>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23</v>
      </c>
      <c r="D2" s="74"/>
      <c r="E2" s="74"/>
      <c r="F2" s="74"/>
      <c r="G2" s="74"/>
      <c r="H2" s="74"/>
      <c r="I2" s="74"/>
      <c r="J2" s="75"/>
    </row>
    <row r="3" spans="1:10" ht="90">
      <c r="A3" s="70" t="s">
        <v>81</v>
      </c>
      <c r="B3" s="70"/>
      <c r="C3" s="18" t="s">
        <v>93</v>
      </c>
      <c r="D3" s="55" t="s">
        <v>176</v>
      </c>
      <c r="E3" s="122" t="s">
        <v>404</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57" customHeight="1">
      <c r="A5" s="52">
        <v>1</v>
      </c>
      <c r="B5" s="122" t="s">
        <v>405</v>
      </c>
      <c r="C5" s="122"/>
      <c r="D5" s="122"/>
      <c r="E5" s="123" t="s">
        <v>63</v>
      </c>
      <c r="F5" s="123"/>
      <c r="G5" s="123"/>
      <c r="H5" s="123">
        <v>6</v>
      </c>
      <c r="I5" s="124">
        <f>IF(H5="","",((H5*10)/SUM($H$5:$H$16)))</f>
        <v>0.83333333333333337</v>
      </c>
      <c r="J5" s="125">
        <f>IF(F5="X",((H5*10)/SUM($H$5:$H$16)),0)</f>
        <v>0</v>
      </c>
    </row>
    <row r="6" spans="1:10" ht="28.5" customHeight="1">
      <c r="A6" s="52">
        <v>2</v>
      </c>
      <c r="B6" s="122" t="s">
        <v>99</v>
      </c>
      <c r="C6" s="122"/>
      <c r="D6" s="122"/>
      <c r="E6" s="123"/>
      <c r="F6" s="123" t="s">
        <v>63</v>
      </c>
      <c r="G6" s="123"/>
      <c r="H6" s="123">
        <v>2</v>
      </c>
      <c r="I6" s="124">
        <f t="shared" ref="I6:I16" si="0">IF(H6="","",((H6*10)/SUM($H$5:$H$16)))</f>
        <v>0.27777777777777779</v>
      </c>
      <c r="J6" s="125">
        <f t="shared" ref="J6:J16" si="1">IF(F6="X",((H6*10)/SUM($H$5:$H$16)),0)</f>
        <v>0.27777777777777779</v>
      </c>
    </row>
    <row r="7" spans="1:10" ht="28.5" customHeight="1">
      <c r="A7" s="52">
        <v>3</v>
      </c>
      <c r="B7" s="122" t="s">
        <v>406</v>
      </c>
      <c r="C7" s="122"/>
      <c r="D7" s="122"/>
      <c r="E7" s="123" t="s">
        <v>63</v>
      </c>
      <c r="F7" s="123"/>
      <c r="G7" s="123"/>
      <c r="H7" s="123">
        <v>10</v>
      </c>
      <c r="I7" s="124">
        <f t="shared" si="0"/>
        <v>1.3888888888888888</v>
      </c>
      <c r="J7" s="125">
        <f t="shared" si="1"/>
        <v>0</v>
      </c>
    </row>
    <row r="8" spans="1:10" ht="42.75" customHeight="1">
      <c r="A8" s="52">
        <v>4</v>
      </c>
      <c r="B8" s="122" t="s">
        <v>407</v>
      </c>
      <c r="C8" s="122"/>
      <c r="D8" s="122"/>
      <c r="E8" s="123" t="s">
        <v>63</v>
      </c>
      <c r="F8" s="123"/>
      <c r="G8" s="123"/>
      <c r="H8" s="123">
        <v>6</v>
      </c>
      <c r="I8" s="124">
        <f t="shared" si="0"/>
        <v>0.83333333333333337</v>
      </c>
      <c r="J8" s="125">
        <f t="shared" si="1"/>
        <v>0</v>
      </c>
    </row>
    <row r="9" spans="1:10" ht="28.5" customHeight="1">
      <c r="A9" s="52">
        <v>5</v>
      </c>
      <c r="B9" s="122" t="s">
        <v>408</v>
      </c>
      <c r="C9" s="122"/>
      <c r="D9" s="122"/>
      <c r="E9" s="123"/>
      <c r="F9" s="123" t="s">
        <v>63</v>
      </c>
      <c r="G9" s="123"/>
      <c r="H9" s="123">
        <v>10</v>
      </c>
      <c r="I9" s="124">
        <f t="shared" si="0"/>
        <v>1.3888888888888888</v>
      </c>
      <c r="J9" s="125">
        <f t="shared" si="1"/>
        <v>1.3888888888888888</v>
      </c>
    </row>
    <row r="10" spans="1:10" ht="28.5" customHeight="1">
      <c r="A10" s="52">
        <v>6</v>
      </c>
      <c r="B10" s="122" t="s">
        <v>409</v>
      </c>
      <c r="C10" s="122"/>
      <c r="D10" s="122"/>
      <c r="E10" s="123"/>
      <c r="F10" s="123" t="s">
        <v>63</v>
      </c>
      <c r="G10" s="123"/>
      <c r="H10" s="123">
        <v>10</v>
      </c>
      <c r="I10" s="124">
        <f t="shared" si="0"/>
        <v>1.3888888888888888</v>
      </c>
      <c r="J10" s="125">
        <f t="shared" si="1"/>
        <v>1.3888888888888888</v>
      </c>
    </row>
    <row r="11" spans="1:10" ht="28.5" customHeight="1">
      <c r="A11" s="52">
        <v>7</v>
      </c>
      <c r="B11" s="122" t="s">
        <v>410</v>
      </c>
      <c r="C11" s="122"/>
      <c r="D11" s="122"/>
      <c r="E11" s="123"/>
      <c r="F11" s="123" t="s">
        <v>63</v>
      </c>
      <c r="G11" s="123"/>
      <c r="H11" s="123">
        <v>2</v>
      </c>
      <c r="I11" s="124">
        <f t="shared" si="0"/>
        <v>0.27777777777777779</v>
      </c>
      <c r="J11" s="125">
        <f t="shared" si="1"/>
        <v>0.27777777777777779</v>
      </c>
    </row>
    <row r="12" spans="1:10" ht="28.5" customHeight="1">
      <c r="A12" s="52">
        <v>8</v>
      </c>
      <c r="B12" s="122" t="s">
        <v>182</v>
      </c>
      <c r="C12" s="122"/>
      <c r="D12" s="122"/>
      <c r="E12" s="123"/>
      <c r="F12" s="123" t="s">
        <v>63</v>
      </c>
      <c r="G12" s="123"/>
      <c r="H12" s="123">
        <v>10</v>
      </c>
      <c r="I12" s="124">
        <f t="shared" si="0"/>
        <v>1.3888888888888888</v>
      </c>
      <c r="J12" s="125">
        <f t="shared" si="1"/>
        <v>1.3888888888888888</v>
      </c>
    </row>
    <row r="13" spans="1:10" ht="28.5" customHeight="1">
      <c r="A13" s="52">
        <v>9</v>
      </c>
      <c r="B13" s="122" t="s">
        <v>411</v>
      </c>
      <c r="C13" s="122"/>
      <c r="D13" s="122"/>
      <c r="E13" s="123"/>
      <c r="F13" s="123" t="s">
        <v>63</v>
      </c>
      <c r="G13" s="123"/>
      <c r="H13" s="123">
        <v>2</v>
      </c>
      <c r="I13" s="124">
        <f t="shared" si="0"/>
        <v>0.27777777777777779</v>
      </c>
      <c r="J13" s="125">
        <f t="shared" si="1"/>
        <v>0.27777777777777779</v>
      </c>
    </row>
    <row r="14" spans="1:10" ht="28.5" customHeight="1">
      <c r="A14" s="52">
        <v>10</v>
      </c>
      <c r="B14" s="122" t="s">
        <v>412</v>
      </c>
      <c r="C14" s="122"/>
      <c r="D14" s="122"/>
      <c r="E14" s="123" t="s">
        <v>63</v>
      </c>
      <c r="F14" s="123"/>
      <c r="G14" s="123"/>
      <c r="H14" s="123">
        <v>6</v>
      </c>
      <c r="I14" s="124">
        <f t="shared" si="0"/>
        <v>0.83333333333333337</v>
      </c>
      <c r="J14" s="125">
        <f t="shared" si="1"/>
        <v>0</v>
      </c>
    </row>
    <row r="15" spans="1:10" ht="42.75" customHeight="1">
      <c r="A15" s="52">
        <v>11</v>
      </c>
      <c r="B15" s="122" t="s">
        <v>413</v>
      </c>
      <c r="C15" s="122"/>
      <c r="D15" s="122"/>
      <c r="E15" s="123" t="s">
        <v>63</v>
      </c>
      <c r="F15" s="123"/>
      <c r="G15" s="123"/>
      <c r="H15" s="123">
        <v>6</v>
      </c>
      <c r="I15" s="124">
        <f t="shared" si="0"/>
        <v>0.83333333333333337</v>
      </c>
      <c r="J15" s="125">
        <f t="shared" si="1"/>
        <v>0</v>
      </c>
    </row>
    <row r="16" spans="1:10" ht="42.75" customHeight="1">
      <c r="A16" s="52">
        <v>12</v>
      </c>
      <c r="B16" s="122" t="s">
        <v>414</v>
      </c>
      <c r="C16" s="122"/>
      <c r="D16" s="122"/>
      <c r="E16" s="123"/>
      <c r="F16" s="123" t="s">
        <v>63</v>
      </c>
      <c r="G16" s="123"/>
      <c r="H16" s="123">
        <v>2</v>
      </c>
      <c r="I16" s="124">
        <f t="shared" si="0"/>
        <v>0.27777777777777779</v>
      </c>
      <c r="J16" s="125">
        <f t="shared" si="1"/>
        <v>0.27777777777777779</v>
      </c>
    </row>
    <row r="17" spans="1:10">
      <c r="A17" s="112" t="s">
        <v>71</v>
      </c>
      <c r="B17" s="112"/>
      <c r="C17" s="112"/>
      <c r="D17" s="112"/>
      <c r="E17" s="112"/>
      <c r="F17" s="112"/>
      <c r="G17" s="112"/>
      <c r="H17" s="112"/>
      <c r="I17" s="37">
        <f>SUM(I5:I16)</f>
        <v>10.000000000000002</v>
      </c>
      <c r="J17" s="36">
        <f>SUM(J5:J16)</f>
        <v>5.2777777777777768</v>
      </c>
    </row>
  </sheetData>
  <mergeCells count="20">
    <mergeCell ref="A17:H17"/>
    <mergeCell ref="B11:D11"/>
    <mergeCell ref="B12:D12"/>
    <mergeCell ref="B13:D13"/>
    <mergeCell ref="B14:D14"/>
    <mergeCell ref="B15:D15"/>
    <mergeCell ref="B16:D16"/>
    <mergeCell ref="A1:B1"/>
    <mergeCell ref="A2:B2"/>
    <mergeCell ref="C1:J1"/>
    <mergeCell ref="C2:J2"/>
    <mergeCell ref="B10:D10"/>
    <mergeCell ref="A3:B3"/>
    <mergeCell ref="E3:J3"/>
    <mergeCell ref="B4:D4"/>
    <mergeCell ref="B5:D5"/>
    <mergeCell ref="B6:D6"/>
    <mergeCell ref="B7:D7"/>
    <mergeCell ref="B8:D8"/>
    <mergeCell ref="B9:D9"/>
  </mergeCell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97F05-CFF2-4160-819D-35B0695CB247}">
  <sheetPr>
    <tabColor rgb="FFC00000"/>
  </sheetPr>
  <dimension ref="A1:J18"/>
  <sheetViews>
    <sheetView workbookViewId="0">
      <pane xSplit="4" ySplit="4" topLeftCell="E5" activePane="bottomRight" state="frozen"/>
      <selection pane="bottomRight" activeCell="B6" sqref="A1:J18"/>
      <selection pane="bottomLeft" activeCell="A3" sqref="A3:J15"/>
      <selection pane="topRight" activeCell="A3" sqref="A3:J15"/>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23</v>
      </c>
      <c r="D2" s="74"/>
      <c r="E2" s="74"/>
      <c r="F2" s="74"/>
      <c r="G2" s="74"/>
      <c r="H2" s="74"/>
      <c r="I2" s="74"/>
      <c r="J2" s="75"/>
    </row>
    <row r="3" spans="1:10" ht="90">
      <c r="A3" s="70" t="s">
        <v>81</v>
      </c>
      <c r="B3" s="70"/>
      <c r="C3" s="18" t="s">
        <v>93</v>
      </c>
      <c r="D3" s="55" t="s">
        <v>188</v>
      </c>
      <c r="E3" s="122" t="s">
        <v>415</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28.5" customHeight="1">
      <c r="A5" s="52">
        <v>1</v>
      </c>
      <c r="B5" s="122" t="s">
        <v>272</v>
      </c>
      <c r="C5" s="122"/>
      <c r="D5" s="122"/>
      <c r="E5" s="123"/>
      <c r="F5" s="123" t="s">
        <v>63</v>
      </c>
      <c r="G5" s="123"/>
      <c r="H5" s="123">
        <v>10</v>
      </c>
      <c r="I5" s="124">
        <f>IF(H5="","",((H5*10)/SUM($H$5:$H$17)))</f>
        <v>1.2195121951219512</v>
      </c>
      <c r="J5" s="125">
        <f>IF(F5="X",((H5*10)/SUM($H$5:$H$17)),0)</f>
        <v>1.2195121951219512</v>
      </c>
    </row>
    <row r="6" spans="1:10" ht="28.5" customHeight="1">
      <c r="A6" s="52">
        <v>2</v>
      </c>
      <c r="B6" s="122" t="s">
        <v>406</v>
      </c>
      <c r="C6" s="122"/>
      <c r="D6" s="122"/>
      <c r="E6" s="123" t="s">
        <v>63</v>
      </c>
      <c r="F6" s="123"/>
      <c r="G6" s="123"/>
      <c r="H6" s="123">
        <v>10</v>
      </c>
      <c r="I6" s="124">
        <f t="shared" ref="I6:I17" si="0">IF(H6="","",((H6*10)/SUM($H$5:$H$17)))</f>
        <v>1.2195121951219512</v>
      </c>
      <c r="J6" s="125">
        <f t="shared" ref="J6:J17" si="1">IF(F6="X",((H6*10)/SUM($H$5:$H$17)),0)</f>
        <v>0</v>
      </c>
    </row>
    <row r="7" spans="1:10" ht="42.75" customHeight="1">
      <c r="A7" s="52">
        <v>3</v>
      </c>
      <c r="B7" s="122" t="s">
        <v>416</v>
      </c>
      <c r="C7" s="122"/>
      <c r="D7" s="122"/>
      <c r="E7" s="123" t="s">
        <v>63</v>
      </c>
      <c r="F7" s="123"/>
      <c r="G7" s="123"/>
      <c r="H7" s="123">
        <v>10</v>
      </c>
      <c r="I7" s="124">
        <f t="shared" si="0"/>
        <v>1.2195121951219512</v>
      </c>
      <c r="J7" s="125">
        <f t="shared" si="1"/>
        <v>0</v>
      </c>
    </row>
    <row r="8" spans="1:10" ht="42.75" customHeight="1">
      <c r="A8" s="52">
        <v>4</v>
      </c>
      <c r="B8" s="122" t="s">
        <v>407</v>
      </c>
      <c r="C8" s="122"/>
      <c r="D8" s="122"/>
      <c r="E8" s="123" t="s">
        <v>63</v>
      </c>
      <c r="F8" s="123"/>
      <c r="G8" s="123"/>
      <c r="H8" s="123">
        <v>6</v>
      </c>
      <c r="I8" s="124">
        <f t="shared" si="0"/>
        <v>0.73170731707317072</v>
      </c>
      <c r="J8" s="125">
        <f t="shared" si="1"/>
        <v>0</v>
      </c>
    </row>
    <row r="9" spans="1:10" ht="28.5" customHeight="1">
      <c r="A9" s="52">
        <v>5</v>
      </c>
      <c r="B9" s="122" t="s">
        <v>417</v>
      </c>
      <c r="C9" s="122"/>
      <c r="D9" s="122"/>
      <c r="E9" s="123"/>
      <c r="F9" s="123" t="s">
        <v>63</v>
      </c>
      <c r="G9" s="123"/>
      <c r="H9" s="123">
        <v>10</v>
      </c>
      <c r="I9" s="124">
        <f t="shared" si="0"/>
        <v>1.2195121951219512</v>
      </c>
      <c r="J9" s="125">
        <f t="shared" si="1"/>
        <v>1.2195121951219512</v>
      </c>
    </row>
    <row r="10" spans="1:10" ht="42.75" customHeight="1">
      <c r="A10" s="52">
        <v>6</v>
      </c>
      <c r="B10" s="122" t="s">
        <v>418</v>
      </c>
      <c r="C10" s="122"/>
      <c r="D10" s="122"/>
      <c r="E10" s="123" t="s">
        <v>63</v>
      </c>
      <c r="F10" s="123"/>
      <c r="G10" s="123"/>
      <c r="H10" s="123">
        <v>2</v>
      </c>
      <c r="I10" s="124">
        <f t="shared" si="0"/>
        <v>0.24390243902439024</v>
      </c>
      <c r="J10" s="125">
        <f t="shared" si="1"/>
        <v>0</v>
      </c>
    </row>
    <row r="11" spans="1:10" ht="28.5" customHeight="1">
      <c r="A11" s="52">
        <v>7</v>
      </c>
      <c r="B11" s="122" t="s">
        <v>419</v>
      </c>
      <c r="C11" s="122"/>
      <c r="D11" s="122"/>
      <c r="E11" s="123" t="s">
        <v>63</v>
      </c>
      <c r="F11" s="123"/>
      <c r="G11" s="123"/>
      <c r="H11" s="123">
        <v>6</v>
      </c>
      <c r="I11" s="124">
        <f t="shared" si="0"/>
        <v>0.73170731707317072</v>
      </c>
      <c r="J11" s="125">
        <f t="shared" si="1"/>
        <v>0</v>
      </c>
    </row>
    <row r="12" spans="1:10" ht="28.5" customHeight="1">
      <c r="A12" s="52">
        <v>8</v>
      </c>
      <c r="B12" s="122" t="s">
        <v>420</v>
      </c>
      <c r="C12" s="122"/>
      <c r="D12" s="122"/>
      <c r="E12" s="123"/>
      <c r="F12" s="123" t="s">
        <v>63</v>
      </c>
      <c r="G12" s="123"/>
      <c r="H12" s="123">
        <v>6</v>
      </c>
      <c r="I12" s="124">
        <f t="shared" si="0"/>
        <v>0.73170731707317072</v>
      </c>
      <c r="J12" s="125">
        <f t="shared" si="1"/>
        <v>0.73170731707317072</v>
      </c>
    </row>
    <row r="13" spans="1:10" ht="28.5" customHeight="1">
      <c r="A13" s="52">
        <v>9</v>
      </c>
      <c r="B13" s="122" t="s">
        <v>421</v>
      </c>
      <c r="C13" s="122"/>
      <c r="D13" s="122"/>
      <c r="E13" s="123"/>
      <c r="F13" s="123" t="s">
        <v>63</v>
      </c>
      <c r="G13" s="123"/>
      <c r="H13" s="123">
        <v>2</v>
      </c>
      <c r="I13" s="124">
        <f t="shared" si="0"/>
        <v>0.24390243902439024</v>
      </c>
      <c r="J13" s="125">
        <f t="shared" si="1"/>
        <v>0.24390243902439024</v>
      </c>
    </row>
    <row r="14" spans="1:10" ht="28.5" customHeight="1">
      <c r="A14" s="52">
        <v>10</v>
      </c>
      <c r="B14" s="122" t="s">
        <v>422</v>
      </c>
      <c r="C14" s="122"/>
      <c r="D14" s="122"/>
      <c r="E14" s="123"/>
      <c r="F14" s="123" t="s">
        <v>63</v>
      </c>
      <c r="G14" s="123"/>
      <c r="H14" s="123">
        <v>2</v>
      </c>
      <c r="I14" s="124">
        <f t="shared" si="0"/>
        <v>0.24390243902439024</v>
      </c>
      <c r="J14" s="125">
        <f t="shared" si="1"/>
        <v>0.24390243902439024</v>
      </c>
    </row>
    <row r="15" spans="1:10" ht="28.5" customHeight="1">
      <c r="A15" s="52">
        <v>11</v>
      </c>
      <c r="B15" s="122" t="s">
        <v>423</v>
      </c>
      <c r="C15" s="122"/>
      <c r="D15" s="122"/>
      <c r="E15" s="123" t="s">
        <v>63</v>
      </c>
      <c r="F15" s="123"/>
      <c r="G15" s="123"/>
      <c r="H15" s="123">
        <v>6</v>
      </c>
      <c r="I15" s="124">
        <f t="shared" si="0"/>
        <v>0.73170731707317072</v>
      </c>
      <c r="J15" s="125">
        <f t="shared" si="1"/>
        <v>0</v>
      </c>
    </row>
    <row r="16" spans="1:10" ht="28.5" customHeight="1">
      <c r="A16" s="52">
        <v>12</v>
      </c>
      <c r="B16" s="122" t="s">
        <v>424</v>
      </c>
      <c r="C16" s="122"/>
      <c r="D16" s="122"/>
      <c r="E16" s="123"/>
      <c r="F16" s="123" t="s">
        <v>63</v>
      </c>
      <c r="G16" s="123"/>
      <c r="H16" s="123">
        <v>6</v>
      </c>
      <c r="I16" s="124">
        <f t="shared" si="0"/>
        <v>0.73170731707317072</v>
      </c>
      <c r="J16" s="125">
        <f t="shared" si="1"/>
        <v>0.73170731707317072</v>
      </c>
    </row>
    <row r="17" spans="1:10" ht="28.5" customHeight="1">
      <c r="A17" s="52">
        <v>13</v>
      </c>
      <c r="B17" s="122" t="s">
        <v>425</v>
      </c>
      <c r="C17" s="122"/>
      <c r="D17" s="122"/>
      <c r="E17" s="123"/>
      <c r="F17" s="123" t="s">
        <v>63</v>
      </c>
      <c r="G17" s="123"/>
      <c r="H17" s="123">
        <v>6</v>
      </c>
      <c r="I17" s="124">
        <f t="shared" si="0"/>
        <v>0.73170731707317072</v>
      </c>
      <c r="J17" s="125">
        <f t="shared" si="1"/>
        <v>0.73170731707317072</v>
      </c>
    </row>
    <row r="18" spans="1:10">
      <c r="A18" s="112" t="s">
        <v>71</v>
      </c>
      <c r="B18" s="112"/>
      <c r="C18" s="112"/>
      <c r="D18" s="112"/>
      <c r="E18" s="112"/>
      <c r="F18" s="112"/>
      <c r="G18" s="112"/>
      <c r="H18" s="112"/>
      <c r="I18" s="37">
        <f>SUM(I5:I17)</f>
        <v>10.000000000000002</v>
      </c>
      <c r="J18" s="36">
        <f>SUM(J5:J17)</f>
        <v>5.1219512195121952</v>
      </c>
    </row>
  </sheetData>
  <mergeCells count="21">
    <mergeCell ref="B17:D17"/>
    <mergeCell ref="A18:H18"/>
    <mergeCell ref="B11:D11"/>
    <mergeCell ref="B12:D12"/>
    <mergeCell ref="B13:D13"/>
    <mergeCell ref="B14:D14"/>
    <mergeCell ref="B15:D15"/>
    <mergeCell ref="B16:D16"/>
    <mergeCell ref="A1:B1"/>
    <mergeCell ref="A2:B2"/>
    <mergeCell ref="C1:J1"/>
    <mergeCell ref="C2:J2"/>
    <mergeCell ref="B10:D10"/>
    <mergeCell ref="A3:B3"/>
    <mergeCell ref="E3:J3"/>
    <mergeCell ref="B4:D4"/>
    <mergeCell ref="B5:D5"/>
    <mergeCell ref="B6:D6"/>
    <mergeCell ref="B7:D7"/>
    <mergeCell ref="B8:D8"/>
    <mergeCell ref="B9:D9"/>
  </mergeCell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3169-F059-4F79-BA47-0A1C8279E229}">
  <sheetPr>
    <tabColor rgb="FFC00000"/>
  </sheetPr>
  <dimension ref="A1:J19"/>
  <sheetViews>
    <sheetView workbookViewId="0">
      <pane xSplit="4" ySplit="4" topLeftCell="E5" activePane="bottomRight" state="frozen"/>
      <selection pane="bottomRight" activeCell="B7" sqref="A1:J19"/>
      <selection pane="bottomLeft" activeCell="A3" sqref="A3:J15"/>
      <selection pane="topRight" activeCell="A3" sqref="A3:J15"/>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23</v>
      </c>
      <c r="D2" s="74"/>
      <c r="E2" s="74"/>
      <c r="F2" s="74"/>
      <c r="G2" s="74"/>
      <c r="H2" s="74"/>
      <c r="I2" s="74"/>
      <c r="J2" s="75"/>
    </row>
    <row r="3" spans="1:10" ht="30">
      <c r="A3" s="70" t="s">
        <v>81</v>
      </c>
      <c r="B3" s="70"/>
      <c r="C3" s="18" t="s">
        <v>200</v>
      </c>
      <c r="D3" s="55" t="s">
        <v>426</v>
      </c>
      <c r="E3" s="122" t="s">
        <v>427</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28.5" customHeight="1">
      <c r="A5" s="52">
        <v>1</v>
      </c>
      <c r="B5" s="122" t="s">
        <v>428</v>
      </c>
      <c r="C5" s="122"/>
      <c r="D5" s="122"/>
      <c r="E5" s="123"/>
      <c r="F5" s="123" t="s">
        <v>63</v>
      </c>
      <c r="G5" s="123"/>
      <c r="H5" s="27">
        <v>6</v>
      </c>
      <c r="I5" s="124">
        <f>IF(H5="","",((H5*10)/SUM($H$5:$H$18)))</f>
        <v>0.5</v>
      </c>
      <c r="J5" s="125">
        <f>IF(F5="X",((H5*10)/SUM($H$5:$H$18)),0)</f>
        <v>0.5</v>
      </c>
    </row>
    <row r="6" spans="1:10" ht="28.5" customHeight="1">
      <c r="A6" s="52">
        <v>2</v>
      </c>
      <c r="B6" s="122" t="s">
        <v>429</v>
      </c>
      <c r="C6" s="122"/>
      <c r="D6" s="122"/>
      <c r="E6" s="123"/>
      <c r="F6" s="123" t="s">
        <v>63</v>
      </c>
      <c r="G6" s="123"/>
      <c r="H6" s="27">
        <v>6</v>
      </c>
      <c r="I6" s="124">
        <f t="shared" ref="I6:I18" si="0">IF(H6="","",((H6*10)/SUM($H$5:$H$18)))</f>
        <v>0.5</v>
      </c>
      <c r="J6" s="125">
        <f t="shared" ref="J6:J18" si="1">IF(F6="X",((H6*10)/SUM($H$5:$H$18)),0)</f>
        <v>0.5</v>
      </c>
    </row>
    <row r="7" spans="1:10" ht="57" customHeight="1">
      <c r="A7" s="52">
        <v>3</v>
      </c>
      <c r="B7" s="122" t="s">
        <v>430</v>
      </c>
      <c r="C7" s="122"/>
      <c r="D7" s="122"/>
      <c r="E7" s="123"/>
      <c r="F7" s="123" t="s">
        <v>63</v>
      </c>
      <c r="G7" s="123"/>
      <c r="H7" s="27">
        <v>10</v>
      </c>
      <c r="I7" s="124">
        <f t="shared" si="0"/>
        <v>0.83333333333333337</v>
      </c>
      <c r="J7" s="125">
        <f t="shared" si="1"/>
        <v>0.83333333333333337</v>
      </c>
    </row>
    <row r="8" spans="1:10" ht="57" customHeight="1">
      <c r="A8" s="52">
        <v>4</v>
      </c>
      <c r="B8" s="122" t="s">
        <v>431</v>
      </c>
      <c r="C8" s="122"/>
      <c r="D8" s="122"/>
      <c r="E8" s="123"/>
      <c r="F8" s="123" t="s">
        <v>63</v>
      </c>
      <c r="G8" s="123"/>
      <c r="H8" s="27">
        <v>10</v>
      </c>
      <c r="I8" s="124">
        <f t="shared" si="0"/>
        <v>0.83333333333333337</v>
      </c>
      <c r="J8" s="125">
        <f t="shared" si="1"/>
        <v>0.83333333333333337</v>
      </c>
    </row>
    <row r="9" spans="1:10" ht="42.75" customHeight="1">
      <c r="A9" s="52">
        <v>5</v>
      </c>
      <c r="B9" s="122" t="s">
        <v>207</v>
      </c>
      <c r="C9" s="122"/>
      <c r="D9" s="122"/>
      <c r="E9" s="123"/>
      <c r="F9" s="123" t="s">
        <v>63</v>
      </c>
      <c r="G9" s="123"/>
      <c r="H9" s="27">
        <v>10</v>
      </c>
      <c r="I9" s="124">
        <f t="shared" si="0"/>
        <v>0.83333333333333337</v>
      </c>
      <c r="J9" s="125">
        <f t="shared" si="1"/>
        <v>0.83333333333333337</v>
      </c>
    </row>
    <row r="10" spans="1:10" ht="28.5" customHeight="1">
      <c r="A10" s="52">
        <v>6</v>
      </c>
      <c r="B10" s="122" t="s">
        <v>432</v>
      </c>
      <c r="C10" s="122"/>
      <c r="D10" s="122"/>
      <c r="E10" s="123"/>
      <c r="F10" s="123" t="s">
        <v>63</v>
      </c>
      <c r="G10" s="123"/>
      <c r="H10" s="27">
        <v>10</v>
      </c>
      <c r="I10" s="124">
        <f t="shared" si="0"/>
        <v>0.83333333333333337</v>
      </c>
      <c r="J10" s="125">
        <f t="shared" si="1"/>
        <v>0.83333333333333337</v>
      </c>
    </row>
    <row r="11" spans="1:10" ht="28.5" customHeight="1">
      <c r="A11" s="52">
        <v>7</v>
      </c>
      <c r="B11" s="122" t="s">
        <v>433</v>
      </c>
      <c r="C11" s="122"/>
      <c r="D11" s="122"/>
      <c r="E11" s="123"/>
      <c r="F11" s="123" t="s">
        <v>63</v>
      </c>
      <c r="G11" s="123"/>
      <c r="H11" s="27">
        <v>6</v>
      </c>
      <c r="I11" s="124">
        <f t="shared" si="0"/>
        <v>0.5</v>
      </c>
      <c r="J11" s="125">
        <f t="shared" si="1"/>
        <v>0.5</v>
      </c>
    </row>
    <row r="12" spans="1:10" ht="42.75" customHeight="1">
      <c r="A12" s="52">
        <v>8</v>
      </c>
      <c r="B12" s="122" t="s">
        <v>434</v>
      </c>
      <c r="C12" s="122"/>
      <c r="D12" s="122"/>
      <c r="E12" s="123" t="s">
        <v>63</v>
      </c>
      <c r="F12" s="123"/>
      <c r="G12" s="123"/>
      <c r="H12" s="27">
        <v>2</v>
      </c>
      <c r="I12" s="124">
        <f t="shared" si="0"/>
        <v>0.16666666666666666</v>
      </c>
      <c r="J12" s="125">
        <f t="shared" si="1"/>
        <v>0</v>
      </c>
    </row>
    <row r="13" spans="1:10" ht="42.75" customHeight="1">
      <c r="A13" s="52">
        <v>9</v>
      </c>
      <c r="B13" s="122" t="s">
        <v>435</v>
      </c>
      <c r="C13" s="122"/>
      <c r="D13" s="122"/>
      <c r="E13" s="123" t="s">
        <v>63</v>
      </c>
      <c r="F13" s="123"/>
      <c r="G13" s="123"/>
      <c r="H13" s="27">
        <v>10</v>
      </c>
      <c r="I13" s="124">
        <f t="shared" si="0"/>
        <v>0.83333333333333337</v>
      </c>
      <c r="J13" s="125">
        <f t="shared" si="1"/>
        <v>0</v>
      </c>
    </row>
    <row r="14" spans="1:10" ht="42.75" customHeight="1">
      <c r="A14" s="52">
        <v>10</v>
      </c>
      <c r="B14" s="122" t="s">
        <v>215</v>
      </c>
      <c r="C14" s="122"/>
      <c r="D14" s="122"/>
      <c r="E14" s="123"/>
      <c r="F14" s="123" t="s">
        <v>63</v>
      </c>
      <c r="G14" s="123"/>
      <c r="H14" s="27">
        <v>10</v>
      </c>
      <c r="I14" s="124">
        <f t="shared" si="0"/>
        <v>0.83333333333333337</v>
      </c>
      <c r="J14" s="125">
        <f t="shared" si="1"/>
        <v>0.83333333333333337</v>
      </c>
    </row>
    <row r="15" spans="1:10" ht="42.75" customHeight="1">
      <c r="A15" s="52">
        <v>11</v>
      </c>
      <c r="B15" s="122" t="s">
        <v>436</v>
      </c>
      <c r="C15" s="122"/>
      <c r="D15" s="122"/>
      <c r="E15" s="123" t="s">
        <v>63</v>
      </c>
      <c r="F15" s="123"/>
      <c r="G15" s="123"/>
      <c r="H15" s="27">
        <v>10</v>
      </c>
      <c r="I15" s="124">
        <f t="shared" si="0"/>
        <v>0.83333333333333337</v>
      </c>
      <c r="J15" s="125">
        <f t="shared" si="1"/>
        <v>0</v>
      </c>
    </row>
    <row r="16" spans="1:10" ht="42.75" customHeight="1">
      <c r="A16" s="52">
        <v>12</v>
      </c>
      <c r="B16" s="122" t="s">
        <v>437</v>
      </c>
      <c r="C16" s="122"/>
      <c r="D16" s="122"/>
      <c r="E16" s="123"/>
      <c r="F16" s="123" t="s">
        <v>63</v>
      </c>
      <c r="G16" s="123"/>
      <c r="H16" s="27">
        <v>10</v>
      </c>
      <c r="I16" s="124">
        <f t="shared" si="0"/>
        <v>0.83333333333333337</v>
      </c>
      <c r="J16" s="125">
        <f t="shared" si="1"/>
        <v>0.83333333333333337</v>
      </c>
    </row>
    <row r="17" spans="1:10" ht="42.75" customHeight="1">
      <c r="A17" s="52">
        <v>13</v>
      </c>
      <c r="B17" s="122" t="s">
        <v>438</v>
      </c>
      <c r="C17" s="122"/>
      <c r="D17" s="122"/>
      <c r="E17" s="123"/>
      <c r="F17" s="123" t="s">
        <v>63</v>
      </c>
      <c r="G17" s="123"/>
      <c r="H17" s="27">
        <v>10</v>
      </c>
      <c r="I17" s="124">
        <f t="shared" si="0"/>
        <v>0.83333333333333337</v>
      </c>
      <c r="J17" s="125">
        <f t="shared" si="1"/>
        <v>0.83333333333333337</v>
      </c>
    </row>
    <row r="18" spans="1:10" ht="42.75" customHeight="1">
      <c r="A18" s="52">
        <v>14</v>
      </c>
      <c r="B18" s="122" t="s">
        <v>439</v>
      </c>
      <c r="C18" s="122"/>
      <c r="D18" s="122"/>
      <c r="E18" s="123"/>
      <c r="F18" s="123" t="s">
        <v>63</v>
      </c>
      <c r="G18" s="123"/>
      <c r="H18" s="27">
        <v>10</v>
      </c>
      <c r="I18" s="124">
        <f t="shared" si="0"/>
        <v>0.83333333333333337</v>
      </c>
      <c r="J18" s="125">
        <f t="shared" si="1"/>
        <v>0.83333333333333337</v>
      </c>
    </row>
    <row r="19" spans="1:10">
      <c r="A19" s="112" t="s">
        <v>71</v>
      </c>
      <c r="B19" s="112"/>
      <c r="C19" s="112"/>
      <c r="D19" s="112"/>
      <c r="E19" s="112"/>
      <c r="F19" s="112"/>
      <c r="G19" s="112"/>
      <c r="H19" s="112"/>
      <c r="I19" s="37">
        <f>SUM(I5:I18)</f>
        <v>10.000000000000002</v>
      </c>
      <c r="J19" s="36">
        <f>SUM(J5:J18)</f>
        <v>8.1666666666666661</v>
      </c>
    </row>
  </sheetData>
  <mergeCells count="22">
    <mergeCell ref="B17:D17"/>
    <mergeCell ref="B18:D18"/>
    <mergeCell ref="A19:H19"/>
    <mergeCell ref="B11:D11"/>
    <mergeCell ref="B12:D12"/>
    <mergeCell ref="B13:D13"/>
    <mergeCell ref="B14:D14"/>
    <mergeCell ref="B15:D15"/>
    <mergeCell ref="B16:D16"/>
    <mergeCell ref="A1:B1"/>
    <mergeCell ref="A2:B2"/>
    <mergeCell ref="C1:J1"/>
    <mergeCell ref="C2:J2"/>
    <mergeCell ref="B10:D10"/>
    <mergeCell ref="A3:B3"/>
    <mergeCell ref="E3:J3"/>
    <mergeCell ref="B4:D4"/>
    <mergeCell ref="B5:D5"/>
    <mergeCell ref="B6:D6"/>
    <mergeCell ref="B7:D7"/>
    <mergeCell ref="B8:D8"/>
    <mergeCell ref="B9:D9"/>
  </mergeCell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37DAE-6DD0-482F-872E-E89C47FD749A}">
  <sheetPr>
    <tabColor rgb="FFC00000"/>
  </sheetPr>
  <dimension ref="A1:I15"/>
  <sheetViews>
    <sheetView workbookViewId="0">
      <pane xSplit="3" ySplit="4" topLeftCell="D5" activePane="bottomRight" state="frozen"/>
      <selection pane="bottomRight" activeCell="B8" sqref="A1:I15"/>
      <selection pane="bottomLeft" activeCell="A3" sqref="A3:J15"/>
      <selection pane="topRight" activeCell="A3" sqref="A3:J15"/>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339</v>
      </c>
      <c r="D1" s="120"/>
      <c r="E1" s="120"/>
      <c r="F1" s="120"/>
      <c r="G1" s="120"/>
      <c r="H1" s="120"/>
      <c r="I1" s="121"/>
    </row>
    <row r="2" spans="1:9" ht="15">
      <c r="A2" s="70" t="s">
        <v>0</v>
      </c>
      <c r="B2" s="70"/>
      <c r="C2" s="84" t="s">
        <v>23</v>
      </c>
      <c r="D2" s="120"/>
      <c r="E2" s="120"/>
      <c r="F2" s="120"/>
      <c r="G2" s="120"/>
      <c r="H2" s="120"/>
      <c r="I2" s="121"/>
    </row>
    <row r="3" spans="1:9" ht="15">
      <c r="A3" s="70" t="s">
        <v>218</v>
      </c>
      <c r="B3" s="70"/>
      <c r="C3" s="55" t="s">
        <v>219</v>
      </c>
      <c r="D3" s="122">
        <v>130</v>
      </c>
      <c r="E3" s="122"/>
      <c r="F3" s="122"/>
      <c r="G3" s="122"/>
      <c r="H3" s="122"/>
      <c r="I3" s="122"/>
    </row>
    <row r="4" spans="1:9" ht="60">
      <c r="A4" s="52" t="s">
        <v>55</v>
      </c>
      <c r="B4" s="70" t="s">
        <v>56</v>
      </c>
      <c r="C4" s="70"/>
      <c r="D4" s="52" t="s">
        <v>24</v>
      </c>
      <c r="E4" s="52" t="s">
        <v>57</v>
      </c>
      <c r="F4" s="52" t="s">
        <v>58</v>
      </c>
      <c r="G4" s="52" t="s">
        <v>59</v>
      </c>
      <c r="H4" s="52" t="s">
        <v>60</v>
      </c>
      <c r="I4" s="52" t="s">
        <v>61</v>
      </c>
    </row>
    <row r="5" spans="1:9" ht="47.25" customHeight="1">
      <c r="A5" s="52">
        <v>1</v>
      </c>
      <c r="B5" s="122" t="s">
        <v>220</v>
      </c>
      <c r="C5" s="122"/>
      <c r="D5" s="123"/>
      <c r="E5" s="123" t="s">
        <v>63</v>
      </c>
      <c r="F5" s="123"/>
      <c r="G5" s="123">
        <v>10</v>
      </c>
      <c r="H5" s="124">
        <f>(G5*10)/SUM($G$5:$G$14)</f>
        <v>1.7857142857142858</v>
      </c>
      <c r="I5" s="125">
        <f>IF(E5="X",((G5*10)/SUM($G$5:$G$14)),0)</f>
        <v>1.7857142857142858</v>
      </c>
    </row>
    <row r="6" spans="1:9" ht="47.25" customHeight="1">
      <c r="A6" s="52">
        <v>2</v>
      </c>
      <c r="B6" s="122" t="s">
        <v>221</v>
      </c>
      <c r="C6" s="122"/>
      <c r="D6" s="123"/>
      <c r="E6" s="123" t="s">
        <v>63</v>
      </c>
      <c r="F6" s="123"/>
      <c r="G6" s="123">
        <v>2</v>
      </c>
      <c r="H6" s="124">
        <f t="shared" ref="H6:H14" si="0">(G6*10)/SUM($G$5:$G$14)</f>
        <v>0.35714285714285715</v>
      </c>
      <c r="I6" s="125">
        <f t="shared" ref="I6:I14" si="1">IF(E6="X",((G6*10)/SUM($G$5:$G$14)),0)</f>
        <v>0.35714285714285715</v>
      </c>
    </row>
    <row r="7" spans="1:9" ht="31.5" customHeight="1">
      <c r="A7" s="52">
        <v>3</v>
      </c>
      <c r="B7" s="122" t="s">
        <v>222</v>
      </c>
      <c r="C7" s="122"/>
      <c r="D7" s="123"/>
      <c r="E7" s="123" t="s">
        <v>63</v>
      </c>
      <c r="F7" s="123"/>
      <c r="G7" s="123">
        <v>6</v>
      </c>
      <c r="H7" s="124">
        <f t="shared" si="0"/>
        <v>1.0714285714285714</v>
      </c>
      <c r="I7" s="125">
        <f t="shared" si="1"/>
        <v>1.0714285714285714</v>
      </c>
    </row>
    <row r="8" spans="1:9" ht="59.25" customHeight="1">
      <c r="A8" s="52">
        <v>4</v>
      </c>
      <c r="B8" s="122" t="s">
        <v>223</v>
      </c>
      <c r="C8" s="122"/>
      <c r="D8" s="123"/>
      <c r="E8" s="123" t="s">
        <v>63</v>
      </c>
      <c r="F8" s="123"/>
      <c r="G8" s="123">
        <v>10</v>
      </c>
      <c r="H8" s="124">
        <f t="shared" si="0"/>
        <v>1.7857142857142858</v>
      </c>
      <c r="I8" s="125">
        <f t="shared" si="1"/>
        <v>1.7857142857142858</v>
      </c>
    </row>
    <row r="9" spans="1:9" ht="43.5" customHeight="1">
      <c r="A9" s="52">
        <v>5</v>
      </c>
      <c r="B9" s="122" t="s">
        <v>224</v>
      </c>
      <c r="C9" s="122"/>
      <c r="D9" s="123" t="s">
        <v>63</v>
      </c>
      <c r="E9" s="123"/>
      <c r="F9" s="123"/>
      <c r="G9" s="123">
        <v>6</v>
      </c>
      <c r="H9" s="124">
        <f t="shared" si="0"/>
        <v>1.0714285714285714</v>
      </c>
      <c r="I9" s="125">
        <f t="shared" si="1"/>
        <v>0</v>
      </c>
    </row>
    <row r="10" spans="1:9" ht="58.5" customHeight="1">
      <c r="A10" s="52">
        <v>6</v>
      </c>
      <c r="B10" s="122" t="s">
        <v>225</v>
      </c>
      <c r="C10" s="122"/>
      <c r="D10" s="123"/>
      <c r="E10" s="123" t="s">
        <v>63</v>
      </c>
      <c r="F10" s="123"/>
      <c r="G10" s="123">
        <v>6</v>
      </c>
      <c r="H10" s="124">
        <f t="shared" si="0"/>
        <v>1.0714285714285714</v>
      </c>
      <c r="I10" s="125">
        <f t="shared" si="1"/>
        <v>1.0714285714285714</v>
      </c>
    </row>
    <row r="11" spans="1:9" ht="47.25" customHeight="1">
      <c r="A11" s="52">
        <v>7</v>
      </c>
      <c r="B11" s="122" t="s">
        <v>226</v>
      </c>
      <c r="C11" s="122"/>
      <c r="D11" s="123"/>
      <c r="E11" s="123" t="s">
        <v>63</v>
      </c>
      <c r="F11" s="123"/>
      <c r="G11" s="123">
        <v>6</v>
      </c>
      <c r="H11" s="124">
        <f t="shared" si="0"/>
        <v>1.0714285714285714</v>
      </c>
      <c r="I11" s="125">
        <f t="shared" si="1"/>
        <v>1.0714285714285714</v>
      </c>
    </row>
    <row r="12" spans="1:9" ht="47.25" customHeight="1">
      <c r="A12" s="52">
        <v>8</v>
      </c>
      <c r="B12" s="122" t="s">
        <v>227</v>
      </c>
      <c r="C12" s="122"/>
      <c r="D12" s="123"/>
      <c r="E12" s="123" t="s">
        <v>63</v>
      </c>
      <c r="F12" s="123"/>
      <c r="G12" s="123">
        <v>6</v>
      </c>
      <c r="H12" s="124">
        <f t="shared" si="0"/>
        <v>1.0714285714285714</v>
      </c>
      <c r="I12" s="125">
        <f t="shared" si="1"/>
        <v>1.0714285714285714</v>
      </c>
    </row>
    <row r="13" spans="1:9" ht="47.25" customHeight="1">
      <c r="A13" s="52">
        <v>9</v>
      </c>
      <c r="B13" s="122" t="s">
        <v>228</v>
      </c>
      <c r="C13" s="122"/>
      <c r="D13" s="123"/>
      <c r="E13" s="123" t="s">
        <v>63</v>
      </c>
      <c r="F13" s="123"/>
      <c r="G13" s="123">
        <v>2</v>
      </c>
      <c r="H13" s="124">
        <f t="shared" si="0"/>
        <v>0.35714285714285715</v>
      </c>
      <c r="I13" s="125">
        <f t="shared" si="1"/>
        <v>0.35714285714285715</v>
      </c>
    </row>
    <row r="14" spans="1:9" ht="63" customHeight="1">
      <c r="A14" s="52">
        <v>10</v>
      </c>
      <c r="B14" s="122" t="s">
        <v>229</v>
      </c>
      <c r="C14" s="122"/>
      <c r="D14" s="123"/>
      <c r="E14" s="123" t="s">
        <v>63</v>
      </c>
      <c r="F14" s="123"/>
      <c r="G14" s="123">
        <v>2</v>
      </c>
      <c r="H14" s="124">
        <f t="shared" si="0"/>
        <v>0.35714285714285715</v>
      </c>
      <c r="I14" s="125">
        <f t="shared" si="1"/>
        <v>0.35714285714285715</v>
      </c>
    </row>
    <row r="15" spans="1:9" ht="15.75" customHeight="1">
      <c r="A15" s="83" t="s">
        <v>71</v>
      </c>
      <c r="B15" s="83"/>
      <c r="C15" s="83"/>
      <c r="D15" s="83"/>
      <c r="E15" s="83"/>
      <c r="F15" s="83"/>
      <c r="G15" s="83"/>
      <c r="H15" s="28">
        <f>SUM(H5:H14)</f>
        <v>10</v>
      </c>
      <c r="I15" s="20">
        <f>SUM(I5:I14)</f>
        <v>8.9285714285714288</v>
      </c>
    </row>
  </sheetData>
  <mergeCells count="18">
    <mergeCell ref="B14:C14"/>
    <mergeCell ref="A15:G15"/>
    <mergeCell ref="B8:C8"/>
    <mergeCell ref="B9:C9"/>
    <mergeCell ref="B10:C10"/>
    <mergeCell ref="B11:C11"/>
    <mergeCell ref="B12:C12"/>
    <mergeCell ref="B13:C13"/>
    <mergeCell ref="A1:B1"/>
    <mergeCell ref="A2:B2"/>
    <mergeCell ref="C2:I2"/>
    <mergeCell ref="C1:I1"/>
    <mergeCell ref="B7:C7"/>
    <mergeCell ref="A3:B3"/>
    <mergeCell ref="D3:I3"/>
    <mergeCell ref="B4:C4"/>
    <mergeCell ref="B5:C5"/>
    <mergeCell ref="B6:C6"/>
  </mergeCell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123B4-8EB6-42C7-8562-B539A7AF02B4}">
  <sheetPr>
    <tabColor rgb="FF0070C0"/>
  </sheetPr>
  <dimension ref="A1:I13"/>
  <sheetViews>
    <sheetView workbookViewId="0">
      <pane xSplit="3" ySplit="4" topLeftCell="D5" activePane="bottomRight" state="frozen"/>
      <selection pane="bottomRight" activeCell="B6" sqref="A1:I13"/>
      <selection pane="bottomLeft" activeCell="A17" sqref="A17:A33"/>
      <selection pane="topRight" activeCell="A17" sqref="A17:A33"/>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9" width="12" style="21" customWidth="1"/>
    <col min="10" max="16384" width="11.42578125" style="21"/>
  </cols>
  <sheetData>
    <row r="1" spans="1:9" ht="15">
      <c r="A1" s="70" t="s">
        <v>51</v>
      </c>
      <c r="B1" s="70"/>
      <c r="C1" s="84" t="s">
        <v>339</v>
      </c>
      <c r="D1" s="120"/>
      <c r="E1" s="120"/>
      <c r="F1" s="120"/>
      <c r="G1" s="120"/>
      <c r="H1" s="120"/>
      <c r="I1" s="121"/>
    </row>
    <row r="2" spans="1:9" ht="15">
      <c r="A2" s="70" t="s">
        <v>0</v>
      </c>
      <c r="B2" s="70"/>
      <c r="C2" s="84" t="s">
        <v>38</v>
      </c>
      <c r="D2" s="120"/>
      <c r="E2" s="120"/>
      <c r="F2" s="120"/>
      <c r="G2" s="120"/>
      <c r="H2" s="120"/>
      <c r="I2" s="121"/>
    </row>
    <row r="3" spans="1:9" ht="15">
      <c r="A3" s="70" t="s">
        <v>53</v>
      </c>
      <c r="B3" s="70"/>
      <c r="C3" s="55" t="s">
        <v>54</v>
      </c>
      <c r="D3" s="122">
        <v>330</v>
      </c>
      <c r="E3" s="122"/>
      <c r="F3" s="122"/>
      <c r="G3" s="122"/>
      <c r="H3" s="122"/>
      <c r="I3" s="122"/>
    </row>
    <row r="4" spans="1:9" ht="60">
      <c r="A4" s="52" t="s">
        <v>55</v>
      </c>
      <c r="B4" s="70" t="s">
        <v>56</v>
      </c>
      <c r="C4" s="70"/>
      <c r="D4" s="52" t="s">
        <v>24</v>
      </c>
      <c r="E4" s="52" t="s">
        <v>57</v>
      </c>
      <c r="F4" s="52" t="s">
        <v>58</v>
      </c>
      <c r="G4" s="52" t="s">
        <v>59</v>
      </c>
      <c r="H4" s="52" t="s">
        <v>60</v>
      </c>
      <c r="I4" s="52" t="s">
        <v>61</v>
      </c>
    </row>
    <row r="5" spans="1:9" ht="46.5" customHeight="1">
      <c r="A5" s="52">
        <v>1</v>
      </c>
      <c r="B5" s="122" t="s">
        <v>62</v>
      </c>
      <c r="C5" s="122"/>
      <c r="D5" s="123"/>
      <c r="E5" s="123" t="s">
        <v>63</v>
      </c>
      <c r="F5" s="123"/>
      <c r="G5" s="123">
        <v>10</v>
      </c>
      <c r="H5" s="124">
        <f>(G5*10)/SUM($G$5:$G$12)</f>
        <v>1.5625</v>
      </c>
      <c r="I5" s="124">
        <f t="shared" ref="I5:I12" si="0">IF(E5="X",((G5*10)/SUM($G$5:$G$12)),0)</f>
        <v>1.5625</v>
      </c>
    </row>
    <row r="6" spans="1:9" ht="60" customHeight="1">
      <c r="A6" s="52">
        <v>2</v>
      </c>
      <c r="B6" s="122" t="s">
        <v>64</v>
      </c>
      <c r="C6" s="122"/>
      <c r="D6" s="123"/>
      <c r="E6" s="123" t="s">
        <v>63</v>
      </c>
      <c r="F6" s="123"/>
      <c r="G6" s="123">
        <v>6</v>
      </c>
      <c r="H6" s="124">
        <f t="shared" ref="H6:H12" si="1">(G6*10)/SUM($G$5:$G$12)</f>
        <v>0.9375</v>
      </c>
      <c r="I6" s="124">
        <f t="shared" si="0"/>
        <v>0.9375</v>
      </c>
    </row>
    <row r="7" spans="1:9" ht="47.25" customHeight="1">
      <c r="A7" s="52">
        <v>3</v>
      </c>
      <c r="B7" s="122" t="s">
        <v>65</v>
      </c>
      <c r="C7" s="122"/>
      <c r="D7" s="123"/>
      <c r="E7" s="123" t="s">
        <v>63</v>
      </c>
      <c r="F7" s="123"/>
      <c r="G7" s="123">
        <v>10</v>
      </c>
      <c r="H7" s="124">
        <f t="shared" si="1"/>
        <v>1.5625</v>
      </c>
      <c r="I7" s="124">
        <f t="shared" si="0"/>
        <v>1.5625</v>
      </c>
    </row>
    <row r="8" spans="1:9" ht="47.25" customHeight="1">
      <c r="A8" s="52">
        <v>4</v>
      </c>
      <c r="B8" s="122" t="s">
        <v>66</v>
      </c>
      <c r="C8" s="122"/>
      <c r="D8" s="123"/>
      <c r="E8" s="123" t="s">
        <v>63</v>
      </c>
      <c r="F8" s="123"/>
      <c r="G8" s="123">
        <v>2</v>
      </c>
      <c r="H8" s="124">
        <f t="shared" si="1"/>
        <v>0.3125</v>
      </c>
      <c r="I8" s="124">
        <f t="shared" si="0"/>
        <v>0.3125</v>
      </c>
    </row>
    <row r="9" spans="1:9" ht="75.75" customHeight="1">
      <c r="A9" s="52">
        <v>5</v>
      </c>
      <c r="B9" s="122" t="s">
        <v>67</v>
      </c>
      <c r="C9" s="122"/>
      <c r="D9" s="123" t="s">
        <v>63</v>
      </c>
      <c r="E9" s="123"/>
      <c r="F9" s="123"/>
      <c r="G9" s="123">
        <v>10</v>
      </c>
      <c r="H9" s="124">
        <f t="shared" si="1"/>
        <v>1.5625</v>
      </c>
      <c r="I9" s="124">
        <f t="shared" si="0"/>
        <v>0</v>
      </c>
    </row>
    <row r="10" spans="1:9" ht="46.5" customHeight="1">
      <c r="A10" s="52">
        <v>6</v>
      </c>
      <c r="B10" s="122" t="s">
        <v>68</v>
      </c>
      <c r="C10" s="122"/>
      <c r="D10" s="123"/>
      <c r="E10" s="123" t="s">
        <v>63</v>
      </c>
      <c r="F10" s="123"/>
      <c r="G10" s="123">
        <v>6</v>
      </c>
      <c r="H10" s="124">
        <f t="shared" si="1"/>
        <v>0.9375</v>
      </c>
      <c r="I10" s="124">
        <f t="shared" si="0"/>
        <v>0.9375</v>
      </c>
    </row>
    <row r="11" spans="1:9" ht="50.25" customHeight="1">
      <c r="A11" s="52">
        <v>7</v>
      </c>
      <c r="B11" s="122" t="s">
        <v>69</v>
      </c>
      <c r="C11" s="122"/>
      <c r="D11" s="123"/>
      <c r="E11" s="123" t="s">
        <v>63</v>
      </c>
      <c r="F11" s="123"/>
      <c r="G11" s="123">
        <v>10</v>
      </c>
      <c r="H11" s="124">
        <f t="shared" si="1"/>
        <v>1.5625</v>
      </c>
      <c r="I11" s="124">
        <f t="shared" si="0"/>
        <v>1.5625</v>
      </c>
    </row>
    <row r="12" spans="1:9" ht="61.5" customHeight="1">
      <c r="A12" s="52">
        <v>8</v>
      </c>
      <c r="B12" s="122" t="s">
        <v>70</v>
      </c>
      <c r="C12" s="122"/>
      <c r="D12" s="123"/>
      <c r="E12" s="123" t="s">
        <v>63</v>
      </c>
      <c r="F12" s="123"/>
      <c r="G12" s="123">
        <v>10</v>
      </c>
      <c r="H12" s="124">
        <f t="shared" si="1"/>
        <v>1.5625</v>
      </c>
      <c r="I12" s="124">
        <f t="shared" si="0"/>
        <v>1.5625</v>
      </c>
    </row>
    <row r="13" spans="1:9" ht="15.75" customHeight="1">
      <c r="A13" s="71" t="s">
        <v>71</v>
      </c>
      <c r="B13" s="72"/>
      <c r="C13" s="72"/>
      <c r="D13" s="72"/>
      <c r="E13" s="72"/>
      <c r="F13" s="72"/>
      <c r="G13" s="72"/>
      <c r="H13" s="28">
        <f>SUM(H5:H12)</f>
        <v>10</v>
      </c>
      <c r="I13" s="20">
        <f>SUM(I5:I12)</f>
        <v>8.4375</v>
      </c>
    </row>
  </sheetData>
  <mergeCells count="16">
    <mergeCell ref="A1:B1"/>
    <mergeCell ref="A2:B2"/>
    <mergeCell ref="C2:I2"/>
    <mergeCell ref="C1:I1"/>
    <mergeCell ref="A13:G13"/>
    <mergeCell ref="A3:B3"/>
    <mergeCell ref="D3:I3"/>
    <mergeCell ref="B4:C4"/>
    <mergeCell ref="B5:C5"/>
    <mergeCell ref="B6:C6"/>
    <mergeCell ref="B7:C7"/>
    <mergeCell ref="B8:C8"/>
    <mergeCell ref="B9:C9"/>
    <mergeCell ref="B10:C10"/>
    <mergeCell ref="B11:C11"/>
    <mergeCell ref="B12:C12"/>
  </mergeCells>
  <pageMargins left="0.7" right="0.7" top="0.75" bottom="0.75" header="0.3" footer="0.3"/>
  <pageSetup orientation="portrait" r:id="rId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3A0E9-61FA-43A3-8E16-EF7B797CD2C4}">
  <sheetPr>
    <tabColor rgb="FF0070C0"/>
  </sheetPr>
  <dimension ref="A1:I13"/>
  <sheetViews>
    <sheetView workbookViewId="0">
      <pane xSplit="3" ySplit="4" topLeftCell="D5" activePane="bottomRight" state="frozen"/>
      <selection pane="bottomRight" activeCell="B7" sqref="A1:I13"/>
      <selection pane="bottomLeft" activeCell="A17" sqref="A17:A33"/>
      <selection pane="topRight" activeCell="A17" sqref="A17:A33"/>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339</v>
      </c>
      <c r="D1" s="120"/>
      <c r="E1" s="120"/>
      <c r="F1" s="120"/>
      <c r="G1" s="120"/>
      <c r="H1" s="120"/>
      <c r="I1" s="121"/>
    </row>
    <row r="2" spans="1:9" ht="15">
      <c r="A2" s="70" t="s">
        <v>0</v>
      </c>
      <c r="B2" s="70"/>
      <c r="C2" s="84" t="s">
        <v>38</v>
      </c>
      <c r="D2" s="120"/>
      <c r="E2" s="120"/>
      <c r="F2" s="120"/>
      <c r="G2" s="120"/>
      <c r="H2" s="120"/>
      <c r="I2" s="121"/>
    </row>
    <row r="3" spans="1:9" ht="15">
      <c r="A3" s="70" t="s">
        <v>53</v>
      </c>
      <c r="B3" s="70"/>
      <c r="C3" s="55" t="s">
        <v>230</v>
      </c>
      <c r="D3" s="122">
        <v>340</v>
      </c>
      <c r="E3" s="122"/>
      <c r="F3" s="122"/>
      <c r="G3" s="122"/>
      <c r="H3" s="122"/>
      <c r="I3" s="122"/>
    </row>
    <row r="4" spans="1:9" ht="60">
      <c r="A4" s="52" t="s">
        <v>55</v>
      </c>
      <c r="B4" s="70" t="s">
        <v>56</v>
      </c>
      <c r="C4" s="70"/>
      <c r="D4" s="52" t="s">
        <v>24</v>
      </c>
      <c r="E4" s="52" t="s">
        <v>57</v>
      </c>
      <c r="F4" s="52" t="s">
        <v>58</v>
      </c>
      <c r="G4" s="52" t="s">
        <v>59</v>
      </c>
      <c r="H4" s="52" t="s">
        <v>60</v>
      </c>
      <c r="I4" s="52" t="s">
        <v>61</v>
      </c>
    </row>
    <row r="5" spans="1:9" ht="57.75" customHeight="1">
      <c r="A5" s="52">
        <v>1</v>
      </c>
      <c r="B5" s="122" t="s">
        <v>231</v>
      </c>
      <c r="C5" s="122"/>
      <c r="D5" s="123"/>
      <c r="E5" s="123" t="s">
        <v>63</v>
      </c>
      <c r="F5" s="123"/>
      <c r="G5" s="123">
        <v>6</v>
      </c>
      <c r="H5" s="124">
        <f>(G5*10)/SUM($G$5:$G$12)</f>
        <v>1</v>
      </c>
      <c r="I5" s="125">
        <f>IF(E5="X",((G5*10)/SUM($G$5:$G$12)),0)</f>
        <v>1</v>
      </c>
    </row>
    <row r="6" spans="1:9" ht="47.25" customHeight="1">
      <c r="A6" s="52">
        <v>2</v>
      </c>
      <c r="B6" s="122" t="s">
        <v>232</v>
      </c>
      <c r="C6" s="122"/>
      <c r="D6" s="123"/>
      <c r="E6" s="123" t="s">
        <v>63</v>
      </c>
      <c r="F6" s="123"/>
      <c r="G6" s="123">
        <v>6</v>
      </c>
      <c r="H6" s="124">
        <f t="shared" ref="H6:H12" si="0">(G6*10)/SUM($G$5:$G$12)</f>
        <v>1</v>
      </c>
      <c r="I6" s="125">
        <f t="shared" ref="I6:I12" si="1">IF(E6="X",((G6*10)/SUM($G$5:$G$12)),0)</f>
        <v>1</v>
      </c>
    </row>
    <row r="7" spans="1:9" ht="41.25" customHeight="1">
      <c r="A7" s="52">
        <v>3</v>
      </c>
      <c r="B7" s="122" t="s">
        <v>233</v>
      </c>
      <c r="C7" s="122"/>
      <c r="D7" s="123"/>
      <c r="E7" s="123" t="s">
        <v>63</v>
      </c>
      <c r="F7" s="123"/>
      <c r="G7" s="123">
        <v>2</v>
      </c>
      <c r="H7" s="124">
        <f t="shared" si="0"/>
        <v>0.33333333333333331</v>
      </c>
      <c r="I7" s="125">
        <f t="shared" si="1"/>
        <v>0.33333333333333331</v>
      </c>
    </row>
    <row r="8" spans="1:9" ht="74.25" customHeight="1">
      <c r="A8" s="52">
        <v>4</v>
      </c>
      <c r="B8" s="122" t="s">
        <v>234</v>
      </c>
      <c r="C8" s="122"/>
      <c r="D8" s="123"/>
      <c r="E8" s="123" t="s">
        <v>63</v>
      </c>
      <c r="F8" s="123"/>
      <c r="G8" s="123">
        <v>6</v>
      </c>
      <c r="H8" s="124">
        <f t="shared" si="0"/>
        <v>1</v>
      </c>
      <c r="I8" s="125">
        <f t="shared" si="1"/>
        <v>1</v>
      </c>
    </row>
    <row r="9" spans="1:9" ht="45" customHeight="1">
      <c r="A9" s="52">
        <v>5</v>
      </c>
      <c r="B9" s="122" t="s">
        <v>235</v>
      </c>
      <c r="C9" s="122"/>
      <c r="D9" s="123"/>
      <c r="E9" s="123" t="s">
        <v>63</v>
      </c>
      <c r="F9" s="123"/>
      <c r="G9" s="123">
        <v>10</v>
      </c>
      <c r="H9" s="124">
        <f t="shared" si="0"/>
        <v>1.6666666666666667</v>
      </c>
      <c r="I9" s="125">
        <f t="shared" si="1"/>
        <v>1.6666666666666667</v>
      </c>
    </row>
    <row r="10" spans="1:9" ht="47.25" customHeight="1">
      <c r="A10" s="52">
        <v>6</v>
      </c>
      <c r="B10" s="122" t="s">
        <v>236</v>
      </c>
      <c r="C10" s="122"/>
      <c r="D10" s="123"/>
      <c r="E10" s="123" t="s">
        <v>63</v>
      </c>
      <c r="F10" s="123"/>
      <c r="G10" s="123">
        <v>10</v>
      </c>
      <c r="H10" s="124">
        <f t="shared" si="0"/>
        <v>1.6666666666666667</v>
      </c>
      <c r="I10" s="125">
        <f t="shared" si="1"/>
        <v>1.6666666666666667</v>
      </c>
    </row>
    <row r="11" spans="1:9" ht="60" customHeight="1">
      <c r="A11" s="52">
        <v>7</v>
      </c>
      <c r="B11" s="122" t="s">
        <v>237</v>
      </c>
      <c r="C11" s="122"/>
      <c r="D11" s="123"/>
      <c r="E11" s="123" t="s">
        <v>63</v>
      </c>
      <c r="F11" s="123"/>
      <c r="G11" s="123">
        <v>10</v>
      </c>
      <c r="H11" s="124">
        <f t="shared" si="0"/>
        <v>1.6666666666666667</v>
      </c>
      <c r="I11" s="125">
        <f t="shared" si="1"/>
        <v>1.6666666666666667</v>
      </c>
    </row>
    <row r="12" spans="1:9" ht="63" customHeight="1">
      <c r="A12" s="52">
        <v>8</v>
      </c>
      <c r="B12" s="122" t="s">
        <v>238</v>
      </c>
      <c r="C12" s="122"/>
      <c r="D12" s="123"/>
      <c r="E12" s="123" t="s">
        <v>63</v>
      </c>
      <c r="F12" s="123"/>
      <c r="G12" s="123">
        <v>10</v>
      </c>
      <c r="H12" s="124">
        <f t="shared" si="0"/>
        <v>1.6666666666666667</v>
      </c>
      <c r="I12" s="125">
        <f t="shared" si="1"/>
        <v>1.6666666666666667</v>
      </c>
    </row>
    <row r="13" spans="1:9" ht="15.75" customHeight="1">
      <c r="A13" s="83" t="s">
        <v>71</v>
      </c>
      <c r="B13" s="83"/>
      <c r="C13" s="83"/>
      <c r="D13" s="83"/>
      <c r="E13" s="83"/>
      <c r="F13" s="83"/>
      <c r="G13" s="83"/>
      <c r="H13" s="28">
        <f>SUM(H5:H12)</f>
        <v>10</v>
      </c>
      <c r="I13" s="20">
        <f>SUM(I5:I12)</f>
        <v>10</v>
      </c>
    </row>
  </sheetData>
  <mergeCells count="16">
    <mergeCell ref="A1:B1"/>
    <mergeCell ref="A2:B2"/>
    <mergeCell ref="C2:I2"/>
    <mergeCell ref="C1:I1"/>
    <mergeCell ref="A13:G13"/>
    <mergeCell ref="A3:B3"/>
    <mergeCell ref="D3:I3"/>
    <mergeCell ref="B4:C4"/>
    <mergeCell ref="B5:C5"/>
    <mergeCell ref="B6:C6"/>
    <mergeCell ref="B7:C7"/>
    <mergeCell ref="B8:C8"/>
    <mergeCell ref="B9:C9"/>
    <mergeCell ref="B10:C10"/>
    <mergeCell ref="B11:C11"/>
    <mergeCell ref="B12:C12"/>
  </mergeCell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AAA74-B2E5-472D-A094-8F47252DF18B}">
  <sheetPr>
    <tabColor rgb="FF0070C0"/>
  </sheetPr>
  <dimension ref="A1:I12"/>
  <sheetViews>
    <sheetView workbookViewId="0">
      <pane xSplit="3" ySplit="4" topLeftCell="D5" activePane="bottomRight" state="frozen"/>
      <selection pane="bottomRight" activeCell="B6" sqref="A1:I12"/>
      <selection pane="bottomLeft" activeCell="A17" sqref="A17:A33"/>
      <selection pane="topRight" activeCell="A17" sqref="A17:A33"/>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339</v>
      </c>
      <c r="D1" s="120"/>
      <c r="E1" s="120"/>
      <c r="F1" s="120"/>
      <c r="G1" s="120"/>
      <c r="H1" s="120"/>
      <c r="I1" s="121"/>
    </row>
    <row r="2" spans="1:9" ht="15">
      <c r="A2" s="70" t="s">
        <v>0</v>
      </c>
      <c r="B2" s="70"/>
      <c r="C2" s="84" t="s">
        <v>38</v>
      </c>
      <c r="D2" s="120"/>
      <c r="E2" s="120"/>
      <c r="F2" s="120"/>
      <c r="G2" s="120"/>
      <c r="H2" s="120"/>
      <c r="I2" s="121"/>
    </row>
    <row r="3" spans="1:9" ht="15">
      <c r="A3" s="70" t="s">
        <v>72</v>
      </c>
      <c r="B3" s="70"/>
      <c r="C3" s="55" t="s">
        <v>73</v>
      </c>
      <c r="D3" s="122">
        <v>380</v>
      </c>
      <c r="E3" s="122"/>
      <c r="F3" s="122"/>
      <c r="G3" s="122"/>
      <c r="H3" s="122"/>
      <c r="I3" s="122"/>
    </row>
    <row r="4" spans="1:9" ht="60">
      <c r="A4" s="52" t="s">
        <v>55</v>
      </c>
      <c r="B4" s="70" t="s">
        <v>56</v>
      </c>
      <c r="C4" s="70"/>
      <c r="D4" s="52" t="s">
        <v>24</v>
      </c>
      <c r="E4" s="52" t="s">
        <v>57</v>
      </c>
      <c r="F4" s="52" t="s">
        <v>58</v>
      </c>
      <c r="G4" s="52" t="s">
        <v>59</v>
      </c>
      <c r="H4" s="52" t="s">
        <v>60</v>
      </c>
      <c r="I4" s="52" t="s">
        <v>61</v>
      </c>
    </row>
    <row r="5" spans="1:9" ht="63" customHeight="1">
      <c r="A5" s="52">
        <v>1</v>
      </c>
      <c r="B5" s="122" t="s">
        <v>74</v>
      </c>
      <c r="C5" s="122"/>
      <c r="D5" s="123" t="s">
        <v>63</v>
      </c>
      <c r="E5" s="123"/>
      <c r="F5" s="123"/>
      <c r="G5" s="123">
        <v>2</v>
      </c>
      <c r="H5" s="124">
        <f>(G5*10)/SUM($G$5:$G$11)</f>
        <v>0.52631578947368418</v>
      </c>
      <c r="I5" s="125">
        <f>IF(E5="X",((G5*10)/SUM($G$5:$G$11)),0)</f>
        <v>0</v>
      </c>
    </row>
    <row r="6" spans="1:9" ht="69" customHeight="1">
      <c r="A6" s="52">
        <v>2</v>
      </c>
      <c r="B6" s="122" t="s">
        <v>75</v>
      </c>
      <c r="C6" s="122"/>
      <c r="D6" s="123" t="s">
        <v>63</v>
      </c>
      <c r="E6" s="123"/>
      <c r="F6" s="123"/>
      <c r="G6" s="123">
        <v>6</v>
      </c>
      <c r="H6" s="124">
        <f t="shared" ref="H6:H11" si="0">(G6*10)/SUM($G$5:$G$11)</f>
        <v>1.5789473684210527</v>
      </c>
      <c r="I6" s="125">
        <f t="shared" ref="I6:I11" si="1">IF(E6="X",((G6*10)/SUM($G$5:$G$11)),0)</f>
        <v>0</v>
      </c>
    </row>
    <row r="7" spans="1:9" ht="31.5" customHeight="1">
      <c r="A7" s="52">
        <v>3</v>
      </c>
      <c r="B7" s="122" t="s">
        <v>76</v>
      </c>
      <c r="C7" s="122"/>
      <c r="D7" s="123"/>
      <c r="E7" s="123" t="s">
        <v>63</v>
      </c>
      <c r="F7" s="123"/>
      <c r="G7" s="123">
        <v>10</v>
      </c>
      <c r="H7" s="124">
        <f t="shared" si="0"/>
        <v>2.6315789473684212</v>
      </c>
      <c r="I7" s="125">
        <f t="shared" si="1"/>
        <v>2.6315789473684212</v>
      </c>
    </row>
    <row r="8" spans="1:9" ht="47.25" customHeight="1">
      <c r="A8" s="52">
        <v>4</v>
      </c>
      <c r="B8" s="122" t="s">
        <v>77</v>
      </c>
      <c r="C8" s="122"/>
      <c r="D8" s="123"/>
      <c r="E8" s="123" t="s">
        <v>63</v>
      </c>
      <c r="F8" s="123"/>
      <c r="G8" s="123">
        <v>10</v>
      </c>
      <c r="H8" s="124">
        <f t="shared" si="0"/>
        <v>2.6315789473684212</v>
      </c>
      <c r="I8" s="125">
        <f t="shared" si="1"/>
        <v>2.6315789473684212</v>
      </c>
    </row>
    <row r="9" spans="1:9" ht="47.25" customHeight="1">
      <c r="A9" s="52">
        <v>5</v>
      </c>
      <c r="B9" s="122" t="s">
        <v>78</v>
      </c>
      <c r="C9" s="122"/>
      <c r="D9" s="123"/>
      <c r="E9" s="123" t="s">
        <v>63</v>
      </c>
      <c r="F9" s="123"/>
      <c r="G9" s="123">
        <v>6</v>
      </c>
      <c r="H9" s="124">
        <f t="shared" si="0"/>
        <v>1.5789473684210527</v>
      </c>
      <c r="I9" s="125">
        <f t="shared" si="1"/>
        <v>1.5789473684210527</v>
      </c>
    </row>
    <row r="10" spans="1:9" ht="35.25" customHeight="1">
      <c r="A10" s="52">
        <v>6</v>
      </c>
      <c r="B10" s="122" t="s">
        <v>79</v>
      </c>
      <c r="C10" s="122"/>
      <c r="D10" s="123" t="s">
        <v>63</v>
      </c>
      <c r="E10" s="123"/>
      <c r="F10" s="123"/>
      <c r="G10" s="123">
        <v>2</v>
      </c>
      <c r="H10" s="124">
        <f t="shared" si="0"/>
        <v>0.52631578947368418</v>
      </c>
      <c r="I10" s="125">
        <f t="shared" si="1"/>
        <v>0</v>
      </c>
    </row>
    <row r="11" spans="1:9" ht="44.25" customHeight="1">
      <c r="A11" s="52">
        <v>7</v>
      </c>
      <c r="B11" s="122" t="s">
        <v>80</v>
      </c>
      <c r="C11" s="122"/>
      <c r="D11" s="123" t="s">
        <v>63</v>
      </c>
      <c r="E11" s="123"/>
      <c r="F11" s="123"/>
      <c r="G11" s="123">
        <v>2</v>
      </c>
      <c r="H11" s="124">
        <f t="shared" si="0"/>
        <v>0.52631578947368418</v>
      </c>
      <c r="I11" s="125">
        <f t="shared" si="1"/>
        <v>0</v>
      </c>
    </row>
    <row r="12" spans="1:9" ht="15.75" customHeight="1">
      <c r="A12" s="71" t="s">
        <v>71</v>
      </c>
      <c r="B12" s="72"/>
      <c r="C12" s="72"/>
      <c r="D12" s="72"/>
      <c r="E12" s="72"/>
      <c r="F12" s="72"/>
      <c r="G12" s="72"/>
      <c r="H12" s="28">
        <f>SUM(H5:H11)</f>
        <v>10.000000000000002</v>
      </c>
      <c r="I12" s="20">
        <f>SUM(I5:I11)</f>
        <v>6.8421052631578956</v>
      </c>
    </row>
  </sheetData>
  <mergeCells count="15">
    <mergeCell ref="B8:C8"/>
    <mergeCell ref="B9:C9"/>
    <mergeCell ref="B10:C10"/>
    <mergeCell ref="B11:C11"/>
    <mergeCell ref="A12:G12"/>
    <mergeCell ref="A1:B1"/>
    <mergeCell ref="A2:B2"/>
    <mergeCell ref="C2:I2"/>
    <mergeCell ref="C1:I1"/>
    <mergeCell ref="B7:C7"/>
    <mergeCell ref="A3:B3"/>
    <mergeCell ref="D3:I3"/>
    <mergeCell ref="B4:C4"/>
    <mergeCell ref="B5:C5"/>
    <mergeCell ref="B6:C6"/>
  </mergeCell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59A55-DCE5-4626-BF72-8B379F0643B5}">
  <sheetPr>
    <tabColor rgb="FF0070C0"/>
  </sheetPr>
  <dimension ref="A1:J14"/>
  <sheetViews>
    <sheetView workbookViewId="0">
      <pane xSplit="4" ySplit="4" topLeftCell="E5" activePane="bottomRight" state="frozen"/>
      <selection pane="bottomRight" activeCell="B5" sqref="A1:J14"/>
      <selection pane="bottomLeft" activeCell="A3" sqref="A3:A15"/>
      <selection pane="topRight" activeCell="A3" sqref="A3:A15"/>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339</v>
      </c>
      <c r="D1" s="74"/>
      <c r="E1" s="74"/>
      <c r="F1" s="74"/>
      <c r="G1" s="74"/>
      <c r="H1" s="74"/>
      <c r="I1" s="74"/>
      <c r="J1" s="75"/>
    </row>
    <row r="2" spans="1:10" ht="15">
      <c r="A2" s="70" t="s">
        <v>0</v>
      </c>
      <c r="B2" s="70"/>
      <c r="C2" s="73" t="s">
        <v>38</v>
      </c>
      <c r="D2" s="74"/>
      <c r="E2" s="74"/>
      <c r="F2" s="74"/>
      <c r="G2" s="74"/>
      <c r="H2" s="74"/>
      <c r="I2" s="74"/>
      <c r="J2" s="75"/>
    </row>
    <row r="3" spans="1:10" ht="45">
      <c r="A3" s="70" t="s">
        <v>81</v>
      </c>
      <c r="B3" s="70"/>
      <c r="C3" s="18" t="s">
        <v>82</v>
      </c>
      <c r="D3" s="55" t="s">
        <v>83</v>
      </c>
      <c r="E3" s="122">
        <v>570</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34.5" customHeight="1">
      <c r="A5" s="52">
        <v>1</v>
      </c>
      <c r="B5" s="122" t="s">
        <v>84</v>
      </c>
      <c r="C5" s="122"/>
      <c r="D5" s="122"/>
      <c r="E5" s="123"/>
      <c r="F5" s="123" t="s">
        <v>63</v>
      </c>
      <c r="G5" s="123"/>
      <c r="H5" s="123">
        <v>10</v>
      </c>
      <c r="I5" s="124">
        <f>(H5*10)/SUM($H$5:$H$13)</f>
        <v>1.3513513513513513</v>
      </c>
      <c r="J5" s="125">
        <f>IF(F5="X",((H5*10)/SUM($H$5:$H$13)),0)</f>
        <v>1.3513513513513513</v>
      </c>
    </row>
    <row r="6" spans="1:10" ht="21" customHeight="1">
      <c r="A6" s="52">
        <v>2</v>
      </c>
      <c r="B6" s="122" t="s">
        <v>85</v>
      </c>
      <c r="C6" s="122"/>
      <c r="D6" s="122"/>
      <c r="E6" s="123"/>
      <c r="F6" s="123" t="s">
        <v>63</v>
      </c>
      <c r="G6" s="123"/>
      <c r="H6" s="123">
        <v>10</v>
      </c>
      <c r="I6" s="124">
        <f t="shared" ref="I6:I13" si="0">(H6*10)/SUM($H$5:$H$13)</f>
        <v>1.3513513513513513</v>
      </c>
      <c r="J6" s="125">
        <f t="shared" ref="J6:J13" si="1">IF(F6="X",((H6*10)/SUM($H$5:$H$13)),0)</f>
        <v>1.3513513513513513</v>
      </c>
    </row>
    <row r="7" spans="1:10" ht="33" customHeight="1">
      <c r="A7" s="52">
        <v>3</v>
      </c>
      <c r="B7" s="122" t="s">
        <v>86</v>
      </c>
      <c r="C7" s="122"/>
      <c r="D7" s="122"/>
      <c r="E7" s="123" t="s">
        <v>63</v>
      </c>
      <c r="F7" s="123"/>
      <c r="G7" s="123"/>
      <c r="H7" s="123">
        <v>6</v>
      </c>
      <c r="I7" s="124">
        <f t="shared" si="0"/>
        <v>0.81081081081081086</v>
      </c>
      <c r="J7" s="125">
        <f t="shared" si="1"/>
        <v>0</v>
      </c>
    </row>
    <row r="8" spans="1:10" ht="60" customHeight="1">
      <c r="A8" s="52">
        <v>4</v>
      </c>
      <c r="B8" s="122" t="s">
        <v>87</v>
      </c>
      <c r="C8" s="122"/>
      <c r="D8" s="122"/>
      <c r="E8" s="123"/>
      <c r="F8" s="123" t="s">
        <v>63</v>
      </c>
      <c r="G8" s="123"/>
      <c r="H8" s="123">
        <v>10</v>
      </c>
      <c r="I8" s="124">
        <f t="shared" si="0"/>
        <v>1.3513513513513513</v>
      </c>
      <c r="J8" s="125">
        <f t="shared" si="1"/>
        <v>1.3513513513513513</v>
      </c>
    </row>
    <row r="9" spans="1:10" ht="33" customHeight="1">
      <c r="A9" s="52">
        <v>5</v>
      </c>
      <c r="B9" s="122" t="s">
        <v>88</v>
      </c>
      <c r="C9" s="122"/>
      <c r="D9" s="122"/>
      <c r="E9" s="123"/>
      <c r="F9" s="123" t="s">
        <v>63</v>
      </c>
      <c r="G9" s="123"/>
      <c r="H9" s="123">
        <v>6</v>
      </c>
      <c r="I9" s="124">
        <f t="shared" si="0"/>
        <v>0.81081081081081086</v>
      </c>
      <c r="J9" s="125">
        <f t="shared" si="1"/>
        <v>0.81081081081081086</v>
      </c>
    </row>
    <row r="10" spans="1:10" ht="34.5" customHeight="1">
      <c r="A10" s="52">
        <v>6</v>
      </c>
      <c r="B10" s="122" t="s">
        <v>89</v>
      </c>
      <c r="C10" s="122"/>
      <c r="D10" s="122"/>
      <c r="E10" s="123"/>
      <c r="F10" s="123" t="s">
        <v>63</v>
      </c>
      <c r="G10" s="123"/>
      <c r="H10" s="123">
        <v>6</v>
      </c>
      <c r="I10" s="124">
        <f t="shared" si="0"/>
        <v>0.81081081081081086</v>
      </c>
      <c r="J10" s="125">
        <f t="shared" si="1"/>
        <v>0.81081081081081086</v>
      </c>
    </row>
    <row r="11" spans="1:10" ht="74.25" customHeight="1">
      <c r="A11" s="52">
        <v>7</v>
      </c>
      <c r="B11" s="122" t="s">
        <v>90</v>
      </c>
      <c r="C11" s="122"/>
      <c r="D11" s="122"/>
      <c r="E11" s="123" t="s">
        <v>63</v>
      </c>
      <c r="F11" s="123"/>
      <c r="G11" s="123"/>
      <c r="H11" s="123">
        <v>10</v>
      </c>
      <c r="I11" s="124">
        <f t="shared" si="0"/>
        <v>1.3513513513513513</v>
      </c>
      <c r="J11" s="125">
        <f>IF(F11="X",((H11*10)/SUM($H$5:$H$13)),0)</f>
        <v>0</v>
      </c>
    </row>
    <row r="12" spans="1:10" ht="32.25" customHeight="1">
      <c r="A12" s="52">
        <v>8</v>
      </c>
      <c r="B12" s="122" t="s">
        <v>91</v>
      </c>
      <c r="C12" s="122"/>
      <c r="D12" s="122"/>
      <c r="E12" s="123"/>
      <c r="F12" s="123" t="s">
        <v>63</v>
      </c>
      <c r="G12" s="123"/>
      <c r="H12" s="123">
        <v>10</v>
      </c>
      <c r="I12" s="124">
        <f t="shared" si="0"/>
        <v>1.3513513513513513</v>
      </c>
      <c r="J12" s="125">
        <f t="shared" si="1"/>
        <v>1.3513513513513513</v>
      </c>
    </row>
    <row r="13" spans="1:10" ht="51" customHeight="1">
      <c r="A13" s="52">
        <v>9</v>
      </c>
      <c r="B13" s="122" t="s">
        <v>92</v>
      </c>
      <c r="C13" s="122"/>
      <c r="D13" s="122"/>
      <c r="E13" s="123" t="s">
        <v>63</v>
      </c>
      <c r="F13" s="123"/>
      <c r="G13" s="123"/>
      <c r="H13" s="123">
        <v>6</v>
      </c>
      <c r="I13" s="124">
        <f t="shared" si="0"/>
        <v>0.81081081081081086</v>
      </c>
      <c r="J13" s="125">
        <f t="shared" si="1"/>
        <v>0</v>
      </c>
    </row>
    <row r="14" spans="1:10" ht="15" customHeight="1">
      <c r="A14" s="71" t="s">
        <v>71</v>
      </c>
      <c r="B14" s="72"/>
      <c r="C14" s="72"/>
      <c r="D14" s="72"/>
      <c r="E14" s="72"/>
      <c r="F14" s="72"/>
      <c r="G14" s="72"/>
      <c r="H14" s="72"/>
      <c r="I14" s="28">
        <f>SUM(I5:I13)</f>
        <v>9.9999999999999982</v>
      </c>
      <c r="J14" s="19">
        <f>SUM(J5:J13)</f>
        <v>7.0270270270270263</v>
      </c>
    </row>
  </sheetData>
  <mergeCells count="17">
    <mergeCell ref="A14:H14"/>
    <mergeCell ref="B8:D8"/>
    <mergeCell ref="B9:D9"/>
    <mergeCell ref="B10:D10"/>
    <mergeCell ref="B11:D11"/>
    <mergeCell ref="B12:D12"/>
    <mergeCell ref="B13:D13"/>
    <mergeCell ref="A1:B1"/>
    <mergeCell ref="A2:B2"/>
    <mergeCell ref="C1:J1"/>
    <mergeCell ref="C2:J2"/>
    <mergeCell ref="B7:D7"/>
    <mergeCell ref="A3:B3"/>
    <mergeCell ref="E3:J3"/>
    <mergeCell ref="B4:D4"/>
    <mergeCell ref="B5:D5"/>
    <mergeCell ref="B6:D6"/>
  </mergeCell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2BD6B-C2AC-4971-9EFC-AAEFCDBA2B8A}">
  <sheetPr>
    <tabColor rgb="FF0070C0"/>
  </sheetPr>
  <dimension ref="A1:J14"/>
  <sheetViews>
    <sheetView workbookViewId="0">
      <pane xSplit="4" ySplit="4" topLeftCell="E5" activePane="bottomRight" state="frozen"/>
      <selection pane="bottomRight" activeCell="B6" sqref="A1:J14"/>
      <selection pane="bottomLeft" activeCell="C3" sqref="C3"/>
      <selection pane="topRight" activeCell="C3" sqref="C3"/>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38</v>
      </c>
      <c r="D2" s="74"/>
      <c r="E2" s="74"/>
      <c r="F2" s="74"/>
      <c r="G2" s="74"/>
      <c r="H2" s="74"/>
      <c r="I2" s="74"/>
      <c r="J2" s="75"/>
    </row>
    <row r="3" spans="1:10" ht="45">
      <c r="A3" s="70" t="s">
        <v>81</v>
      </c>
      <c r="B3" s="70"/>
      <c r="C3" s="18" t="s">
        <v>93</v>
      </c>
      <c r="D3" s="55" t="s">
        <v>239</v>
      </c>
      <c r="E3" s="122" t="s">
        <v>440</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2.75" customHeight="1">
      <c r="A5" s="52">
        <v>1</v>
      </c>
      <c r="B5" s="122" t="s">
        <v>441</v>
      </c>
      <c r="C5" s="122"/>
      <c r="D5" s="122"/>
      <c r="E5" s="123"/>
      <c r="F5" s="123" t="s">
        <v>63</v>
      </c>
      <c r="G5" s="123"/>
      <c r="H5" s="27">
        <v>10</v>
      </c>
      <c r="I5" s="124">
        <f>IF(H5="","",((H5*10)/SUM($H$5:$H$13)))</f>
        <v>1.6129032258064515</v>
      </c>
      <c r="J5" s="125">
        <f>IF(F5="X",((H5*10)/SUM($H$5:$H$13)),0)</f>
        <v>1.6129032258064515</v>
      </c>
    </row>
    <row r="6" spans="1:10" ht="42.75" customHeight="1">
      <c r="A6" s="52">
        <v>2</v>
      </c>
      <c r="B6" s="122" t="s">
        <v>442</v>
      </c>
      <c r="C6" s="122"/>
      <c r="D6" s="122"/>
      <c r="E6" s="123"/>
      <c r="F6" s="123" t="s">
        <v>63</v>
      </c>
      <c r="G6" s="123"/>
      <c r="H6" s="27">
        <v>10</v>
      </c>
      <c r="I6" s="124">
        <f t="shared" ref="I6:I13" si="0">IF(H6="","",((H6*10)/SUM($H$5:$H$13)))</f>
        <v>1.6129032258064515</v>
      </c>
      <c r="J6" s="125">
        <f t="shared" ref="J6:J13" si="1">IF(F6="X",((H6*10)/SUM($H$5:$H$13)),0)</f>
        <v>1.6129032258064515</v>
      </c>
    </row>
    <row r="7" spans="1:10" ht="28.5" customHeight="1">
      <c r="A7" s="52">
        <v>3</v>
      </c>
      <c r="B7" s="122" t="s">
        <v>272</v>
      </c>
      <c r="C7" s="122"/>
      <c r="D7" s="122"/>
      <c r="E7" s="123" t="s">
        <v>63</v>
      </c>
      <c r="F7" s="123"/>
      <c r="G7" s="123"/>
      <c r="H7" s="27">
        <v>10</v>
      </c>
      <c r="I7" s="124">
        <f t="shared" si="0"/>
        <v>1.6129032258064515</v>
      </c>
      <c r="J7" s="125">
        <f t="shared" si="1"/>
        <v>0</v>
      </c>
    </row>
    <row r="8" spans="1:10" ht="42.75" customHeight="1">
      <c r="A8" s="52">
        <v>4</v>
      </c>
      <c r="B8" s="122" t="s">
        <v>443</v>
      </c>
      <c r="C8" s="122"/>
      <c r="D8" s="122"/>
      <c r="E8" s="123"/>
      <c r="F8" s="123" t="s">
        <v>63</v>
      </c>
      <c r="G8" s="123"/>
      <c r="H8" s="27">
        <v>6</v>
      </c>
      <c r="I8" s="124">
        <f t="shared" si="0"/>
        <v>0.967741935483871</v>
      </c>
      <c r="J8" s="125">
        <f t="shared" si="1"/>
        <v>0.967741935483871</v>
      </c>
    </row>
    <row r="9" spans="1:10" ht="28.5" customHeight="1">
      <c r="A9" s="52">
        <v>5</v>
      </c>
      <c r="B9" s="122" t="s">
        <v>444</v>
      </c>
      <c r="C9" s="122"/>
      <c r="D9" s="122"/>
      <c r="E9" s="123"/>
      <c r="F9" s="123" t="s">
        <v>63</v>
      </c>
      <c r="G9" s="123"/>
      <c r="H9" s="27">
        <v>6</v>
      </c>
      <c r="I9" s="124">
        <f t="shared" si="0"/>
        <v>0.967741935483871</v>
      </c>
      <c r="J9" s="125">
        <f t="shared" si="1"/>
        <v>0.967741935483871</v>
      </c>
    </row>
    <row r="10" spans="1:10" ht="42.75" customHeight="1">
      <c r="A10" s="52">
        <v>6</v>
      </c>
      <c r="B10" s="122" t="s">
        <v>445</v>
      </c>
      <c r="C10" s="122"/>
      <c r="D10" s="122"/>
      <c r="E10" s="123"/>
      <c r="F10" s="123" t="s">
        <v>63</v>
      </c>
      <c r="G10" s="123"/>
      <c r="H10" s="27">
        <v>6</v>
      </c>
      <c r="I10" s="124">
        <f t="shared" si="0"/>
        <v>0.967741935483871</v>
      </c>
      <c r="J10" s="125">
        <f t="shared" si="1"/>
        <v>0.967741935483871</v>
      </c>
    </row>
    <row r="11" spans="1:10" ht="28.5" customHeight="1">
      <c r="A11" s="52">
        <v>7</v>
      </c>
      <c r="B11" s="122" t="s">
        <v>446</v>
      </c>
      <c r="C11" s="122"/>
      <c r="D11" s="122"/>
      <c r="E11" s="123"/>
      <c r="F11" s="123" t="s">
        <v>63</v>
      </c>
      <c r="G11" s="123"/>
      <c r="H11" s="27">
        <v>2</v>
      </c>
      <c r="I11" s="124">
        <f t="shared" si="0"/>
        <v>0.32258064516129031</v>
      </c>
      <c r="J11" s="125">
        <f t="shared" si="1"/>
        <v>0.32258064516129031</v>
      </c>
    </row>
    <row r="12" spans="1:10" ht="28.5" customHeight="1">
      <c r="A12" s="52">
        <v>8</v>
      </c>
      <c r="B12" s="122" t="s">
        <v>447</v>
      </c>
      <c r="C12" s="122"/>
      <c r="D12" s="122"/>
      <c r="E12" s="123"/>
      <c r="F12" s="123" t="s">
        <v>63</v>
      </c>
      <c r="G12" s="123"/>
      <c r="H12" s="27">
        <v>6</v>
      </c>
      <c r="I12" s="124">
        <f t="shared" si="0"/>
        <v>0.967741935483871</v>
      </c>
      <c r="J12" s="125">
        <f t="shared" si="1"/>
        <v>0.967741935483871</v>
      </c>
    </row>
    <row r="13" spans="1:10" ht="57" customHeight="1">
      <c r="A13" s="52">
        <v>9</v>
      </c>
      <c r="B13" s="122" t="s">
        <v>448</v>
      </c>
      <c r="C13" s="122"/>
      <c r="D13" s="122"/>
      <c r="E13" s="123" t="s">
        <v>63</v>
      </c>
      <c r="F13" s="123"/>
      <c r="G13" s="123"/>
      <c r="H13" s="27">
        <v>6</v>
      </c>
      <c r="I13" s="124">
        <f t="shared" si="0"/>
        <v>0.967741935483871</v>
      </c>
      <c r="J13" s="125">
        <f t="shared" si="1"/>
        <v>0</v>
      </c>
    </row>
    <row r="14" spans="1:10">
      <c r="A14" s="112" t="s">
        <v>71</v>
      </c>
      <c r="B14" s="112"/>
      <c r="C14" s="112"/>
      <c r="D14" s="112"/>
      <c r="E14" s="112"/>
      <c r="F14" s="112"/>
      <c r="G14" s="112"/>
      <c r="H14" s="112"/>
      <c r="I14" s="37">
        <f>SUM(I5:I13)</f>
        <v>10</v>
      </c>
      <c r="J14" s="36">
        <f>SUM(J5:J13)</f>
        <v>7.419354838709677</v>
      </c>
    </row>
  </sheetData>
  <mergeCells count="17">
    <mergeCell ref="B4:D4"/>
    <mergeCell ref="B11:D11"/>
    <mergeCell ref="B12:D12"/>
    <mergeCell ref="B13:D13"/>
    <mergeCell ref="A14:H14"/>
    <mergeCell ref="B5:D5"/>
    <mergeCell ref="B6:D6"/>
    <mergeCell ref="B7:D7"/>
    <mergeCell ref="B8:D8"/>
    <mergeCell ref="B9:D9"/>
    <mergeCell ref="B10:D10"/>
    <mergeCell ref="A1:B1"/>
    <mergeCell ref="A2:B2"/>
    <mergeCell ref="C1:J1"/>
    <mergeCell ref="C2:J2"/>
    <mergeCell ref="A3:B3"/>
    <mergeCell ref="E3:J3"/>
  </mergeCell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6C332-469C-4658-BFA7-289218B0D36B}">
  <sheetPr>
    <tabColor rgb="FF0070C0"/>
  </sheetPr>
  <dimension ref="A1:J15"/>
  <sheetViews>
    <sheetView workbookViewId="0">
      <pane xSplit="4" ySplit="4" topLeftCell="E5" activePane="bottomRight" state="frozen"/>
      <selection pane="bottomRight" activeCell="B9" sqref="A1:J15"/>
      <selection pane="bottomLeft" activeCell="C3" sqref="C3"/>
      <selection pane="topRight" activeCell="C3" sqref="C3"/>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38</v>
      </c>
      <c r="D2" s="74"/>
      <c r="E2" s="74"/>
      <c r="F2" s="74"/>
      <c r="G2" s="74"/>
      <c r="H2" s="74"/>
      <c r="I2" s="74"/>
      <c r="J2" s="75"/>
    </row>
    <row r="3" spans="1:10" ht="45">
      <c r="A3" s="70" t="s">
        <v>81</v>
      </c>
      <c r="B3" s="70"/>
      <c r="C3" s="18" t="s">
        <v>93</v>
      </c>
      <c r="D3" s="55" t="s">
        <v>94</v>
      </c>
      <c r="E3" s="122" t="s">
        <v>340</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28.5" customHeight="1">
      <c r="A5" s="52">
        <v>1</v>
      </c>
      <c r="B5" s="122" t="s">
        <v>341</v>
      </c>
      <c r="C5" s="122"/>
      <c r="D5" s="122"/>
      <c r="E5" s="123"/>
      <c r="F5" s="123" t="s">
        <v>63</v>
      </c>
      <c r="G5" s="55"/>
      <c r="H5" s="123">
        <v>10</v>
      </c>
      <c r="I5" s="124">
        <f>IF(H5="","",((H5*10)/SUM($H$5:$H$14)))</f>
        <v>1.5625</v>
      </c>
      <c r="J5" s="125">
        <f>IF(F5="X",((H5*10)/SUM($H$5:$H$14)),0)</f>
        <v>1.5625</v>
      </c>
    </row>
    <row r="6" spans="1:10" ht="42.75" customHeight="1">
      <c r="A6" s="52">
        <v>2</v>
      </c>
      <c r="B6" s="122" t="s">
        <v>342</v>
      </c>
      <c r="C6" s="122"/>
      <c r="D6" s="122"/>
      <c r="E6" s="123"/>
      <c r="F6" s="123" t="s">
        <v>63</v>
      </c>
      <c r="G6" s="55"/>
      <c r="H6" s="123">
        <v>10</v>
      </c>
      <c r="I6" s="124">
        <f t="shared" ref="I6:I14" si="0">IF(H6="","",((H6*10)/SUM($H$5:$H$14)))</f>
        <v>1.5625</v>
      </c>
      <c r="J6" s="125">
        <f t="shared" ref="J6:J14" si="1">IF(F6="X",((H6*10)/SUM($H$5:$H$14)),0)</f>
        <v>1.5625</v>
      </c>
    </row>
    <row r="7" spans="1:10" ht="28.5" customHeight="1">
      <c r="A7" s="52">
        <v>3</v>
      </c>
      <c r="B7" s="122" t="s">
        <v>272</v>
      </c>
      <c r="C7" s="122"/>
      <c r="D7" s="122"/>
      <c r="E7" s="123" t="s">
        <v>63</v>
      </c>
      <c r="F7" s="123"/>
      <c r="G7" s="55"/>
      <c r="H7" s="123">
        <v>10</v>
      </c>
      <c r="I7" s="124">
        <f t="shared" si="0"/>
        <v>1.5625</v>
      </c>
      <c r="J7" s="125">
        <f t="shared" si="1"/>
        <v>0</v>
      </c>
    </row>
    <row r="8" spans="1:10" ht="28.5" customHeight="1">
      <c r="A8" s="52">
        <v>4</v>
      </c>
      <c r="B8" s="122" t="s">
        <v>343</v>
      </c>
      <c r="C8" s="122"/>
      <c r="D8" s="122"/>
      <c r="E8" s="123" t="s">
        <v>63</v>
      </c>
      <c r="F8" s="123"/>
      <c r="G8" s="55"/>
      <c r="H8" s="123">
        <v>6</v>
      </c>
      <c r="I8" s="124">
        <f t="shared" si="0"/>
        <v>0.9375</v>
      </c>
      <c r="J8" s="125">
        <f t="shared" si="1"/>
        <v>0</v>
      </c>
    </row>
    <row r="9" spans="1:10" ht="42.75" customHeight="1">
      <c r="A9" s="52">
        <v>5</v>
      </c>
      <c r="B9" s="122" t="s">
        <v>344</v>
      </c>
      <c r="C9" s="122"/>
      <c r="D9" s="122"/>
      <c r="E9" s="123"/>
      <c r="F9" s="123" t="s">
        <v>63</v>
      </c>
      <c r="G9" s="55"/>
      <c r="H9" s="123">
        <v>10</v>
      </c>
      <c r="I9" s="124">
        <f t="shared" si="0"/>
        <v>1.5625</v>
      </c>
      <c r="J9" s="125">
        <f t="shared" si="1"/>
        <v>1.5625</v>
      </c>
    </row>
    <row r="10" spans="1:10" ht="42.75" customHeight="1">
      <c r="A10" s="52">
        <v>6</v>
      </c>
      <c r="B10" s="122" t="s">
        <v>345</v>
      </c>
      <c r="C10" s="122"/>
      <c r="D10" s="122"/>
      <c r="E10" s="123"/>
      <c r="F10" s="123" t="s">
        <v>63</v>
      </c>
      <c r="G10" s="55"/>
      <c r="H10" s="123">
        <v>6</v>
      </c>
      <c r="I10" s="124">
        <f t="shared" si="0"/>
        <v>0.9375</v>
      </c>
      <c r="J10" s="125">
        <f t="shared" si="1"/>
        <v>0.9375</v>
      </c>
    </row>
    <row r="11" spans="1:10" ht="57" customHeight="1">
      <c r="A11" s="52">
        <v>7</v>
      </c>
      <c r="B11" s="122" t="s">
        <v>346</v>
      </c>
      <c r="C11" s="122"/>
      <c r="D11" s="122"/>
      <c r="E11" s="123"/>
      <c r="F11" s="123" t="s">
        <v>63</v>
      </c>
      <c r="G11" s="55"/>
      <c r="H11" s="123">
        <v>6</v>
      </c>
      <c r="I11" s="124">
        <f t="shared" si="0"/>
        <v>0.9375</v>
      </c>
      <c r="J11" s="125">
        <f t="shared" si="1"/>
        <v>0.9375</v>
      </c>
    </row>
    <row r="12" spans="1:10" ht="42.75" customHeight="1">
      <c r="A12" s="52">
        <v>8</v>
      </c>
      <c r="B12" s="122" t="s">
        <v>347</v>
      </c>
      <c r="C12" s="122"/>
      <c r="D12" s="122"/>
      <c r="E12" s="123"/>
      <c r="F12" s="123" t="s">
        <v>63</v>
      </c>
      <c r="G12" s="55"/>
      <c r="H12" s="123">
        <v>2</v>
      </c>
      <c r="I12" s="124">
        <f t="shared" si="0"/>
        <v>0.3125</v>
      </c>
      <c r="J12" s="125">
        <f t="shared" si="1"/>
        <v>0.3125</v>
      </c>
    </row>
    <row r="13" spans="1:10" ht="27" customHeight="1">
      <c r="A13" s="52">
        <v>9</v>
      </c>
      <c r="B13" s="122" t="s">
        <v>348</v>
      </c>
      <c r="C13" s="122"/>
      <c r="D13" s="122"/>
      <c r="E13" s="123"/>
      <c r="F13" s="123" t="s">
        <v>63</v>
      </c>
      <c r="G13" s="55"/>
      <c r="H13" s="123">
        <v>2</v>
      </c>
      <c r="I13" s="124">
        <f t="shared" si="0"/>
        <v>0.3125</v>
      </c>
      <c r="J13" s="125">
        <f t="shared" si="1"/>
        <v>0.3125</v>
      </c>
    </row>
    <row r="14" spans="1:10" ht="28.5" customHeight="1">
      <c r="A14" s="52">
        <v>10</v>
      </c>
      <c r="B14" s="122" t="s">
        <v>349</v>
      </c>
      <c r="C14" s="122"/>
      <c r="D14" s="122"/>
      <c r="E14" s="123"/>
      <c r="F14" s="123" t="s">
        <v>63</v>
      </c>
      <c r="G14" s="55"/>
      <c r="H14" s="123">
        <v>2</v>
      </c>
      <c r="I14" s="124">
        <f t="shared" si="0"/>
        <v>0.3125</v>
      </c>
      <c r="J14" s="125">
        <f t="shared" si="1"/>
        <v>0.3125</v>
      </c>
    </row>
    <row r="15" spans="1:10">
      <c r="A15" s="112" t="s">
        <v>71</v>
      </c>
      <c r="B15" s="112"/>
      <c r="C15" s="112"/>
      <c r="D15" s="112"/>
      <c r="E15" s="112"/>
      <c r="F15" s="112"/>
      <c r="G15" s="112"/>
      <c r="H15" s="112"/>
      <c r="I15" s="37">
        <f>SUM(I5:I14)</f>
        <v>10</v>
      </c>
      <c r="J15" s="36">
        <f>SUM(J5:J14)</f>
        <v>7.5</v>
      </c>
    </row>
  </sheetData>
  <mergeCells count="18">
    <mergeCell ref="B14:D14"/>
    <mergeCell ref="A15:H15"/>
    <mergeCell ref="B8:D8"/>
    <mergeCell ref="B9:D9"/>
    <mergeCell ref="B10:D10"/>
    <mergeCell ref="B11:D11"/>
    <mergeCell ref="B12:D12"/>
    <mergeCell ref="B13:D13"/>
    <mergeCell ref="A1:B1"/>
    <mergeCell ref="A2:B2"/>
    <mergeCell ref="C1:J1"/>
    <mergeCell ref="C2:J2"/>
    <mergeCell ref="B7:D7"/>
    <mergeCell ref="A3:B3"/>
    <mergeCell ref="E3:J3"/>
    <mergeCell ref="B4:D4"/>
    <mergeCell ref="B5:D5"/>
    <mergeCell ref="B6:D6"/>
  </mergeCells>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82BB3-F703-44D0-88CE-FBC331BE0E07}">
  <sheetPr>
    <tabColor rgb="FF0070C0"/>
  </sheetPr>
  <dimension ref="A1:J14"/>
  <sheetViews>
    <sheetView workbookViewId="0">
      <pane xSplit="4" ySplit="4" topLeftCell="E5" activePane="bottomRight" state="frozen"/>
      <selection pane="bottomRight" activeCell="B7" sqref="A1:J14"/>
      <selection pane="bottomLeft" activeCell="C3" sqref="C3"/>
      <selection pane="topRight" activeCell="C3" sqref="C3"/>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38</v>
      </c>
      <c r="D2" s="74"/>
      <c r="E2" s="74"/>
      <c r="F2" s="74"/>
      <c r="G2" s="74"/>
      <c r="H2" s="74"/>
      <c r="I2" s="74"/>
      <c r="J2" s="75"/>
    </row>
    <row r="3" spans="1:10" ht="45">
      <c r="A3" s="70" t="s">
        <v>81</v>
      </c>
      <c r="B3" s="70"/>
      <c r="C3" s="18" t="s">
        <v>93</v>
      </c>
      <c r="D3" s="55" t="s">
        <v>256</v>
      </c>
      <c r="E3" s="122" t="s">
        <v>449</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28.5" customHeight="1">
      <c r="A5" s="52">
        <v>1</v>
      </c>
      <c r="B5" s="122" t="s">
        <v>272</v>
      </c>
      <c r="C5" s="122"/>
      <c r="D5" s="122"/>
      <c r="E5" s="123" t="s">
        <v>63</v>
      </c>
      <c r="F5" s="123"/>
      <c r="G5" s="123"/>
      <c r="H5" s="123">
        <v>10</v>
      </c>
      <c r="I5" s="124">
        <f>IF(H5="","",((H5*10)/SUM($H$5:$H$13)))</f>
        <v>1.3513513513513513</v>
      </c>
      <c r="J5" s="125">
        <f>IF(F5="X",((H5*10)/SUM($H$5:$H$13)),0)</f>
        <v>0</v>
      </c>
    </row>
    <row r="6" spans="1:10" ht="57" customHeight="1">
      <c r="A6" s="52">
        <v>2</v>
      </c>
      <c r="B6" s="122" t="s">
        <v>450</v>
      </c>
      <c r="C6" s="122"/>
      <c r="D6" s="122"/>
      <c r="E6" s="123"/>
      <c r="F6" s="123" t="s">
        <v>63</v>
      </c>
      <c r="G6" s="123"/>
      <c r="H6" s="123">
        <v>6</v>
      </c>
      <c r="I6" s="124">
        <f t="shared" ref="I6:I13" si="0">IF(H6="","",((H6*10)/SUM($H$5:$H$13)))</f>
        <v>0.81081081081081086</v>
      </c>
      <c r="J6" s="125">
        <f t="shared" ref="J6:J13" si="1">IF(F6="X",((H6*10)/SUM($H$5:$H$13)),0)</f>
        <v>0.81081081081081086</v>
      </c>
    </row>
    <row r="7" spans="1:10" ht="57" customHeight="1">
      <c r="A7" s="52">
        <v>3</v>
      </c>
      <c r="B7" s="122" t="s">
        <v>451</v>
      </c>
      <c r="C7" s="122"/>
      <c r="D7" s="122"/>
      <c r="E7" s="123"/>
      <c r="F7" s="123" t="s">
        <v>63</v>
      </c>
      <c r="G7" s="123"/>
      <c r="H7" s="123">
        <v>10</v>
      </c>
      <c r="I7" s="124">
        <f t="shared" si="0"/>
        <v>1.3513513513513513</v>
      </c>
      <c r="J7" s="125">
        <f t="shared" si="1"/>
        <v>1.3513513513513513</v>
      </c>
    </row>
    <row r="8" spans="1:10" ht="42.75" customHeight="1">
      <c r="A8" s="52">
        <v>4</v>
      </c>
      <c r="B8" s="122" t="s">
        <v>452</v>
      </c>
      <c r="C8" s="122"/>
      <c r="D8" s="122"/>
      <c r="E8" s="123"/>
      <c r="F8" s="123" t="s">
        <v>63</v>
      </c>
      <c r="G8" s="123"/>
      <c r="H8" s="123">
        <v>10</v>
      </c>
      <c r="I8" s="124">
        <f t="shared" si="0"/>
        <v>1.3513513513513513</v>
      </c>
      <c r="J8" s="125">
        <f t="shared" si="1"/>
        <v>1.3513513513513513</v>
      </c>
    </row>
    <row r="9" spans="1:10" ht="57" customHeight="1">
      <c r="A9" s="52">
        <v>5</v>
      </c>
      <c r="B9" s="122" t="s">
        <v>389</v>
      </c>
      <c r="C9" s="122"/>
      <c r="D9" s="122"/>
      <c r="E9" s="123"/>
      <c r="F9" s="123" t="s">
        <v>63</v>
      </c>
      <c r="G9" s="123"/>
      <c r="H9" s="123">
        <v>10</v>
      </c>
      <c r="I9" s="124">
        <f t="shared" si="0"/>
        <v>1.3513513513513513</v>
      </c>
      <c r="J9" s="125">
        <f t="shared" si="1"/>
        <v>1.3513513513513513</v>
      </c>
    </row>
    <row r="10" spans="1:10" ht="42.75" customHeight="1">
      <c r="A10" s="52">
        <v>6</v>
      </c>
      <c r="B10" s="122" t="s">
        <v>453</v>
      </c>
      <c r="C10" s="122"/>
      <c r="D10" s="122"/>
      <c r="E10" s="123" t="s">
        <v>63</v>
      </c>
      <c r="F10" s="123"/>
      <c r="G10" s="123"/>
      <c r="H10" s="123">
        <v>10</v>
      </c>
      <c r="I10" s="124">
        <f t="shared" si="0"/>
        <v>1.3513513513513513</v>
      </c>
      <c r="J10" s="125">
        <f t="shared" si="1"/>
        <v>0</v>
      </c>
    </row>
    <row r="11" spans="1:10" ht="57" customHeight="1">
      <c r="A11" s="52">
        <v>7</v>
      </c>
      <c r="B11" s="122" t="s">
        <v>454</v>
      </c>
      <c r="C11" s="122"/>
      <c r="D11" s="122"/>
      <c r="E11" s="123"/>
      <c r="F11" s="123" t="s">
        <v>63</v>
      </c>
      <c r="G11" s="123"/>
      <c r="H11" s="123">
        <v>6</v>
      </c>
      <c r="I11" s="124">
        <f t="shared" si="0"/>
        <v>0.81081081081081086</v>
      </c>
      <c r="J11" s="125">
        <f t="shared" si="1"/>
        <v>0.81081081081081086</v>
      </c>
    </row>
    <row r="12" spans="1:10" ht="57" customHeight="1">
      <c r="A12" s="52">
        <v>8</v>
      </c>
      <c r="B12" s="122" t="s">
        <v>394</v>
      </c>
      <c r="C12" s="122"/>
      <c r="D12" s="122"/>
      <c r="E12" s="123" t="s">
        <v>63</v>
      </c>
      <c r="F12" s="123"/>
      <c r="G12" s="123"/>
      <c r="H12" s="123">
        <v>6</v>
      </c>
      <c r="I12" s="124">
        <f t="shared" si="0"/>
        <v>0.81081081081081086</v>
      </c>
      <c r="J12" s="125">
        <f t="shared" si="1"/>
        <v>0</v>
      </c>
    </row>
    <row r="13" spans="1:10" ht="57" customHeight="1">
      <c r="A13" s="52">
        <v>9</v>
      </c>
      <c r="B13" s="122" t="s">
        <v>455</v>
      </c>
      <c r="C13" s="122"/>
      <c r="D13" s="122"/>
      <c r="E13" s="123"/>
      <c r="F13" s="123" t="s">
        <v>63</v>
      </c>
      <c r="G13" s="123"/>
      <c r="H13" s="123">
        <v>6</v>
      </c>
      <c r="I13" s="124">
        <f t="shared" si="0"/>
        <v>0.81081081081081086</v>
      </c>
      <c r="J13" s="125">
        <f t="shared" si="1"/>
        <v>0.81081081081081086</v>
      </c>
    </row>
    <row r="14" spans="1:10">
      <c r="A14" s="112" t="s">
        <v>71</v>
      </c>
      <c r="B14" s="112"/>
      <c r="C14" s="112"/>
      <c r="D14" s="112"/>
      <c r="E14" s="112"/>
      <c r="F14" s="112"/>
      <c r="G14" s="112"/>
      <c r="H14" s="112"/>
      <c r="I14" s="37">
        <f>SUM(I5:I13)</f>
        <v>9.9999999999999982</v>
      </c>
      <c r="J14" s="36">
        <f>SUM(J5:J13)</f>
        <v>6.486486486486486</v>
      </c>
    </row>
  </sheetData>
  <mergeCells count="17">
    <mergeCell ref="B4:D4"/>
    <mergeCell ref="B11:D11"/>
    <mergeCell ref="B12:D12"/>
    <mergeCell ref="B13:D13"/>
    <mergeCell ref="A14:H14"/>
    <mergeCell ref="B5:D5"/>
    <mergeCell ref="B6:D6"/>
    <mergeCell ref="B7:D7"/>
    <mergeCell ref="B8:D8"/>
    <mergeCell ref="B9:D9"/>
    <mergeCell ref="B10:D10"/>
    <mergeCell ref="A1:B1"/>
    <mergeCell ref="A2:B2"/>
    <mergeCell ref="C1:J1"/>
    <mergeCell ref="C2:J2"/>
    <mergeCell ref="A3:B3"/>
    <mergeCell ref="E3:J3"/>
  </mergeCell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FA4F6-C22D-4568-B3A1-262D140F6379}">
  <sheetPr>
    <tabColor rgb="FF0070C0"/>
  </sheetPr>
  <dimension ref="A1:J16"/>
  <sheetViews>
    <sheetView workbookViewId="0">
      <pane xSplit="4" ySplit="4" topLeftCell="E5" activePane="bottomRight" state="frozen"/>
      <selection pane="bottomRight" activeCell="B9" sqref="A1:J16"/>
      <selection pane="bottomLeft" activeCell="C3" sqref="C3"/>
      <selection pane="topRight" activeCell="C3" sqref="C3"/>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38</v>
      </c>
      <c r="D2" s="74"/>
      <c r="E2" s="74"/>
      <c r="F2" s="74"/>
      <c r="G2" s="74"/>
      <c r="H2" s="74"/>
      <c r="I2" s="74"/>
      <c r="J2" s="75"/>
    </row>
    <row r="3" spans="1:10" ht="45">
      <c r="A3" s="70" t="s">
        <v>81</v>
      </c>
      <c r="B3" s="70"/>
      <c r="C3" s="18" t="s">
        <v>93</v>
      </c>
      <c r="D3" s="55" t="s">
        <v>107</v>
      </c>
      <c r="E3" s="122" t="s">
        <v>350</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2.75" customHeight="1">
      <c r="A5" s="52">
        <v>1</v>
      </c>
      <c r="B5" s="122" t="s">
        <v>351</v>
      </c>
      <c r="C5" s="122"/>
      <c r="D5" s="122"/>
      <c r="E5" s="123" t="s">
        <v>63</v>
      </c>
      <c r="F5" s="123"/>
      <c r="G5" s="55"/>
      <c r="H5" s="123">
        <v>6</v>
      </c>
      <c r="I5" s="124">
        <f>IF(H5="","",((H5*10)/SUM($H$5:$H$15)))</f>
        <v>0.8571428571428571</v>
      </c>
      <c r="J5" s="125">
        <f>IF(F5="X",((H5*10)/SUM($H$5:$H$15)),0)</f>
        <v>0</v>
      </c>
    </row>
    <row r="6" spans="1:10" ht="28.5" customHeight="1">
      <c r="A6" s="52">
        <v>2</v>
      </c>
      <c r="B6" s="122" t="s">
        <v>272</v>
      </c>
      <c r="C6" s="122"/>
      <c r="D6" s="122"/>
      <c r="E6" s="123" t="s">
        <v>63</v>
      </c>
      <c r="F6" s="123"/>
      <c r="G6" s="55"/>
      <c r="H6" s="123">
        <v>10</v>
      </c>
      <c r="I6" s="124">
        <f t="shared" ref="I6:I15" si="0">IF(H6="","",((H6*10)/SUM($H$5:$H$15)))</f>
        <v>1.4285714285714286</v>
      </c>
      <c r="J6" s="125">
        <f t="shared" ref="J6:J15" si="1">IF(F6="X",((H6*10)/SUM($H$5:$H$15)),0)</f>
        <v>0</v>
      </c>
    </row>
    <row r="7" spans="1:10" ht="42.75" customHeight="1">
      <c r="A7" s="52">
        <v>3</v>
      </c>
      <c r="B7" s="122" t="s">
        <v>352</v>
      </c>
      <c r="C7" s="122"/>
      <c r="D7" s="122"/>
      <c r="E7" s="123"/>
      <c r="F7" s="123" t="s">
        <v>63</v>
      </c>
      <c r="G7" s="55"/>
      <c r="H7" s="123">
        <v>10</v>
      </c>
      <c r="I7" s="124">
        <f t="shared" si="0"/>
        <v>1.4285714285714286</v>
      </c>
      <c r="J7" s="125">
        <f t="shared" si="1"/>
        <v>1.4285714285714286</v>
      </c>
    </row>
    <row r="8" spans="1:10" ht="28.5" customHeight="1">
      <c r="A8" s="52">
        <v>4</v>
      </c>
      <c r="B8" s="122" t="s">
        <v>353</v>
      </c>
      <c r="C8" s="122"/>
      <c r="D8" s="122"/>
      <c r="E8" s="123"/>
      <c r="F8" s="123" t="s">
        <v>63</v>
      </c>
      <c r="G8" s="55"/>
      <c r="H8" s="123">
        <v>10</v>
      </c>
      <c r="I8" s="124">
        <f t="shared" si="0"/>
        <v>1.4285714285714286</v>
      </c>
      <c r="J8" s="125">
        <f t="shared" si="1"/>
        <v>1.4285714285714286</v>
      </c>
    </row>
    <row r="9" spans="1:10" ht="42.75" customHeight="1">
      <c r="A9" s="52">
        <v>5</v>
      </c>
      <c r="B9" s="122" t="s">
        <v>354</v>
      </c>
      <c r="C9" s="122"/>
      <c r="D9" s="122"/>
      <c r="E9" s="123"/>
      <c r="F9" s="123" t="s">
        <v>63</v>
      </c>
      <c r="G9" s="55"/>
      <c r="H9" s="123">
        <v>6</v>
      </c>
      <c r="I9" s="124">
        <f t="shared" si="0"/>
        <v>0.8571428571428571</v>
      </c>
      <c r="J9" s="125">
        <f t="shared" si="1"/>
        <v>0.8571428571428571</v>
      </c>
    </row>
    <row r="10" spans="1:10" ht="28.5" customHeight="1">
      <c r="A10" s="52">
        <v>6</v>
      </c>
      <c r="B10" s="122" t="s">
        <v>355</v>
      </c>
      <c r="C10" s="122"/>
      <c r="D10" s="122"/>
      <c r="E10" s="123"/>
      <c r="F10" s="123" t="s">
        <v>63</v>
      </c>
      <c r="G10" s="55"/>
      <c r="H10" s="123">
        <v>6</v>
      </c>
      <c r="I10" s="124">
        <f t="shared" si="0"/>
        <v>0.8571428571428571</v>
      </c>
      <c r="J10" s="125">
        <f t="shared" si="1"/>
        <v>0.8571428571428571</v>
      </c>
    </row>
    <row r="11" spans="1:10" ht="42.75" customHeight="1">
      <c r="A11" s="52">
        <v>7</v>
      </c>
      <c r="B11" s="122" t="s">
        <v>356</v>
      </c>
      <c r="C11" s="122"/>
      <c r="D11" s="122"/>
      <c r="E11" s="123"/>
      <c r="F11" s="123" t="s">
        <v>63</v>
      </c>
      <c r="G11" s="55"/>
      <c r="H11" s="123">
        <v>6</v>
      </c>
      <c r="I11" s="124">
        <f t="shared" si="0"/>
        <v>0.8571428571428571</v>
      </c>
      <c r="J11" s="125">
        <f t="shared" si="1"/>
        <v>0.8571428571428571</v>
      </c>
    </row>
    <row r="12" spans="1:10" ht="42.75" customHeight="1">
      <c r="A12" s="52">
        <v>8</v>
      </c>
      <c r="B12" s="122" t="s">
        <v>357</v>
      </c>
      <c r="C12" s="122"/>
      <c r="D12" s="122"/>
      <c r="E12" s="123"/>
      <c r="F12" s="123" t="s">
        <v>63</v>
      </c>
      <c r="G12" s="55"/>
      <c r="H12" s="123">
        <v>2</v>
      </c>
      <c r="I12" s="124">
        <f t="shared" si="0"/>
        <v>0.2857142857142857</v>
      </c>
      <c r="J12" s="125">
        <f t="shared" si="1"/>
        <v>0.2857142857142857</v>
      </c>
    </row>
    <row r="13" spans="1:10" ht="42.75" customHeight="1">
      <c r="A13" s="52">
        <v>9</v>
      </c>
      <c r="B13" s="122" t="s">
        <v>358</v>
      </c>
      <c r="C13" s="122"/>
      <c r="D13" s="122"/>
      <c r="E13" s="123" t="s">
        <v>63</v>
      </c>
      <c r="F13" s="123"/>
      <c r="G13" s="55"/>
      <c r="H13" s="123">
        <v>6</v>
      </c>
      <c r="I13" s="124">
        <f t="shared" si="0"/>
        <v>0.8571428571428571</v>
      </c>
      <c r="J13" s="125">
        <f t="shared" si="1"/>
        <v>0</v>
      </c>
    </row>
    <row r="14" spans="1:10" ht="42.75" customHeight="1">
      <c r="A14" s="52">
        <v>10</v>
      </c>
      <c r="B14" s="122" t="s">
        <v>359</v>
      </c>
      <c r="C14" s="122"/>
      <c r="D14" s="122"/>
      <c r="E14" s="123"/>
      <c r="F14" s="123" t="s">
        <v>63</v>
      </c>
      <c r="G14" s="55"/>
      <c r="H14" s="123">
        <v>6</v>
      </c>
      <c r="I14" s="124">
        <f t="shared" si="0"/>
        <v>0.8571428571428571</v>
      </c>
      <c r="J14" s="125">
        <f t="shared" si="1"/>
        <v>0.8571428571428571</v>
      </c>
    </row>
    <row r="15" spans="1:10" ht="57" customHeight="1">
      <c r="A15" s="52">
        <v>11</v>
      </c>
      <c r="B15" s="122" t="s">
        <v>360</v>
      </c>
      <c r="C15" s="122"/>
      <c r="D15" s="122"/>
      <c r="E15" s="123"/>
      <c r="F15" s="123" t="s">
        <v>63</v>
      </c>
      <c r="G15" s="55"/>
      <c r="H15" s="123">
        <v>2</v>
      </c>
      <c r="I15" s="124">
        <f t="shared" si="0"/>
        <v>0.2857142857142857</v>
      </c>
      <c r="J15" s="125">
        <f t="shared" si="1"/>
        <v>0.2857142857142857</v>
      </c>
    </row>
    <row r="16" spans="1:10">
      <c r="A16" s="112" t="s">
        <v>71</v>
      </c>
      <c r="B16" s="112"/>
      <c r="C16" s="112"/>
      <c r="D16" s="112"/>
      <c r="E16" s="112"/>
      <c r="F16" s="112"/>
      <c r="G16" s="112"/>
      <c r="H16" s="112"/>
      <c r="I16" s="37">
        <f>SUM(I5:I15)</f>
        <v>10</v>
      </c>
      <c r="J16" s="36">
        <f>SUM(J5:J15)</f>
        <v>6.8571428571428559</v>
      </c>
    </row>
  </sheetData>
  <mergeCells count="19">
    <mergeCell ref="B14:D14"/>
    <mergeCell ref="B15:D15"/>
    <mergeCell ref="A16:H16"/>
    <mergeCell ref="B8:D8"/>
    <mergeCell ref="B9:D9"/>
    <mergeCell ref="B10:D10"/>
    <mergeCell ref="B11:D11"/>
    <mergeCell ref="B12:D12"/>
    <mergeCell ref="B13:D13"/>
    <mergeCell ref="A1:B1"/>
    <mergeCell ref="A2:B2"/>
    <mergeCell ref="C1:J1"/>
    <mergeCell ref="C2:J2"/>
    <mergeCell ref="B7:D7"/>
    <mergeCell ref="A3:B3"/>
    <mergeCell ref="E3:J3"/>
    <mergeCell ref="B4:D4"/>
    <mergeCell ref="B5:D5"/>
    <mergeCell ref="B6:D6"/>
  </mergeCells>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AE684-E108-4488-B6C7-77AFDEC867C7}">
  <sheetPr>
    <tabColor rgb="FF0070C0"/>
  </sheetPr>
  <dimension ref="A1:J19"/>
  <sheetViews>
    <sheetView workbookViewId="0">
      <pane xSplit="4" ySplit="4" topLeftCell="E5" activePane="bottomRight" state="frozen"/>
      <selection pane="bottomRight" activeCell="B8" sqref="A1:J19"/>
      <selection pane="bottomLeft" activeCell="C3" sqref="C3"/>
      <selection pane="topRight" activeCell="C3" sqref="C3"/>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38</v>
      </c>
      <c r="D2" s="74"/>
      <c r="E2" s="74"/>
      <c r="F2" s="74"/>
      <c r="G2" s="74"/>
      <c r="H2" s="74"/>
      <c r="I2" s="74"/>
      <c r="J2" s="75"/>
    </row>
    <row r="3" spans="1:10" ht="45">
      <c r="A3" s="70" t="s">
        <v>81</v>
      </c>
      <c r="B3" s="70"/>
      <c r="C3" s="18" t="s">
        <v>93</v>
      </c>
      <c r="D3" s="55" t="s">
        <v>121</v>
      </c>
      <c r="E3" s="122" t="s">
        <v>361</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28.5" customHeight="1">
      <c r="A5" s="52">
        <v>1</v>
      </c>
      <c r="B5" s="122" t="s">
        <v>272</v>
      </c>
      <c r="C5" s="122"/>
      <c r="D5" s="122"/>
      <c r="E5" s="123"/>
      <c r="F5" s="123" t="s">
        <v>63</v>
      </c>
      <c r="G5" s="123"/>
      <c r="H5" s="123">
        <v>10</v>
      </c>
      <c r="I5" s="124">
        <f>IF(H5="","",((H5*10)/SUM($H$5:$H$18)))</f>
        <v>1.0416666666666667</v>
      </c>
      <c r="J5" s="125">
        <f>IF(F5="X",((H5*10)/SUM($H$5:$H$18)),0)</f>
        <v>1.0416666666666667</v>
      </c>
    </row>
    <row r="6" spans="1:10" ht="28.5" customHeight="1">
      <c r="A6" s="52">
        <v>2</v>
      </c>
      <c r="B6" s="122" t="s">
        <v>362</v>
      </c>
      <c r="C6" s="122"/>
      <c r="D6" s="122"/>
      <c r="E6" s="123" t="s">
        <v>63</v>
      </c>
      <c r="F6" s="123"/>
      <c r="G6" s="123"/>
      <c r="H6" s="123">
        <v>6</v>
      </c>
      <c r="I6" s="124">
        <f t="shared" ref="I6:I18" si="0">IF(H6="","",((H6*10)/SUM($H$5:$H$18)))</f>
        <v>0.625</v>
      </c>
      <c r="J6" s="125">
        <f t="shared" ref="J6:J18" si="1">IF(F6="X",((H6*10)/SUM($H$5:$H$18)),0)</f>
        <v>0</v>
      </c>
    </row>
    <row r="7" spans="1:10" ht="28.5" customHeight="1">
      <c r="A7" s="57">
        <v>3</v>
      </c>
      <c r="B7" s="122" t="s">
        <v>363</v>
      </c>
      <c r="C7" s="122"/>
      <c r="D7" s="122"/>
      <c r="E7" s="27"/>
      <c r="F7" s="27" t="s">
        <v>63</v>
      </c>
      <c r="G7" s="27"/>
      <c r="H7" s="27">
        <v>6</v>
      </c>
      <c r="I7" s="124">
        <f t="shared" si="0"/>
        <v>0.625</v>
      </c>
      <c r="J7" s="125">
        <f t="shared" si="1"/>
        <v>0.625</v>
      </c>
    </row>
    <row r="8" spans="1:10" ht="42.75" customHeight="1">
      <c r="A8" s="52">
        <v>4</v>
      </c>
      <c r="B8" s="122" t="s">
        <v>364</v>
      </c>
      <c r="C8" s="122"/>
      <c r="D8" s="122"/>
      <c r="E8" s="123"/>
      <c r="F8" s="123" t="s">
        <v>63</v>
      </c>
      <c r="G8" s="123"/>
      <c r="H8" s="123">
        <v>10</v>
      </c>
      <c r="I8" s="124">
        <f t="shared" si="0"/>
        <v>1.0416666666666667</v>
      </c>
      <c r="J8" s="125">
        <f t="shared" si="1"/>
        <v>1.0416666666666667</v>
      </c>
    </row>
    <row r="9" spans="1:10" ht="28.5" customHeight="1">
      <c r="A9" s="52">
        <v>5</v>
      </c>
      <c r="B9" s="122" t="s">
        <v>365</v>
      </c>
      <c r="C9" s="122"/>
      <c r="D9" s="122"/>
      <c r="E9" s="123"/>
      <c r="F9" s="123" t="s">
        <v>63</v>
      </c>
      <c r="G9" s="123"/>
      <c r="H9" s="123">
        <v>10</v>
      </c>
      <c r="I9" s="124">
        <f t="shared" si="0"/>
        <v>1.0416666666666667</v>
      </c>
      <c r="J9" s="125">
        <f t="shared" si="1"/>
        <v>1.0416666666666667</v>
      </c>
    </row>
    <row r="10" spans="1:10" ht="42.75" customHeight="1">
      <c r="A10" s="52">
        <v>6</v>
      </c>
      <c r="B10" s="122" t="s">
        <v>366</v>
      </c>
      <c r="C10" s="122"/>
      <c r="D10" s="122"/>
      <c r="E10" s="123" t="s">
        <v>63</v>
      </c>
      <c r="F10" s="123"/>
      <c r="G10" s="123"/>
      <c r="H10" s="123">
        <v>6</v>
      </c>
      <c r="I10" s="124">
        <f t="shared" si="0"/>
        <v>0.625</v>
      </c>
      <c r="J10" s="125">
        <f t="shared" si="1"/>
        <v>0</v>
      </c>
    </row>
    <row r="11" spans="1:10" ht="28.5" customHeight="1">
      <c r="A11" s="52">
        <v>7</v>
      </c>
      <c r="B11" s="122" t="s">
        <v>367</v>
      </c>
      <c r="C11" s="122"/>
      <c r="D11" s="122"/>
      <c r="E11" s="123"/>
      <c r="F11" s="123" t="s">
        <v>63</v>
      </c>
      <c r="G11" s="123"/>
      <c r="H11" s="123">
        <v>10</v>
      </c>
      <c r="I11" s="124">
        <f t="shared" si="0"/>
        <v>1.0416666666666667</v>
      </c>
      <c r="J11" s="125">
        <f t="shared" si="1"/>
        <v>1.0416666666666667</v>
      </c>
    </row>
    <row r="12" spans="1:10" ht="28.5" customHeight="1">
      <c r="A12" s="52">
        <v>8</v>
      </c>
      <c r="B12" s="122" t="s">
        <v>368</v>
      </c>
      <c r="C12" s="122"/>
      <c r="D12" s="122"/>
      <c r="E12" s="123"/>
      <c r="F12" s="123" t="s">
        <v>63</v>
      </c>
      <c r="G12" s="123"/>
      <c r="H12" s="123">
        <v>6</v>
      </c>
      <c r="I12" s="124">
        <f t="shared" si="0"/>
        <v>0.625</v>
      </c>
      <c r="J12" s="125">
        <f t="shared" si="1"/>
        <v>0.625</v>
      </c>
    </row>
    <row r="13" spans="1:10" ht="28.5" customHeight="1">
      <c r="A13" s="52">
        <v>9</v>
      </c>
      <c r="B13" s="122" t="s">
        <v>369</v>
      </c>
      <c r="C13" s="122"/>
      <c r="D13" s="122"/>
      <c r="E13" s="123" t="s">
        <v>63</v>
      </c>
      <c r="F13" s="123"/>
      <c r="G13" s="123"/>
      <c r="H13" s="123">
        <v>6</v>
      </c>
      <c r="I13" s="124">
        <f t="shared" si="0"/>
        <v>0.625</v>
      </c>
      <c r="J13" s="125">
        <f t="shared" si="1"/>
        <v>0</v>
      </c>
    </row>
    <row r="14" spans="1:10" ht="42.75" customHeight="1">
      <c r="A14" s="52">
        <v>10</v>
      </c>
      <c r="B14" s="122" t="s">
        <v>191</v>
      </c>
      <c r="C14" s="122"/>
      <c r="D14" s="122"/>
      <c r="E14" s="123" t="s">
        <v>63</v>
      </c>
      <c r="F14" s="123"/>
      <c r="G14" s="123"/>
      <c r="H14" s="123">
        <v>6</v>
      </c>
      <c r="I14" s="124">
        <f t="shared" si="0"/>
        <v>0.625</v>
      </c>
      <c r="J14" s="125">
        <f t="shared" si="1"/>
        <v>0</v>
      </c>
    </row>
    <row r="15" spans="1:10" ht="57" customHeight="1">
      <c r="A15" s="52">
        <v>11</v>
      </c>
      <c r="B15" s="122" t="s">
        <v>370</v>
      </c>
      <c r="C15" s="122"/>
      <c r="D15" s="122"/>
      <c r="E15" s="123"/>
      <c r="F15" s="123" t="s">
        <v>63</v>
      </c>
      <c r="G15" s="123"/>
      <c r="H15" s="123">
        <v>6</v>
      </c>
      <c r="I15" s="124">
        <f t="shared" si="0"/>
        <v>0.625</v>
      </c>
      <c r="J15" s="125">
        <f t="shared" si="1"/>
        <v>0.625</v>
      </c>
    </row>
    <row r="16" spans="1:10" ht="57" customHeight="1">
      <c r="A16" s="52">
        <v>12</v>
      </c>
      <c r="B16" s="122" t="s">
        <v>371</v>
      </c>
      <c r="C16" s="122"/>
      <c r="D16" s="122"/>
      <c r="E16" s="123" t="s">
        <v>63</v>
      </c>
      <c r="F16" s="123"/>
      <c r="G16" s="123"/>
      <c r="H16" s="123">
        <v>6</v>
      </c>
      <c r="I16" s="124">
        <f t="shared" si="0"/>
        <v>0.625</v>
      </c>
      <c r="J16" s="125">
        <f t="shared" si="1"/>
        <v>0</v>
      </c>
    </row>
    <row r="17" spans="1:10" ht="28.5" customHeight="1">
      <c r="A17" s="52">
        <v>13</v>
      </c>
      <c r="B17" s="122" t="s">
        <v>372</v>
      </c>
      <c r="C17" s="122"/>
      <c r="D17" s="122"/>
      <c r="E17" s="123"/>
      <c r="F17" s="123" t="s">
        <v>63</v>
      </c>
      <c r="G17" s="123"/>
      <c r="H17" s="123">
        <v>2</v>
      </c>
      <c r="I17" s="124">
        <f t="shared" si="0"/>
        <v>0.20833333333333334</v>
      </c>
      <c r="J17" s="125">
        <f t="shared" si="1"/>
        <v>0.20833333333333334</v>
      </c>
    </row>
    <row r="18" spans="1:10" ht="28.5" customHeight="1">
      <c r="A18" s="52">
        <v>14</v>
      </c>
      <c r="B18" s="122" t="s">
        <v>373</v>
      </c>
      <c r="C18" s="122"/>
      <c r="D18" s="122"/>
      <c r="E18" s="123"/>
      <c r="F18" s="123" t="s">
        <v>63</v>
      </c>
      <c r="G18" s="123"/>
      <c r="H18" s="123">
        <v>6</v>
      </c>
      <c r="I18" s="124">
        <f t="shared" si="0"/>
        <v>0.625</v>
      </c>
      <c r="J18" s="125">
        <f t="shared" si="1"/>
        <v>0.625</v>
      </c>
    </row>
    <row r="19" spans="1:10">
      <c r="A19" s="112" t="s">
        <v>71</v>
      </c>
      <c r="B19" s="112"/>
      <c r="C19" s="112"/>
      <c r="D19" s="112"/>
      <c r="E19" s="112"/>
      <c r="F19" s="112"/>
      <c r="G19" s="112"/>
      <c r="H19" s="112"/>
      <c r="I19" s="37">
        <f>SUM(I5:I18)</f>
        <v>10.000000000000002</v>
      </c>
      <c r="J19" s="36">
        <f>SUM(J5:J18)</f>
        <v>6.875</v>
      </c>
    </row>
  </sheetData>
  <mergeCells count="22">
    <mergeCell ref="A19:H19"/>
    <mergeCell ref="B8:D8"/>
    <mergeCell ref="B9:D9"/>
    <mergeCell ref="B10:D10"/>
    <mergeCell ref="B11:D11"/>
    <mergeCell ref="B12:D12"/>
    <mergeCell ref="B13:D13"/>
    <mergeCell ref="B14:D14"/>
    <mergeCell ref="B15:D15"/>
    <mergeCell ref="B16:D16"/>
    <mergeCell ref="B17:D17"/>
    <mergeCell ref="B18:D18"/>
    <mergeCell ref="A1:B1"/>
    <mergeCell ref="A2:B2"/>
    <mergeCell ref="C1:J1"/>
    <mergeCell ref="C2:J2"/>
    <mergeCell ref="B7:D7"/>
    <mergeCell ref="A3:B3"/>
    <mergeCell ref="E3:J3"/>
    <mergeCell ref="B4:D4"/>
    <mergeCell ref="B5:D5"/>
    <mergeCell ref="B6:D6"/>
  </mergeCells>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7168A-0082-4C76-BD5A-BD1E1CD4337D}">
  <sheetPr>
    <tabColor rgb="FF0070C0"/>
  </sheetPr>
  <dimension ref="A1:J14"/>
  <sheetViews>
    <sheetView workbookViewId="0">
      <pane xSplit="4" ySplit="4" topLeftCell="E5" activePane="bottomRight" state="frozen"/>
      <selection pane="bottomRight" activeCell="B6" sqref="A1:J14"/>
      <selection pane="bottomLeft" activeCell="C3" sqref="C3"/>
      <selection pane="topRight" activeCell="C3" sqref="C3"/>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38</v>
      </c>
      <c r="D2" s="74"/>
      <c r="E2" s="74"/>
      <c r="F2" s="74"/>
      <c r="G2" s="74"/>
      <c r="H2" s="74"/>
      <c r="I2" s="74"/>
      <c r="J2" s="75"/>
    </row>
    <row r="3" spans="1:10" ht="45">
      <c r="A3" s="70" t="s">
        <v>81</v>
      </c>
      <c r="B3" s="70"/>
      <c r="C3" s="18" t="s">
        <v>93</v>
      </c>
      <c r="D3" s="55" t="s">
        <v>136</v>
      </c>
      <c r="E3" s="122" t="s">
        <v>374</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28.5" customHeight="1">
      <c r="A5" s="52">
        <v>1</v>
      </c>
      <c r="B5" s="122" t="s">
        <v>272</v>
      </c>
      <c r="C5" s="122"/>
      <c r="D5" s="122"/>
      <c r="E5" s="123"/>
      <c r="F5" s="123" t="s">
        <v>63</v>
      </c>
      <c r="G5" s="55"/>
      <c r="H5" s="123">
        <v>10</v>
      </c>
      <c r="I5" s="124">
        <f>IF(H5="","",((H5*10)/SUM($H$5:$H$13)))</f>
        <v>1.6129032258064515</v>
      </c>
      <c r="J5" s="125">
        <f>IF(F5="X",((H5*10)/SUM($H$5:$H$13)),0)</f>
        <v>1.6129032258064515</v>
      </c>
    </row>
    <row r="6" spans="1:10" ht="42.75" customHeight="1">
      <c r="A6" s="52">
        <v>2</v>
      </c>
      <c r="B6" s="122" t="s">
        <v>375</v>
      </c>
      <c r="C6" s="122"/>
      <c r="D6" s="122"/>
      <c r="E6" s="123"/>
      <c r="F6" s="123" t="s">
        <v>63</v>
      </c>
      <c r="G6" s="55"/>
      <c r="H6" s="123">
        <v>6</v>
      </c>
      <c r="I6" s="124">
        <f t="shared" ref="I6:I13" si="0">IF(H6="","",((H6*10)/SUM($H$5:$H$13)))</f>
        <v>0.967741935483871</v>
      </c>
      <c r="J6" s="125">
        <f t="shared" ref="J6:J13" si="1">IF(F6="X",((H6*10)/SUM($H$5:$H$13)),0)</f>
        <v>0.967741935483871</v>
      </c>
    </row>
    <row r="7" spans="1:10" ht="57" customHeight="1">
      <c r="A7" s="52">
        <v>3</v>
      </c>
      <c r="B7" s="122" t="s">
        <v>376</v>
      </c>
      <c r="C7" s="122"/>
      <c r="D7" s="122"/>
      <c r="E7" s="123"/>
      <c r="F7" s="123" t="s">
        <v>63</v>
      </c>
      <c r="G7" s="55"/>
      <c r="H7" s="123">
        <v>6</v>
      </c>
      <c r="I7" s="124">
        <f t="shared" si="0"/>
        <v>0.967741935483871</v>
      </c>
      <c r="J7" s="125">
        <f t="shared" si="1"/>
        <v>0.967741935483871</v>
      </c>
    </row>
    <row r="8" spans="1:10" ht="57" customHeight="1">
      <c r="A8" s="52">
        <v>4</v>
      </c>
      <c r="B8" s="122" t="s">
        <v>377</v>
      </c>
      <c r="C8" s="122"/>
      <c r="D8" s="122"/>
      <c r="E8" s="123"/>
      <c r="F8" s="123" t="s">
        <v>63</v>
      </c>
      <c r="G8" s="55"/>
      <c r="H8" s="123">
        <v>10</v>
      </c>
      <c r="I8" s="124">
        <f t="shared" si="0"/>
        <v>1.6129032258064515</v>
      </c>
      <c r="J8" s="125">
        <f t="shared" si="1"/>
        <v>1.6129032258064515</v>
      </c>
    </row>
    <row r="9" spans="1:10" ht="42.75" customHeight="1">
      <c r="A9" s="52">
        <v>5</v>
      </c>
      <c r="B9" s="122" t="s">
        <v>378</v>
      </c>
      <c r="C9" s="122"/>
      <c r="D9" s="122"/>
      <c r="E9" s="123"/>
      <c r="F9" s="123" t="s">
        <v>63</v>
      </c>
      <c r="G9" s="55"/>
      <c r="H9" s="123">
        <v>10</v>
      </c>
      <c r="I9" s="124">
        <f t="shared" si="0"/>
        <v>1.6129032258064515</v>
      </c>
      <c r="J9" s="125">
        <f t="shared" si="1"/>
        <v>1.6129032258064515</v>
      </c>
    </row>
    <row r="10" spans="1:10" ht="28.5" customHeight="1">
      <c r="A10" s="52">
        <v>6</v>
      </c>
      <c r="B10" s="122" t="s">
        <v>379</v>
      </c>
      <c r="C10" s="122"/>
      <c r="D10" s="122"/>
      <c r="E10" s="123" t="s">
        <v>63</v>
      </c>
      <c r="F10" s="123"/>
      <c r="G10" s="55"/>
      <c r="H10" s="123">
        <v>10</v>
      </c>
      <c r="I10" s="124">
        <f t="shared" si="0"/>
        <v>1.6129032258064515</v>
      </c>
      <c r="J10" s="125">
        <f t="shared" si="1"/>
        <v>0</v>
      </c>
    </row>
    <row r="11" spans="1:10" ht="28.5" customHeight="1">
      <c r="A11" s="52">
        <v>7</v>
      </c>
      <c r="B11" s="122" t="s">
        <v>380</v>
      </c>
      <c r="C11" s="122"/>
      <c r="D11" s="122"/>
      <c r="E11" s="123"/>
      <c r="F11" s="123" t="s">
        <v>63</v>
      </c>
      <c r="G11" s="55"/>
      <c r="H11" s="123">
        <v>6</v>
      </c>
      <c r="I11" s="124">
        <f t="shared" si="0"/>
        <v>0.967741935483871</v>
      </c>
      <c r="J11" s="125">
        <f t="shared" si="1"/>
        <v>0.967741935483871</v>
      </c>
    </row>
    <row r="12" spans="1:10" ht="28.5" customHeight="1">
      <c r="A12" s="52">
        <v>8</v>
      </c>
      <c r="B12" s="122" t="s">
        <v>381</v>
      </c>
      <c r="C12" s="122"/>
      <c r="D12" s="122"/>
      <c r="E12" s="123" t="s">
        <v>63</v>
      </c>
      <c r="F12" s="123"/>
      <c r="G12" s="55"/>
      <c r="H12" s="123">
        <v>2</v>
      </c>
      <c r="I12" s="124">
        <f t="shared" si="0"/>
        <v>0.32258064516129031</v>
      </c>
      <c r="J12" s="125">
        <f t="shared" si="1"/>
        <v>0</v>
      </c>
    </row>
    <row r="13" spans="1:10" ht="28.5" customHeight="1">
      <c r="A13" s="52">
        <v>9</v>
      </c>
      <c r="B13" s="122" t="s">
        <v>382</v>
      </c>
      <c r="C13" s="122"/>
      <c r="D13" s="122"/>
      <c r="E13" s="123" t="s">
        <v>63</v>
      </c>
      <c r="F13" s="123"/>
      <c r="G13" s="55"/>
      <c r="H13" s="123">
        <v>2</v>
      </c>
      <c r="I13" s="124">
        <f t="shared" si="0"/>
        <v>0.32258064516129031</v>
      </c>
      <c r="J13" s="125">
        <f t="shared" si="1"/>
        <v>0</v>
      </c>
    </row>
    <row r="14" spans="1:10">
      <c r="A14" s="112" t="s">
        <v>71</v>
      </c>
      <c r="B14" s="112"/>
      <c r="C14" s="112"/>
      <c r="D14" s="112"/>
      <c r="E14" s="112"/>
      <c r="F14" s="112"/>
      <c r="G14" s="112"/>
      <c r="H14" s="112"/>
      <c r="I14" s="37">
        <f>SUM(I5:I13)</f>
        <v>10</v>
      </c>
      <c r="J14" s="36">
        <f>SUM(J5:J13)</f>
        <v>7.7419354838709671</v>
      </c>
    </row>
  </sheetData>
  <mergeCells count="17">
    <mergeCell ref="A14:H14"/>
    <mergeCell ref="B8:D8"/>
    <mergeCell ref="B9:D9"/>
    <mergeCell ref="B10:D10"/>
    <mergeCell ref="B11:D11"/>
    <mergeCell ref="B12:D12"/>
    <mergeCell ref="B13:D13"/>
    <mergeCell ref="A1:B1"/>
    <mergeCell ref="A2:B2"/>
    <mergeCell ref="C1:J1"/>
    <mergeCell ref="C2:J2"/>
    <mergeCell ref="B7:D7"/>
    <mergeCell ref="A3:B3"/>
    <mergeCell ref="E3:J3"/>
    <mergeCell ref="B4:D4"/>
    <mergeCell ref="B5:D5"/>
    <mergeCell ref="B6:D6"/>
  </mergeCells>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8B70C-AAEA-4642-A749-9922059F6304}">
  <sheetPr>
    <tabColor rgb="FF0070C0"/>
  </sheetPr>
  <dimension ref="A1:J17"/>
  <sheetViews>
    <sheetView workbookViewId="0">
      <pane xSplit="4" ySplit="4" topLeftCell="E5" activePane="bottomRight" state="frozen"/>
      <selection pane="bottomRight" activeCell="B10" sqref="A1:J17"/>
      <selection pane="bottomLeft" activeCell="C3" sqref="C3"/>
      <selection pane="topRight" activeCell="C3" sqref="C3"/>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38</v>
      </c>
      <c r="D2" s="74"/>
      <c r="E2" s="74"/>
      <c r="F2" s="74"/>
      <c r="G2" s="74"/>
      <c r="H2" s="74"/>
      <c r="I2" s="74"/>
      <c r="J2" s="75"/>
    </row>
    <row r="3" spans="1:10" ht="45">
      <c r="A3" s="70" t="s">
        <v>81</v>
      </c>
      <c r="B3" s="70"/>
      <c r="C3" s="18" t="s">
        <v>93</v>
      </c>
      <c r="D3" s="55" t="s">
        <v>146</v>
      </c>
      <c r="E3" s="122" t="s">
        <v>383</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28.5" customHeight="1">
      <c r="A5" s="52">
        <v>1</v>
      </c>
      <c r="B5" s="122" t="s">
        <v>272</v>
      </c>
      <c r="C5" s="122"/>
      <c r="D5" s="122"/>
      <c r="E5" s="123"/>
      <c r="F5" s="123" t="s">
        <v>63</v>
      </c>
      <c r="G5" s="123"/>
      <c r="H5" s="123">
        <v>10</v>
      </c>
      <c r="I5" s="124">
        <f>IF(H5="","",((H5*10)/SUM($H$5:$H$16)))</f>
        <v>1.0416666666666667</v>
      </c>
      <c r="J5" s="125">
        <f>IF(F5="X",((H5*10)/SUM($H$5:$H$16)),0)</f>
        <v>1.0416666666666667</v>
      </c>
    </row>
    <row r="6" spans="1:10" ht="28.5" customHeight="1">
      <c r="A6" s="52">
        <v>2</v>
      </c>
      <c r="B6" s="122" t="s">
        <v>384</v>
      </c>
      <c r="C6" s="122"/>
      <c r="D6" s="122"/>
      <c r="E6" s="123"/>
      <c r="F6" s="123" t="s">
        <v>63</v>
      </c>
      <c r="G6" s="123"/>
      <c r="H6" s="123">
        <v>10</v>
      </c>
      <c r="I6" s="124">
        <f t="shared" ref="I6:I16" si="0">IF(H6="","",((H6*10)/SUM($H$5:$H$16)))</f>
        <v>1.0416666666666667</v>
      </c>
      <c r="J6" s="125">
        <f t="shared" ref="J6:J16" si="1">IF(F6="X",((H6*10)/SUM($H$5:$H$16)),0)</f>
        <v>1.0416666666666667</v>
      </c>
    </row>
    <row r="7" spans="1:10" ht="28.5" customHeight="1">
      <c r="A7" s="52">
        <v>3</v>
      </c>
      <c r="B7" s="122" t="s">
        <v>385</v>
      </c>
      <c r="C7" s="122"/>
      <c r="D7" s="122"/>
      <c r="E7" s="123"/>
      <c r="F7" s="123" t="s">
        <v>63</v>
      </c>
      <c r="G7" s="123"/>
      <c r="H7" s="123">
        <v>6</v>
      </c>
      <c r="I7" s="124">
        <f t="shared" si="0"/>
        <v>0.625</v>
      </c>
      <c r="J7" s="125">
        <f t="shared" si="1"/>
        <v>0.625</v>
      </c>
    </row>
    <row r="8" spans="1:10" ht="28.5" customHeight="1">
      <c r="A8" s="52">
        <v>4</v>
      </c>
      <c r="B8" s="122" t="s">
        <v>386</v>
      </c>
      <c r="C8" s="122"/>
      <c r="D8" s="122"/>
      <c r="E8" s="123"/>
      <c r="F8" s="123" t="s">
        <v>63</v>
      </c>
      <c r="G8" s="123"/>
      <c r="H8" s="123">
        <v>6</v>
      </c>
      <c r="I8" s="124">
        <f t="shared" si="0"/>
        <v>0.625</v>
      </c>
      <c r="J8" s="125">
        <f t="shared" si="1"/>
        <v>0.625</v>
      </c>
    </row>
    <row r="9" spans="1:10" ht="28.5" customHeight="1">
      <c r="A9" s="52">
        <v>5</v>
      </c>
      <c r="B9" s="122" t="s">
        <v>387</v>
      </c>
      <c r="C9" s="122"/>
      <c r="D9" s="122"/>
      <c r="E9" s="123"/>
      <c r="F9" s="123" t="s">
        <v>63</v>
      </c>
      <c r="G9" s="123"/>
      <c r="H9" s="123">
        <v>10</v>
      </c>
      <c r="I9" s="124">
        <f t="shared" si="0"/>
        <v>1.0416666666666667</v>
      </c>
      <c r="J9" s="125">
        <f t="shared" si="1"/>
        <v>1.0416666666666667</v>
      </c>
    </row>
    <row r="10" spans="1:10" ht="42.75" customHeight="1">
      <c r="A10" s="52">
        <v>6</v>
      </c>
      <c r="B10" s="122" t="s">
        <v>388</v>
      </c>
      <c r="C10" s="122"/>
      <c r="D10" s="122"/>
      <c r="E10" s="123"/>
      <c r="F10" s="123" t="s">
        <v>63</v>
      </c>
      <c r="G10" s="123"/>
      <c r="H10" s="123">
        <v>10</v>
      </c>
      <c r="I10" s="124">
        <f t="shared" si="0"/>
        <v>1.0416666666666667</v>
      </c>
      <c r="J10" s="125">
        <f t="shared" si="1"/>
        <v>1.0416666666666667</v>
      </c>
    </row>
    <row r="11" spans="1:10" ht="57" customHeight="1">
      <c r="A11" s="52">
        <v>7</v>
      </c>
      <c r="B11" s="122" t="s">
        <v>389</v>
      </c>
      <c r="C11" s="122"/>
      <c r="D11" s="122"/>
      <c r="E11" s="123" t="s">
        <v>63</v>
      </c>
      <c r="F11" s="123"/>
      <c r="G11" s="123"/>
      <c r="H11" s="123">
        <v>10</v>
      </c>
      <c r="I11" s="124">
        <f t="shared" si="0"/>
        <v>1.0416666666666667</v>
      </c>
      <c r="J11" s="125">
        <f t="shared" si="1"/>
        <v>0</v>
      </c>
    </row>
    <row r="12" spans="1:10" ht="28.5" customHeight="1">
      <c r="A12" s="52">
        <v>8</v>
      </c>
      <c r="B12" s="122" t="s">
        <v>390</v>
      </c>
      <c r="C12" s="122"/>
      <c r="D12" s="122"/>
      <c r="E12" s="123" t="s">
        <v>63</v>
      </c>
      <c r="F12" s="123"/>
      <c r="G12" s="123"/>
      <c r="H12" s="123">
        <v>6</v>
      </c>
      <c r="I12" s="124">
        <f t="shared" si="0"/>
        <v>0.625</v>
      </c>
      <c r="J12" s="125">
        <f t="shared" si="1"/>
        <v>0</v>
      </c>
    </row>
    <row r="13" spans="1:10" ht="28.5" customHeight="1">
      <c r="A13" s="52">
        <v>9</v>
      </c>
      <c r="B13" s="122" t="s">
        <v>391</v>
      </c>
      <c r="C13" s="122"/>
      <c r="D13" s="122"/>
      <c r="E13" s="123" t="s">
        <v>63</v>
      </c>
      <c r="F13" s="123"/>
      <c r="G13" s="123"/>
      <c r="H13" s="123">
        <v>6</v>
      </c>
      <c r="I13" s="124">
        <f t="shared" si="0"/>
        <v>0.625</v>
      </c>
      <c r="J13" s="125">
        <f t="shared" si="1"/>
        <v>0</v>
      </c>
    </row>
    <row r="14" spans="1:10" ht="42.75" customHeight="1">
      <c r="A14" s="52">
        <v>10</v>
      </c>
      <c r="B14" s="122" t="s">
        <v>392</v>
      </c>
      <c r="C14" s="122"/>
      <c r="D14" s="122"/>
      <c r="E14" s="123"/>
      <c r="F14" s="123" t="s">
        <v>63</v>
      </c>
      <c r="G14" s="123"/>
      <c r="H14" s="123">
        <v>10</v>
      </c>
      <c r="I14" s="124">
        <f t="shared" si="0"/>
        <v>1.0416666666666667</v>
      </c>
      <c r="J14" s="125">
        <f t="shared" si="1"/>
        <v>1.0416666666666667</v>
      </c>
    </row>
    <row r="15" spans="1:10" ht="57" customHeight="1">
      <c r="A15" s="52">
        <v>11</v>
      </c>
      <c r="B15" s="122" t="s">
        <v>393</v>
      </c>
      <c r="C15" s="122"/>
      <c r="D15" s="122"/>
      <c r="E15" s="123"/>
      <c r="F15" s="123" t="s">
        <v>63</v>
      </c>
      <c r="G15" s="123"/>
      <c r="H15" s="123">
        <v>6</v>
      </c>
      <c r="I15" s="124">
        <f t="shared" si="0"/>
        <v>0.625</v>
      </c>
      <c r="J15" s="125">
        <f t="shared" si="1"/>
        <v>0.625</v>
      </c>
    </row>
    <row r="16" spans="1:10" ht="57" customHeight="1">
      <c r="A16" s="52">
        <v>12</v>
      </c>
      <c r="B16" s="122" t="s">
        <v>394</v>
      </c>
      <c r="C16" s="122"/>
      <c r="D16" s="122"/>
      <c r="E16" s="123"/>
      <c r="F16" s="123" t="s">
        <v>63</v>
      </c>
      <c r="G16" s="123"/>
      <c r="H16" s="123">
        <v>6</v>
      </c>
      <c r="I16" s="124">
        <f t="shared" si="0"/>
        <v>0.625</v>
      </c>
      <c r="J16" s="125">
        <f t="shared" si="1"/>
        <v>0.625</v>
      </c>
    </row>
    <row r="17" spans="1:10">
      <c r="A17" s="112" t="s">
        <v>71</v>
      </c>
      <c r="B17" s="112"/>
      <c r="C17" s="112"/>
      <c r="D17" s="112"/>
      <c r="E17" s="112"/>
      <c r="F17" s="112"/>
      <c r="G17" s="112"/>
      <c r="H17" s="112"/>
      <c r="I17" s="37">
        <f>SUM(I5:I16)</f>
        <v>10</v>
      </c>
      <c r="J17" s="36">
        <f>SUM(J5:J16)</f>
        <v>7.7083333333333339</v>
      </c>
    </row>
  </sheetData>
  <mergeCells count="20">
    <mergeCell ref="B14:D14"/>
    <mergeCell ref="B15:D15"/>
    <mergeCell ref="B16:D16"/>
    <mergeCell ref="A17:H17"/>
    <mergeCell ref="B8:D8"/>
    <mergeCell ref="B9:D9"/>
    <mergeCell ref="B10:D10"/>
    <mergeCell ref="B11:D11"/>
    <mergeCell ref="B12:D12"/>
    <mergeCell ref="B13:D13"/>
    <mergeCell ref="A1:B1"/>
    <mergeCell ref="A2:B2"/>
    <mergeCell ref="C1:J1"/>
    <mergeCell ref="C2:J2"/>
    <mergeCell ref="B7:D7"/>
    <mergeCell ref="A3:B3"/>
    <mergeCell ref="E3:J3"/>
    <mergeCell ref="B4:D4"/>
    <mergeCell ref="B5:D5"/>
    <mergeCell ref="B6:D6"/>
  </mergeCells>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EA5E7-F118-4C4D-9DA8-1C3B17888DD9}">
  <sheetPr>
    <tabColor rgb="FF0070C0"/>
  </sheetPr>
  <dimension ref="A1:J18"/>
  <sheetViews>
    <sheetView workbookViewId="0">
      <pane xSplit="4" ySplit="4" topLeftCell="E5" activePane="bottomRight" state="frozen"/>
      <selection pane="bottomRight" activeCell="B7" sqref="A1:J18"/>
      <selection pane="bottomLeft" activeCell="C3" sqref="C3"/>
      <selection pane="topRight" activeCell="C3" sqref="C3"/>
    </sheetView>
  </sheetViews>
  <sheetFormatPr defaultColWidth="11.42578125" defaultRowHeight="15"/>
  <cols>
    <col min="1" max="1" width="4.7109375" customWidth="1"/>
    <col min="2" max="4" width="17.7109375" customWidth="1"/>
    <col min="5" max="6" width="4.7109375" customWidth="1"/>
    <col min="7" max="7" width="9.85546875" customWidth="1"/>
    <col min="8" max="10" width="12" customWidth="1"/>
  </cols>
  <sheetData>
    <row r="1" spans="1:10">
      <c r="A1" s="70" t="s">
        <v>51</v>
      </c>
      <c r="B1" s="70"/>
      <c r="C1" s="73" t="s">
        <v>339</v>
      </c>
      <c r="D1" s="74"/>
      <c r="E1" s="74"/>
      <c r="F1" s="74"/>
      <c r="G1" s="74"/>
      <c r="H1" s="74"/>
      <c r="I1" s="74"/>
      <c r="J1" s="75"/>
    </row>
    <row r="2" spans="1:10">
      <c r="A2" s="70" t="s">
        <v>0</v>
      </c>
      <c r="B2" s="70"/>
      <c r="C2" s="73" t="s">
        <v>38</v>
      </c>
      <c r="D2" s="74"/>
      <c r="E2" s="74"/>
      <c r="F2" s="74"/>
      <c r="G2" s="74"/>
      <c r="H2" s="74"/>
      <c r="I2" s="74"/>
      <c r="J2" s="75"/>
    </row>
    <row r="3" spans="1:10" ht="45">
      <c r="A3" s="70" t="s">
        <v>81</v>
      </c>
      <c r="B3" s="70"/>
      <c r="C3" s="18" t="s">
        <v>93</v>
      </c>
      <c r="D3" s="55" t="s">
        <v>456</v>
      </c>
      <c r="E3" s="122" t="s">
        <v>457</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28.5" customHeight="1">
      <c r="A5" s="52">
        <v>1</v>
      </c>
      <c r="B5" s="122" t="s">
        <v>272</v>
      </c>
      <c r="C5" s="122"/>
      <c r="D5" s="122"/>
      <c r="E5" s="123"/>
      <c r="F5" s="123" t="s">
        <v>63</v>
      </c>
      <c r="G5" s="123"/>
      <c r="H5" s="123">
        <v>10</v>
      </c>
      <c r="I5" s="124">
        <f>IF(H5="","",((H5*10)/SUM($H$5:$H$17)))</f>
        <v>0.90909090909090906</v>
      </c>
      <c r="J5" s="125">
        <f>IF(F5="X",((H5*10)/SUM($H$5:$H$17)),0)</f>
        <v>0.90909090909090906</v>
      </c>
    </row>
    <row r="6" spans="1:10" ht="42.75" customHeight="1">
      <c r="A6" s="52">
        <v>2</v>
      </c>
      <c r="B6" s="122" t="s">
        <v>458</v>
      </c>
      <c r="C6" s="122"/>
      <c r="D6" s="122"/>
      <c r="E6" s="123"/>
      <c r="F6" s="123" t="s">
        <v>63</v>
      </c>
      <c r="G6" s="123"/>
      <c r="H6" s="123">
        <v>6</v>
      </c>
      <c r="I6" s="124">
        <f t="shared" ref="I6:I17" si="0">IF(H6="","",((H6*10)/SUM($H$5:$H$17)))</f>
        <v>0.54545454545454541</v>
      </c>
      <c r="J6" s="125">
        <f t="shared" ref="J6:J17" si="1">IF(F6="X",((H6*10)/SUM($H$5:$H$17)),0)</f>
        <v>0.54545454545454541</v>
      </c>
    </row>
    <row r="7" spans="1:10" ht="28.5" customHeight="1">
      <c r="A7" s="52">
        <v>3</v>
      </c>
      <c r="B7" s="122" t="s">
        <v>459</v>
      </c>
      <c r="C7" s="122"/>
      <c r="D7" s="122"/>
      <c r="E7" s="123" t="s">
        <v>63</v>
      </c>
      <c r="F7" s="123"/>
      <c r="G7" s="123"/>
      <c r="H7" s="123">
        <v>6</v>
      </c>
      <c r="I7" s="124">
        <f t="shared" si="0"/>
        <v>0.54545454545454541</v>
      </c>
      <c r="J7" s="125">
        <f t="shared" si="1"/>
        <v>0</v>
      </c>
    </row>
    <row r="8" spans="1:10" ht="42.75" customHeight="1">
      <c r="A8" s="52">
        <v>4</v>
      </c>
      <c r="B8" s="122" t="s">
        <v>460</v>
      </c>
      <c r="C8" s="122"/>
      <c r="D8" s="122"/>
      <c r="E8" s="123"/>
      <c r="F8" s="123" t="s">
        <v>63</v>
      </c>
      <c r="G8" s="123"/>
      <c r="H8" s="123">
        <v>10</v>
      </c>
      <c r="I8" s="124">
        <f t="shared" si="0"/>
        <v>0.90909090909090906</v>
      </c>
      <c r="J8" s="125">
        <f t="shared" si="1"/>
        <v>0.90909090909090906</v>
      </c>
    </row>
    <row r="9" spans="1:10" ht="28.5" customHeight="1">
      <c r="A9" s="52">
        <v>5</v>
      </c>
      <c r="B9" s="122" t="s">
        <v>461</v>
      </c>
      <c r="C9" s="122"/>
      <c r="D9" s="122"/>
      <c r="E9" s="123" t="s">
        <v>63</v>
      </c>
      <c r="F9" s="123"/>
      <c r="G9" s="123"/>
      <c r="H9" s="123">
        <v>10</v>
      </c>
      <c r="I9" s="124">
        <f t="shared" si="0"/>
        <v>0.90909090909090906</v>
      </c>
      <c r="J9" s="125">
        <f t="shared" si="1"/>
        <v>0</v>
      </c>
    </row>
    <row r="10" spans="1:10" ht="28.5" customHeight="1">
      <c r="A10" s="52">
        <v>6</v>
      </c>
      <c r="B10" s="122" t="s">
        <v>462</v>
      </c>
      <c r="C10" s="122"/>
      <c r="D10" s="122"/>
      <c r="E10" s="123" t="s">
        <v>63</v>
      </c>
      <c r="F10" s="123"/>
      <c r="G10" s="123"/>
      <c r="H10" s="123">
        <v>10</v>
      </c>
      <c r="I10" s="124">
        <f t="shared" si="0"/>
        <v>0.90909090909090906</v>
      </c>
      <c r="J10" s="125">
        <f t="shared" si="1"/>
        <v>0</v>
      </c>
    </row>
    <row r="11" spans="1:10" ht="42.75" customHeight="1">
      <c r="A11" s="52">
        <v>7</v>
      </c>
      <c r="B11" s="122" t="s">
        <v>463</v>
      </c>
      <c r="C11" s="122"/>
      <c r="D11" s="122"/>
      <c r="E11" s="123"/>
      <c r="F11" s="123" t="s">
        <v>63</v>
      </c>
      <c r="G11" s="123"/>
      <c r="H11" s="123">
        <v>6</v>
      </c>
      <c r="I11" s="124">
        <f t="shared" si="0"/>
        <v>0.54545454545454541</v>
      </c>
      <c r="J11" s="125">
        <f t="shared" si="1"/>
        <v>0.54545454545454541</v>
      </c>
    </row>
    <row r="12" spans="1:10" ht="28.5" customHeight="1">
      <c r="A12" s="52">
        <v>8</v>
      </c>
      <c r="B12" s="122" t="s">
        <v>464</v>
      </c>
      <c r="C12" s="122"/>
      <c r="D12" s="122"/>
      <c r="E12" s="123"/>
      <c r="F12" s="123" t="s">
        <v>63</v>
      </c>
      <c r="G12" s="123"/>
      <c r="H12" s="123">
        <v>10</v>
      </c>
      <c r="I12" s="124">
        <f t="shared" si="0"/>
        <v>0.90909090909090906</v>
      </c>
      <c r="J12" s="125">
        <f t="shared" si="1"/>
        <v>0.90909090909090906</v>
      </c>
    </row>
    <row r="13" spans="1:10" ht="42.75" customHeight="1">
      <c r="A13" s="52">
        <v>9</v>
      </c>
      <c r="B13" s="122" t="s">
        <v>465</v>
      </c>
      <c r="C13" s="122"/>
      <c r="D13" s="122"/>
      <c r="E13" s="123"/>
      <c r="F13" s="123" t="s">
        <v>63</v>
      </c>
      <c r="G13" s="123"/>
      <c r="H13" s="123">
        <v>10</v>
      </c>
      <c r="I13" s="124">
        <f t="shared" si="0"/>
        <v>0.90909090909090906</v>
      </c>
      <c r="J13" s="125">
        <f t="shared" si="1"/>
        <v>0.90909090909090906</v>
      </c>
    </row>
    <row r="14" spans="1:10" ht="28.5" customHeight="1">
      <c r="A14" s="52">
        <v>10</v>
      </c>
      <c r="B14" s="122" t="s">
        <v>466</v>
      </c>
      <c r="C14" s="122"/>
      <c r="D14" s="122"/>
      <c r="E14" s="123" t="s">
        <v>63</v>
      </c>
      <c r="F14" s="123"/>
      <c r="G14" s="123"/>
      <c r="H14" s="123">
        <v>10</v>
      </c>
      <c r="I14" s="124">
        <f t="shared" si="0"/>
        <v>0.90909090909090906</v>
      </c>
      <c r="J14" s="125">
        <f t="shared" si="1"/>
        <v>0</v>
      </c>
    </row>
    <row r="15" spans="1:10" ht="42.75" customHeight="1">
      <c r="A15" s="52">
        <v>11</v>
      </c>
      <c r="B15" s="122" t="s">
        <v>467</v>
      </c>
      <c r="C15" s="122"/>
      <c r="D15" s="122"/>
      <c r="E15" s="123"/>
      <c r="F15" s="123" t="s">
        <v>63</v>
      </c>
      <c r="G15" s="123"/>
      <c r="H15" s="123">
        <v>10</v>
      </c>
      <c r="I15" s="124">
        <f t="shared" si="0"/>
        <v>0.90909090909090906</v>
      </c>
      <c r="J15" s="125">
        <f t="shared" si="1"/>
        <v>0.90909090909090906</v>
      </c>
    </row>
    <row r="16" spans="1:10" ht="57" customHeight="1">
      <c r="A16" s="52">
        <v>12</v>
      </c>
      <c r="B16" s="122" t="s">
        <v>468</v>
      </c>
      <c r="C16" s="122"/>
      <c r="D16" s="122"/>
      <c r="E16" s="123"/>
      <c r="F16" s="123" t="s">
        <v>63</v>
      </c>
      <c r="G16" s="123"/>
      <c r="H16" s="123">
        <v>2</v>
      </c>
      <c r="I16" s="124">
        <f t="shared" si="0"/>
        <v>0.18181818181818182</v>
      </c>
      <c r="J16" s="125">
        <f t="shared" si="1"/>
        <v>0.18181818181818182</v>
      </c>
    </row>
    <row r="17" spans="1:10" ht="28.5" customHeight="1">
      <c r="A17" s="52">
        <v>13</v>
      </c>
      <c r="B17" s="122" t="s">
        <v>403</v>
      </c>
      <c r="C17" s="122"/>
      <c r="D17" s="122"/>
      <c r="E17" s="123"/>
      <c r="F17" s="123" t="s">
        <v>63</v>
      </c>
      <c r="G17" s="123"/>
      <c r="H17" s="123">
        <v>10</v>
      </c>
      <c r="I17" s="124">
        <f t="shared" si="0"/>
        <v>0.90909090909090906</v>
      </c>
      <c r="J17" s="125">
        <f t="shared" si="1"/>
        <v>0.90909090909090906</v>
      </c>
    </row>
    <row r="18" spans="1:10">
      <c r="A18" s="112" t="s">
        <v>71</v>
      </c>
      <c r="B18" s="112"/>
      <c r="C18" s="112"/>
      <c r="D18" s="112"/>
      <c r="E18" s="112"/>
      <c r="F18" s="112"/>
      <c r="G18" s="112"/>
      <c r="H18" s="112"/>
      <c r="I18" s="37">
        <f>SUM(I5:I17)</f>
        <v>9.9999999999999982</v>
      </c>
      <c r="J18" s="36">
        <f>SUM(J5:J17)</f>
        <v>6.7272727272727275</v>
      </c>
    </row>
  </sheetData>
  <mergeCells count="21">
    <mergeCell ref="B17:D17"/>
    <mergeCell ref="A18:H18"/>
    <mergeCell ref="B11:D11"/>
    <mergeCell ref="B12:D12"/>
    <mergeCell ref="B13:D13"/>
    <mergeCell ref="B14:D14"/>
    <mergeCell ref="B15:D15"/>
    <mergeCell ref="B16:D16"/>
    <mergeCell ref="A1:B1"/>
    <mergeCell ref="A2:B2"/>
    <mergeCell ref="C1:J1"/>
    <mergeCell ref="C2:J2"/>
    <mergeCell ref="B10:D10"/>
    <mergeCell ref="A3:B3"/>
    <mergeCell ref="E3:J3"/>
    <mergeCell ref="B4:D4"/>
    <mergeCell ref="B5:D5"/>
    <mergeCell ref="B6:D6"/>
    <mergeCell ref="B7:D7"/>
    <mergeCell ref="B8:D8"/>
    <mergeCell ref="B9:D9"/>
  </mergeCells>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29441-66AA-4CCF-B76B-1306DB35B037}">
  <sheetPr>
    <tabColor rgb="FF0070C0"/>
  </sheetPr>
  <dimension ref="A1:J16"/>
  <sheetViews>
    <sheetView workbookViewId="0">
      <pane xSplit="4" ySplit="4" topLeftCell="E5" activePane="bottomRight" state="frozen"/>
      <selection pane="bottomRight" activeCell="B7" sqref="A1:J16"/>
      <selection pane="bottomLeft" activeCell="C3" sqref="C3"/>
      <selection pane="topRight" activeCell="C3" sqref="C3"/>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38</v>
      </c>
      <c r="D2" s="74"/>
      <c r="E2" s="74"/>
      <c r="F2" s="74"/>
      <c r="G2" s="74"/>
      <c r="H2" s="74"/>
      <c r="I2" s="74"/>
      <c r="J2" s="75"/>
    </row>
    <row r="3" spans="1:10" ht="45">
      <c r="A3" s="70" t="s">
        <v>81</v>
      </c>
      <c r="B3" s="70"/>
      <c r="C3" s="18" t="s">
        <v>93</v>
      </c>
      <c r="D3" s="55" t="s">
        <v>160</v>
      </c>
      <c r="E3" s="122" t="s">
        <v>395</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28.5" customHeight="1">
      <c r="A5" s="52">
        <v>1</v>
      </c>
      <c r="B5" s="122" t="s">
        <v>272</v>
      </c>
      <c r="C5" s="122"/>
      <c r="D5" s="122"/>
      <c r="E5" s="123"/>
      <c r="F5" s="123" t="s">
        <v>63</v>
      </c>
      <c r="G5" s="123"/>
      <c r="H5" s="123">
        <v>10</v>
      </c>
      <c r="I5" s="124">
        <f>IF(H5="","",((H5*10)/SUM($H$5:$H$15)))</f>
        <v>1.5151515151515151</v>
      </c>
      <c r="J5" s="125">
        <f>IF(F5="X",((H5*10)/SUM($H$5:$H$15)),0)</f>
        <v>1.5151515151515151</v>
      </c>
    </row>
    <row r="6" spans="1:10" ht="42.75" customHeight="1">
      <c r="A6" s="52">
        <v>2</v>
      </c>
      <c r="B6" s="122" t="s">
        <v>396</v>
      </c>
      <c r="C6" s="122"/>
      <c r="D6" s="122"/>
      <c r="E6" s="123"/>
      <c r="F6" s="123" t="s">
        <v>63</v>
      </c>
      <c r="G6" s="123"/>
      <c r="H6" s="123">
        <v>6</v>
      </c>
      <c r="I6" s="124">
        <f t="shared" ref="I6:I15" si="0">IF(H6="","",((H6*10)/SUM($H$5:$H$15)))</f>
        <v>0.90909090909090906</v>
      </c>
      <c r="J6" s="125">
        <f t="shared" ref="J6:J15" si="1">IF(F6="X",((H6*10)/SUM($H$5:$H$15)),0)</f>
        <v>0.90909090909090906</v>
      </c>
    </row>
    <row r="7" spans="1:10" ht="42.75" customHeight="1">
      <c r="A7" s="52">
        <v>3</v>
      </c>
      <c r="B7" s="122" t="s">
        <v>397</v>
      </c>
      <c r="C7" s="122"/>
      <c r="D7" s="122"/>
      <c r="E7" s="123"/>
      <c r="F7" s="123" t="s">
        <v>63</v>
      </c>
      <c r="G7" s="123"/>
      <c r="H7" s="123">
        <v>2</v>
      </c>
      <c r="I7" s="124">
        <f t="shared" si="0"/>
        <v>0.30303030303030304</v>
      </c>
      <c r="J7" s="125">
        <f t="shared" si="1"/>
        <v>0.30303030303030304</v>
      </c>
    </row>
    <row r="8" spans="1:10" ht="42.75" customHeight="1">
      <c r="A8" s="52">
        <v>4</v>
      </c>
      <c r="B8" s="122" t="s">
        <v>398</v>
      </c>
      <c r="C8" s="122"/>
      <c r="D8" s="122"/>
      <c r="E8" s="123"/>
      <c r="F8" s="123" t="s">
        <v>63</v>
      </c>
      <c r="G8" s="123"/>
      <c r="H8" s="123">
        <v>2</v>
      </c>
      <c r="I8" s="124">
        <f t="shared" si="0"/>
        <v>0.30303030303030304</v>
      </c>
      <c r="J8" s="125">
        <f t="shared" si="1"/>
        <v>0.30303030303030304</v>
      </c>
    </row>
    <row r="9" spans="1:10" ht="28.5" customHeight="1">
      <c r="A9" s="52">
        <v>5</v>
      </c>
      <c r="B9" s="122" t="s">
        <v>399</v>
      </c>
      <c r="C9" s="122"/>
      <c r="D9" s="122"/>
      <c r="E9" s="123" t="s">
        <v>63</v>
      </c>
      <c r="F9" s="123"/>
      <c r="G9" s="123"/>
      <c r="H9" s="123">
        <v>6</v>
      </c>
      <c r="I9" s="124">
        <f t="shared" si="0"/>
        <v>0.90909090909090906</v>
      </c>
      <c r="J9" s="125">
        <f t="shared" si="1"/>
        <v>0</v>
      </c>
    </row>
    <row r="10" spans="1:10" ht="28.5" customHeight="1">
      <c r="A10" s="52">
        <v>6</v>
      </c>
      <c r="B10" s="122" t="s">
        <v>400</v>
      </c>
      <c r="C10" s="122"/>
      <c r="D10" s="122"/>
      <c r="E10" s="123"/>
      <c r="F10" s="123" t="s">
        <v>63</v>
      </c>
      <c r="G10" s="123"/>
      <c r="H10" s="123">
        <v>10</v>
      </c>
      <c r="I10" s="124">
        <f t="shared" si="0"/>
        <v>1.5151515151515151</v>
      </c>
      <c r="J10" s="125">
        <f t="shared" si="1"/>
        <v>1.5151515151515151</v>
      </c>
    </row>
    <row r="11" spans="1:10" ht="28.5" customHeight="1">
      <c r="A11" s="52">
        <v>7</v>
      </c>
      <c r="B11" s="122" t="s">
        <v>168</v>
      </c>
      <c r="C11" s="122"/>
      <c r="D11" s="122"/>
      <c r="E11" s="123" t="s">
        <v>63</v>
      </c>
      <c r="F11" s="123"/>
      <c r="G11" s="123"/>
      <c r="H11" s="123">
        <v>10</v>
      </c>
      <c r="I11" s="124">
        <f t="shared" si="0"/>
        <v>1.5151515151515151</v>
      </c>
      <c r="J11" s="125">
        <f t="shared" si="1"/>
        <v>0</v>
      </c>
    </row>
    <row r="12" spans="1:10" ht="28.5" customHeight="1">
      <c r="A12" s="52">
        <v>8</v>
      </c>
      <c r="B12" s="122" t="s">
        <v>401</v>
      </c>
      <c r="C12" s="122"/>
      <c r="D12" s="122"/>
      <c r="E12" s="123" t="s">
        <v>63</v>
      </c>
      <c r="F12" s="123"/>
      <c r="G12" s="123"/>
      <c r="H12" s="123">
        <v>6</v>
      </c>
      <c r="I12" s="124">
        <f t="shared" si="0"/>
        <v>0.90909090909090906</v>
      </c>
      <c r="J12" s="125">
        <f t="shared" si="1"/>
        <v>0</v>
      </c>
    </row>
    <row r="13" spans="1:10" ht="42.75" customHeight="1">
      <c r="A13" s="52">
        <v>9</v>
      </c>
      <c r="B13" s="122" t="s">
        <v>402</v>
      </c>
      <c r="C13" s="122"/>
      <c r="D13" s="122"/>
      <c r="E13" s="123"/>
      <c r="F13" s="123" t="s">
        <v>63</v>
      </c>
      <c r="G13" s="123"/>
      <c r="H13" s="123">
        <v>2</v>
      </c>
      <c r="I13" s="124">
        <f t="shared" si="0"/>
        <v>0.30303030303030304</v>
      </c>
      <c r="J13" s="125">
        <f t="shared" si="1"/>
        <v>0.30303030303030304</v>
      </c>
    </row>
    <row r="14" spans="1:10" ht="28.5" customHeight="1">
      <c r="A14" s="52">
        <v>10</v>
      </c>
      <c r="B14" s="122" t="s">
        <v>403</v>
      </c>
      <c r="C14" s="122"/>
      <c r="D14" s="122"/>
      <c r="E14" s="123"/>
      <c r="F14" s="123" t="s">
        <v>63</v>
      </c>
      <c r="G14" s="123"/>
      <c r="H14" s="123">
        <v>6</v>
      </c>
      <c r="I14" s="124">
        <f t="shared" si="0"/>
        <v>0.90909090909090906</v>
      </c>
      <c r="J14" s="125">
        <f t="shared" si="1"/>
        <v>0.90909090909090906</v>
      </c>
    </row>
    <row r="15" spans="1:10">
      <c r="A15" s="52">
        <v>11</v>
      </c>
      <c r="B15" s="122" t="s">
        <v>172</v>
      </c>
      <c r="C15" s="122"/>
      <c r="D15" s="122"/>
      <c r="E15" s="123"/>
      <c r="F15" s="123" t="s">
        <v>63</v>
      </c>
      <c r="G15" s="123"/>
      <c r="H15" s="123">
        <v>6</v>
      </c>
      <c r="I15" s="124">
        <f t="shared" si="0"/>
        <v>0.90909090909090906</v>
      </c>
      <c r="J15" s="125">
        <f t="shared" si="1"/>
        <v>0.90909090909090906</v>
      </c>
    </row>
    <row r="16" spans="1:10">
      <c r="A16" s="112" t="s">
        <v>71</v>
      </c>
      <c r="B16" s="112"/>
      <c r="C16" s="112"/>
      <c r="D16" s="112"/>
      <c r="E16" s="112"/>
      <c r="F16" s="112"/>
      <c r="G16" s="112"/>
      <c r="H16" s="112"/>
      <c r="I16" s="37">
        <f>SUM(I5:I15)</f>
        <v>10</v>
      </c>
      <c r="J16" s="36">
        <f>SUM(J5:J15)</f>
        <v>6.666666666666667</v>
      </c>
    </row>
  </sheetData>
  <mergeCells count="19">
    <mergeCell ref="B14:D14"/>
    <mergeCell ref="B15:D15"/>
    <mergeCell ref="A16:H16"/>
    <mergeCell ref="B8:D8"/>
    <mergeCell ref="B9:D9"/>
    <mergeCell ref="B10:D10"/>
    <mergeCell ref="B11:D11"/>
    <mergeCell ref="B12:D12"/>
    <mergeCell ref="B13:D13"/>
    <mergeCell ref="A1:B1"/>
    <mergeCell ref="A2:B2"/>
    <mergeCell ref="C1:J1"/>
    <mergeCell ref="C2:J2"/>
    <mergeCell ref="B7:D7"/>
    <mergeCell ref="A3:B3"/>
    <mergeCell ref="E3:J3"/>
    <mergeCell ref="B4:D4"/>
    <mergeCell ref="B5:D5"/>
    <mergeCell ref="B6:D6"/>
  </mergeCell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9472E-3B38-400F-BD0D-14E670618B17}">
  <sheetPr>
    <tabColor rgb="FF0070C0"/>
  </sheetPr>
  <dimension ref="A1:J17"/>
  <sheetViews>
    <sheetView workbookViewId="0">
      <pane xSplit="4" ySplit="4" topLeftCell="E5" activePane="bottomRight" state="frozen"/>
      <selection pane="bottomRight" activeCell="B6" sqref="A1:J17"/>
      <selection pane="bottomLeft" activeCell="C3" sqref="C3"/>
      <selection pane="topRight" activeCell="C3" sqref="C3"/>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38</v>
      </c>
      <c r="D2" s="74"/>
      <c r="E2" s="74"/>
      <c r="F2" s="74"/>
      <c r="G2" s="74"/>
      <c r="H2" s="74"/>
      <c r="I2" s="74"/>
      <c r="J2" s="75"/>
    </row>
    <row r="3" spans="1:10" ht="90">
      <c r="A3" s="70" t="s">
        <v>81</v>
      </c>
      <c r="B3" s="70"/>
      <c r="C3" s="18" t="s">
        <v>93</v>
      </c>
      <c r="D3" s="55" t="s">
        <v>176</v>
      </c>
      <c r="E3" s="122" t="s">
        <v>404</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57" customHeight="1">
      <c r="A5" s="52">
        <v>1</v>
      </c>
      <c r="B5" s="122" t="s">
        <v>405</v>
      </c>
      <c r="C5" s="122"/>
      <c r="D5" s="122"/>
      <c r="E5" s="123" t="s">
        <v>63</v>
      </c>
      <c r="F5" s="123"/>
      <c r="G5" s="55"/>
      <c r="H5" s="123">
        <v>6</v>
      </c>
      <c r="I5" s="124">
        <f>IF(H5="","",((H5*10)/SUM($H$5:$H$16)))</f>
        <v>0.83333333333333337</v>
      </c>
      <c r="J5" s="125">
        <f>IF(F5="X",((H5*10)/SUM($H$5:$H$16)),0)</f>
        <v>0</v>
      </c>
    </row>
    <row r="6" spans="1:10" ht="28.5" customHeight="1">
      <c r="A6" s="52">
        <v>2</v>
      </c>
      <c r="B6" s="122" t="s">
        <v>99</v>
      </c>
      <c r="C6" s="122"/>
      <c r="D6" s="122"/>
      <c r="E6" s="123"/>
      <c r="F6" s="123" t="s">
        <v>63</v>
      </c>
      <c r="G6" s="55"/>
      <c r="H6" s="123">
        <v>2</v>
      </c>
      <c r="I6" s="124">
        <f t="shared" ref="I6:I16" si="0">IF(H6="","",((H6*10)/SUM($H$5:$H$16)))</f>
        <v>0.27777777777777779</v>
      </c>
      <c r="J6" s="125">
        <f t="shared" ref="J6:J16" si="1">IF(F6="X",((H6*10)/SUM($H$5:$H$16)),0)</f>
        <v>0.27777777777777779</v>
      </c>
    </row>
    <row r="7" spans="1:10" ht="28.5" customHeight="1">
      <c r="A7" s="52">
        <v>3</v>
      </c>
      <c r="B7" s="122" t="s">
        <v>406</v>
      </c>
      <c r="C7" s="122"/>
      <c r="D7" s="122"/>
      <c r="E7" s="123" t="s">
        <v>63</v>
      </c>
      <c r="F7" s="123"/>
      <c r="G7" s="55"/>
      <c r="H7" s="123">
        <v>10</v>
      </c>
      <c r="I7" s="124">
        <f t="shared" si="0"/>
        <v>1.3888888888888888</v>
      </c>
      <c r="J7" s="125">
        <f t="shared" si="1"/>
        <v>0</v>
      </c>
    </row>
    <row r="8" spans="1:10" ht="42.75" customHeight="1">
      <c r="A8" s="52">
        <v>4</v>
      </c>
      <c r="B8" s="122" t="s">
        <v>407</v>
      </c>
      <c r="C8" s="122"/>
      <c r="D8" s="122"/>
      <c r="E8" s="123" t="s">
        <v>63</v>
      </c>
      <c r="F8" s="123"/>
      <c r="G8" s="55"/>
      <c r="H8" s="123">
        <v>6</v>
      </c>
      <c r="I8" s="124">
        <f t="shared" si="0"/>
        <v>0.83333333333333337</v>
      </c>
      <c r="J8" s="125">
        <f t="shared" si="1"/>
        <v>0</v>
      </c>
    </row>
    <row r="9" spans="1:10" ht="28.5" customHeight="1">
      <c r="A9" s="52">
        <v>5</v>
      </c>
      <c r="B9" s="122" t="s">
        <v>408</v>
      </c>
      <c r="C9" s="122"/>
      <c r="D9" s="122"/>
      <c r="E9" s="123"/>
      <c r="F9" s="123" t="s">
        <v>63</v>
      </c>
      <c r="G9" s="55"/>
      <c r="H9" s="123">
        <v>10</v>
      </c>
      <c r="I9" s="124">
        <f t="shared" si="0"/>
        <v>1.3888888888888888</v>
      </c>
      <c r="J9" s="125">
        <f t="shared" si="1"/>
        <v>1.3888888888888888</v>
      </c>
    </row>
    <row r="10" spans="1:10" ht="28.5" customHeight="1">
      <c r="A10" s="52">
        <v>6</v>
      </c>
      <c r="B10" s="122" t="s">
        <v>409</v>
      </c>
      <c r="C10" s="122"/>
      <c r="D10" s="122"/>
      <c r="E10" s="123"/>
      <c r="F10" s="123" t="s">
        <v>63</v>
      </c>
      <c r="G10" s="55"/>
      <c r="H10" s="123">
        <v>10</v>
      </c>
      <c r="I10" s="124">
        <f t="shared" si="0"/>
        <v>1.3888888888888888</v>
      </c>
      <c r="J10" s="125">
        <f t="shared" si="1"/>
        <v>1.3888888888888888</v>
      </c>
    </row>
    <row r="11" spans="1:10" ht="28.5" customHeight="1">
      <c r="A11" s="52">
        <v>7</v>
      </c>
      <c r="B11" s="122" t="s">
        <v>410</v>
      </c>
      <c r="C11" s="122"/>
      <c r="D11" s="122"/>
      <c r="E11" s="123"/>
      <c r="F11" s="123" t="s">
        <v>63</v>
      </c>
      <c r="G11" s="55"/>
      <c r="H11" s="123">
        <v>2</v>
      </c>
      <c r="I11" s="124">
        <f t="shared" si="0"/>
        <v>0.27777777777777779</v>
      </c>
      <c r="J11" s="125">
        <f t="shared" si="1"/>
        <v>0.27777777777777779</v>
      </c>
    </row>
    <row r="12" spans="1:10" ht="28.5" customHeight="1">
      <c r="A12" s="52">
        <v>8</v>
      </c>
      <c r="B12" s="122" t="s">
        <v>182</v>
      </c>
      <c r="C12" s="122"/>
      <c r="D12" s="122"/>
      <c r="E12" s="123"/>
      <c r="F12" s="123" t="s">
        <v>63</v>
      </c>
      <c r="G12" s="55"/>
      <c r="H12" s="123">
        <v>10</v>
      </c>
      <c r="I12" s="124">
        <f t="shared" si="0"/>
        <v>1.3888888888888888</v>
      </c>
      <c r="J12" s="125">
        <f t="shared" si="1"/>
        <v>1.3888888888888888</v>
      </c>
    </row>
    <row r="13" spans="1:10" ht="28.5" customHeight="1">
      <c r="A13" s="52">
        <v>9</v>
      </c>
      <c r="B13" s="122" t="s">
        <v>411</v>
      </c>
      <c r="C13" s="122"/>
      <c r="D13" s="122"/>
      <c r="E13" s="123"/>
      <c r="F13" s="123" t="s">
        <v>63</v>
      </c>
      <c r="G13" s="55"/>
      <c r="H13" s="123">
        <v>2</v>
      </c>
      <c r="I13" s="124">
        <f t="shared" si="0"/>
        <v>0.27777777777777779</v>
      </c>
      <c r="J13" s="125">
        <f t="shared" si="1"/>
        <v>0.27777777777777779</v>
      </c>
    </row>
    <row r="14" spans="1:10" ht="28.5" customHeight="1">
      <c r="A14" s="52">
        <v>10</v>
      </c>
      <c r="B14" s="122" t="s">
        <v>412</v>
      </c>
      <c r="C14" s="122"/>
      <c r="D14" s="122"/>
      <c r="E14" s="123" t="s">
        <v>63</v>
      </c>
      <c r="F14" s="123"/>
      <c r="G14" s="55"/>
      <c r="H14" s="123">
        <v>6</v>
      </c>
      <c r="I14" s="124">
        <f t="shared" si="0"/>
        <v>0.83333333333333337</v>
      </c>
      <c r="J14" s="125">
        <f t="shared" si="1"/>
        <v>0</v>
      </c>
    </row>
    <row r="15" spans="1:10" ht="42.75" customHeight="1">
      <c r="A15" s="52">
        <v>11</v>
      </c>
      <c r="B15" s="122" t="s">
        <v>413</v>
      </c>
      <c r="C15" s="122"/>
      <c r="D15" s="122"/>
      <c r="E15" s="123" t="s">
        <v>63</v>
      </c>
      <c r="F15" s="123"/>
      <c r="G15" s="55"/>
      <c r="H15" s="123">
        <v>6</v>
      </c>
      <c r="I15" s="124">
        <f t="shared" si="0"/>
        <v>0.83333333333333337</v>
      </c>
      <c r="J15" s="125">
        <f t="shared" si="1"/>
        <v>0</v>
      </c>
    </row>
    <row r="16" spans="1:10" ht="42.75" customHeight="1">
      <c r="A16" s="52">
        <v>12</v>
      </c>
      <c r="B16" s="122" t="s">
        <v>414</v>
      </c>
      <c r="C16" s="122"/>
      <c r="D16" s="122"/>
      <c r="E16" s="123"/>
      <c r="F16" s="123" t="s">
        <v>63</v>
      </c>
      <c r="G16" s="55"/>
      <c r="H16" s="123">
        <v>2</v>
      </c>
      <c r="I16" s="124">
        <f t="shared" si="0"/>
        <v>0.27777777777777779</v>
      </c>
      <c r="J16" s="125">
        <f t="shared" si="1"/>
        <v>0.27777777777777779</v>
      </c>
    </row>
    <row r="17" spans="1:10">
      <c r="A17" s="112" t="s">
        <v>71</v>
      </c>
      <c r="B17" s="112"/>
      <c r="C17" s="112"/>
      <c r="D17" s="112"/>
      <c r="E17" s="112"/>
      <c r="F17" s="112"/>
      <c r="G17" s="112"/>
      <c r="H17" s="112"/>
      <c r="I17" s="37">
        <f>SUM(I5:I16)</f>
        <v>10.000000000000002</v>
      </c>
      <c r="J17" s="36">
        <f>SUM(J5:J16)</f>
        <v>5.2777777777777768</v>
      </c>
    </row>
  </sheetData>
  <mergeCells count="20">
    <mergeCell ref="B14:D14"/>
    <mergeCell ref="B15:D15"/>
    <mergeCell ref="B16:D16"/>
    <mergeCell ref="A17:H17"/>
    <mergeCell ref="B8:D8"/>
    <mergeCell ref="B9:D9"/>
    <mergeCell ref="B10:D10"/>
    <mergeCell ref="B11:D11"/>
    <mergeCell ref="B12:D12"/>
    <mergeCell ref="B13:D13"/>
    <mergeCell ref="A1:B1"/>
    <mergeCell ref="A2:B2"/>
    <mergeCell ref="C1:J1"/>
    <mergeCell ref="C2:J2"/>
    <mergeCell ref="B7:D7"/>
    <mergeCell ref="A3:B3"/>
    <mergeCell ref="E3:J3"/>
    <mergeCell ref="B4:D4"/>
    <mergeCell ref="B5:D5"/>
    <mergeCell ref="B6:D6"/>
  </mergeCell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6830E-49E2-46AB-849F-CE7481FA1D36}">
  <sheetPr>
    <tabColor rgb="FF0070C0"/>
  </sheetPr>
  <dimension ref="A1:J18"/>
  <sheetViews>
    <sheetView workbookViewId="0">
      <pane xSplit="4" ySplit="4" topLeftCell="E5" activePane="bottomRight" state="frozen"/>
      <selection pane="bottomRight" activeCell="B8" sqref="A1:J18"/>
      <selection pane="bottomLeft" activeCell="C3" sqref="C3"/>
      <selection pane="topRight" activeCell="C3" sqref="C3"/>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38</v>
      </c>
      <c r="D2" s="74"/>
      <c r="E2" s="74"/>
      <c r="F2" s="74"/>
      <c r="G2" s="74"/>
      <c r="H2" s="74"/>
      <c r="I2" s="74"/>
      <c r="J2" s="75"/>
    </row>
    <row r="3" spans="1:10" ht="90">
      <c r="A3" s="70" t="s">
        <v>81</v>
      </c>
      <c r="B3" s="70"/>
      <c r="C3" s="18" t="s">
        <v>93</v>
      </c>
      <c r="D3" s="55" t="s">
        <v>188</v>
      </c>
      <c r="E3" s="122" t="s">
        <v>415</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28.5" customHeight="1">
      <c r="A5" s="52">
        <v>1</v>
      </c>
      <c r="B5" s="122" t="s">
        <v>272</v>
      </c>
      <c r="C5" s="122"/>
      <c r="D5" s="122"/>
      <c r="E5" s="123"/>
      <c r="F5" s="123" t="s">
        <v>63</v>
      </c>
      <c r="G5" s="55"/>
      <c r="H5" s="123">
        <v>10</v>
      </c>
      <c r="I5" s="124">
        <f>IF(H5="","",((H5*10)/SUM($H$5:$H$17)))</f>
        <v>1.2195121951219512</v>
      </c>
      <c r="J5" s="125">
        <f>IF(F5="X",((H5*10)/SUM($H$5:$H$17)),0)</f>
        <v>1.2195121951219512</v>
      </c>
    </row>
    <row r="6" spans="1:10" ht="28.5" customHeight="1">
      <c r="A6" s="52">
        <v>2</v>
      </c>
      <c r="B6" s="122" t="s">
        <v>406</v>
      </c>
      <c r="C6" s="122"/>
      <c r="D6" s="122"/>
      <c r="E6" s="123" t="s">
        <v>63</v>
      </c>
      <c r="F6" s="123"/>
      <c r="G6" s="55"/>
      <c r="H6" s="123">
        <v>10</v>
      </c>
      <c r="I6" s="124">
        <f t="shared" ref="I6:I17" si="0">IF(H6="","",((H6*10)/SUM($H$5:$H$17)))</f>
        <v>1.2195121951219512</v>
      </c>
      <c r="J6" s="125">
        <f t="shared" ref="J6:J17" si="1">IF(F6="X",((H6*10)/SUM($H$5:$H$17)),0)</f>
        <v>0</v>
      </c>
    </row>
    <row r="7" spans="1:10" ht="42.75" customHeight="1">
      <c r="A7" s="52">
        <v>3</v>
      </c>
      <c r="B7" s="122" t="s">
        <v>416</v>
      </c>
      <c r="C7" s="122"/>
      <c r="D7" s="122"/>
      <c r="E7" s="123" t="s">
        <v>63</v>
      </c>
      <c r="F7" s="123"/>
      <c r="G7" s="55"/>
      <c r="H7" s="123">
        <v>10</v>
      </c>
      <c r="I7" s="124">
        <f t="shared" si="0"/>
        <v>1.2195121951219512</v>
      </c>
      <c r="J7" s="125">
        <f t="shared" si="1"/>
        <v>0</v>
      </c>
    </row>
    <row r="8" spans="1:10" ht="42.75" customHeight="1">
      <c r="A8" s="52">
        <v>4</v>
      </c>
      <c r="B8" s="122" t="s">
        <v>407</v>
      </c>
      <c r="C8" s="122"/>
      <c r="D8" s="122"/>
      <c r="E8" s="123" t="s">
        <v>63</v>
      </c>
      <c r="F8" s="123"/>
      <c r="G8" s="55"/>
      <c r="H8" s="123">
        <v>6</v>
      </c>
      <c r="I8" s="124">
        <f t="shared" si="0"/>
        <v>0.73170731707317072</v>
      </c>
      <c r="J8" s="125">
        <f t="shared" si="1"/>
        <v>0</v>
      </c>
    </row>
    <row r="9" spans="1:10" ht="28.5" customHeight="1">
      <c r="A9" s="52">
        <v>5</v>
      </c>
      <c r="B9" s="122" t="s">
        <v>417</v>
      </c>
      <c r="C9" s="122"/>
      <c r="D9" s="122"/>
      <c r="E9" s="123"/>
      <c r="F9" s="123" t="s">
        <v>63</v>
      </c>
      <c r="G9" s="55"/>
      <c r="H9" s="123">
        <v>10</v>
      </c>
      <c r="I9" s="124">
        <f t="shared" si="0"/>
        <v>1.2195121951219512</v>
      </c>
      <c r="J9" s="125">
        <f t="shared" si="1"/>
        <v>1.2195121951219512</v>
      </c>
    </row>
    <row r="10" spans="1:10" ht="42.75" customHeight="1">
      <c r="A10" s="52">
        <v>6</v>
      </c>
      <c r="B10" s="122" t="s">
        <v>418</v>
      </c>
      <c r="C10" s="122"/>
      <c r="D10" s="122"/>
      <c r="E10" s="123" t="s">
        <v>63</v>
      </c>
      <c r="F10" s="123"/>
      <c r="G10" s="55"/>
      <c r="H10" s="123">
        <v>2</v>
      </c>
      <c r="I10" s="124">
        <f t="shared" si="0"/>
        <v>0.24390243902439024</v>
      </c>
      <c r="J10" s="125">
        <f t="shared" si="1"/>
        <v>0</v>
      </c>
    </row>
    <row r="11" spans="1:10" ht="28.5" customHeight="1">
      <c r="A11" s="52">
        <v>7</v>
      </c>
      <c r="B11" s="122" t="s">
        <v>419</v>
      </c>
      <c r="C11" s="122"/>
      <c r="D11" s="122"/>
      <c r="E11" s="123" t="s">
        <v>63</v>
      </c>
      <c r="F11" s="123"/>
      <c r="G11" s="55"/>
      <c r="H11" s="123">
        <v>6</v>
      </c>
      <c r="I11" s="124">
        <f t="shared" si="0"/>
        <v>0.73170731707317072</v>
      </c>
      <c r="J11" s="125">
        <f t="shared" si="1"/>
        <v>0</v>
      </c>
    </row>
    <row r="12" spans="1:10" ht="28.5" customHeight="1">
      <c r="A12" s="52">
        <v>8</v>
      </c>
      <c r="B12" s="122" t="s">
        <v>420</v>
      </c>
      <c r="C12" s="122"/>
      <c r="D12" s="122"/>
      <c r="E12" s="123"/>
      <c r="F12" s="123" t="s">
        <v>63</v>
      </c>
      <c r="G12" s="55"/>
      <c r="H12" s="123">
        <v>6</v>
      </c>
      <c r="I12" s="124">
        <f t="shared" si="0"/>
        <v>0.73170731707317072</v>
      </c>
      <c r="J12" s="125">
        <f t="shared" si="1"/>
        <v>0.73170731707317072</v>
      </c>
    </row>
    <row r="13" spans="1:10" ht="28.5" customHeight="1">
      <c r="A13" s="52">
        <v>9</v>
      </c>
      <c r="B13" s="122" t="s">
        <v>421</v>
      </c>
      <c r="C13" s="122"/>
      <c r="D13" s="122"/>
      <c r="E13" s="123"/>
      <c r="F13" s="123" t="s">
        <v>63</v>
      </c>
      <c r="G13" s="55"/>
      <c r="H13" s="123">
        <v>2</v>
      </c>
      <c r="I13" s="124">
        <f t="shared" si="0"/>
        <v>0.24390243902439024</v>
      </c>
      <c r="J13" s="125">
        <f t="shared" si="1"/>
        <v>0.24390243902439024</v>
      </c>
    </row>
    <row r="14" spans="1:10" ht="28.5" customHeight="1">
      <c r="A14" s="52">
        <v>10</v>
      </c>
      <c r="B14" s="122" t="s">
        <v>422</v>
      </c>
      <c r="C14" s="122"/>
      <c r="D14" s="122"/>
      <c r="E14" s="123"/>
      <c r="F14" s="123" t="s">
        <v>63</v>
      </c>
      <c r="G14" s="55"/>
      <c r="H14" s="123">
        <v>2</v>
      </c>
      <c r="I14" s="124">
        <f t="shared" si="0"/>
        <v>0.24390243902439024</v>
      </c>
      <c r="J14" s="125">
        <f t="shared" si="1"/>
        <v>0.24390243902439024</v>
      </c>
    </row>
    <row r="15" spans="1:10" ht="28.5" customHeight="1">
      <c r="A15" s="52">
        <v>11</v>
      </c>
      <c r="B15" s="122" t="s">
        <v>423</v>
      </c>
      <c r="C15" s="122"/>
      <c r="D15" s="122"/>
      <c r="E15" s="123" t="s">
        <v>63</v>
      </c>
      <c r="F15" s="123"/>
      <c r="G15" s="55"/>
      <c r="H15" s="123">
        <v>6</v>
      </c>
      <c r="I15" s="124">
        <f t="shared" si="0"/>
        <v>0.73170731707317072</v>
      </c>
      <c r="J15" s="125">
        <f t="shared" si="1"/>
        <v>0</v>
      </c>
    </row>
    <row r="16" spans="1:10" ht="28.5" customHeight="1">
      <c r="A16" s="52">
        <v>12</v>
      </c>
      <c r="B16" s="122" t="s">
        <v>424</v>
      </c>
      <c r="C16" s="122"/>
      <c r="D16" s="122"/>
      <c r="E16" s="123"/>
      <c r="F16" s="123" t="s">
        <v>63</v>
      </c>
      <c r="G16" s="55"/>
      <c r="H16" s="123">
        <v>6</v>
      </c>
      <c r="I16" s="124">
        <f t="shared" si="0"/>
        <v>0.73170731707317072</v>
      </c>
      <c r="J16" s="125">
        <f t="shared" si="1"/>
        <v>0.73170731707317072</v>
      </c>
    </row>
    <row r="17" spans="1:10" ht="28.5" customHeight="1">
      <c r="A17" s="52">
        <v>13</v>
      </c>
      <c r="B17" s="122" t="s">
        <v>425</v>
      </c>
      <c r="C17" s="122"/>
      <c r="D17" s="122"/>
      <c r="E17" s="123"/>
      <c r="F17" s="123" t="s">
        <v>63</v>
      </c>
      <c r="G17" s="55"/>
      <c r="H17" s="123">
        <v>6</v>
      </c>
      <c r="I17" s="124">
        <f t="shared" si="0"/>
        <v>0.73170731707317072</v>
      </c>
      <c r="J17" s="125">
        <f t="shared" si="1"/>
        <v>0.73170731707317072</v>
      </c>
    </row>
    <row r="18" spans="1:10">
      <c r="A18" s="112" t="s">
        <v>71</v>
      </c>
      <c r="B18" s="112"/>
      <c r="C18" s="112"/>
      <c r="D18" s="112"/>
      <c r="E18" s="112"/>
      <c r="F18" s="112"/>
      <c r="G18" s="112"/>
      <c r="H18" s="112"/>
      <c r="I18" s="37">
        <f>SUM(I5:I17)</f>
        <v>10.000000000000002</v>
      </c>
      <c r="J18" s="36">
        <f>SUM(J5:J17)</f>
        <v>5.1219512195121952</v>
      </c>
    </row>
  </sheetData>
  <mergeCells count="21">
    <mergeCell ref="B14:D14"/>
    <mergeCell ref="B15:D15"/>
    <mergeCell ref="B16:D16"/>
    <mergeCell ref="B17:D17"/>
    <mergeCell ref="A18:H18"/>
    <mergeCell ref="A1:B1"/>
    <mergeCell ref="A2:B2"/>
    <mergeCell ref="C1:J1"/>
    <mergeCell ref="C2:J2"/>
    <mergeCell ref="B13:D13"/>
    <mergeCell ref="A3:B3"/>
    <mergeCell ref="E3:J3"/>
    <mergeCell ref="B4:D4"/>
    <mergeCell ref="B5:D5"/>
    <mergeCell ref="B6:D6"/>
    <mergeCell ref="B7:D7"/>
    <mergeCell ref="B8:D8"/>
    <mergeCell ref="B9:D9"/>
    <mergeCell ref="B10:D10"/>
    <mergeCell ref="B11:D11"/>
    <mergeCell ref="B12:D12"/>
  </mergeCell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1A5AA-6499-4703-A603-AFEFE23169DF}">
  <sheetPr>
    <tabColor rgb="FF0070C0"/>
  </sheetPr>
  <dimension ref="A1:J19"/>
  <sheetViews>
    <sheetView workbookViewId="0">
      <pane xSplit="4" ySplit="4" topLeftCell="E5" activePane="bottomRight" state="frozen"/>
      <selection pane="bottomRight" activeCell="B8" sqref="A1:J19"/>
      <selection pane="bottomLeft" activeCell="C3" sqref="C3"/>
      <selection pane="topRight" activeCell="C3" sqref="C3"/>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38</v>
      </c>
      <c r="D2" s="74"/>
      <c r="E2" s="74"/>
      <c r="F2" s="74"/>
      <c r="G2" s="74"/>
      <c r="H2" s="74"/>
      <c r="I2" s="74"/>
      <c r="J2" s="75"/>
    </row>
    <row r="3" spans="1:10" ht="30">
      <c r="A3" s="70" t="s">
        <v>81</v>
      </c>
      <c r="B3" s="70"/>
      <c r="C3" s="18" t="s">
        <v>200</v>
      </c>
      <c r="D3" s="55" t="s">
        <v>426</v>
      </c>
      <c r="E3" s="122" t="s">
        <v>427</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28.5" customHeight="1">
      <c r="A5" s="52">
        <v>1</v>
      </c>
      <c r="B5" s="122" t="s">
        <v>428</v>
      </c>
      <c r="C5" s="122"/>
      <c r="D5" s="122"/>
      <c r="E5" s="123"/>
      <c r="F5" s="123" t="s">
        <v>63</v>
      </c>
      <c r="G5" s="55"/>
      <c r="H5" s="27">
        <v>6</v>
      </c>
      <c r="I5" s="124">
        <f>IF(H5="","",((H5*10)/SUM($H$5:$H$18)))</f>
        <v>0.5</v>
      </c>
      <c r="J5" s="125">
        <f>IF(F5="X",((H5*10)/SUM($H$5:$H$18)),0)</f>
        <v>0.5</v>
      </c>
    </row>
    <row r="6" spans="1:10" ht="28.5" customHeight="1">
      <c r="A6" s="52">
        <v>2</v>
      </c>
      <c r="B6" s="122" t="s">
        <v>429</v>
      </c>
      <c r="C6" s="122"/>
      <c r="D6" s="122"/>
      <c r="E6" s="123"/>
      <c r="F6" s="123" t="s">
        <v>63</v>
      </c>
      <c r="G6" s="55"/>
      <c r="H6" s="27">
        <v>6</v>
      </c>
      <c r="I6" s="124">
        <f t="shared" ref="I6:I18" si="0">IF(H6="","",((H6*10)/SUM($H$5:$H$18)))</f>
        <v>0.5</v>
      </c>
      <c r="J6" s="125">
        <f t="shared" ref="J6:J18" si="1">IF(F6="X",((H6*10)/SUM($H$5:$H$18)),0)</f>
        <v>0.5</v>
      </c>
    </row>
    <row r="7" spans="1:10" ht="57" customHeight="1">
      <c r="A7" s="52">
        <v>3</v>
      </c>
      <c r="B7" s="122" t="s">
        <v>430</v>
      </c>
      <c r="C7" s="122"/>
      <c r="D7" s="122"/>
      <c r="E7" s="123"/>
      <c r="F7" s="123" t="s">
        <v>63</v>
      </c>
      <c r="G7" s="55"/>
      <c r="H7" s="27">
        <v>10</v>
      </c>
      <c r="I7" s="124">
        <f t="shared" si="0"/>
        <v>0.83333333333333337</v>
      </c>
      <c r="J7" s="125">
        <f t="shared" si="1"/>
        <v>0.83333333333333337</v>
      </c>
    </row>
    <row r="8" spans="1:10" ht="57" customHeight="1">
      <c r="A8" s="52">
        <v>4</v>
      </c>
      <c r="B8" s="122" t="s">
        <v>431</v>
      </c>
      <c r="C8" s="122"/>
      <c r="D8" s="122"/>
      <c r="E8" s="123"/>
      <c r="F8" s="123" t="s">
        <v>63</v>
      </c>
      <c r="G8" s="55"/>
      <c r="H8" s="27">
        <v>10</v>
      </c>
      <c r="I8" s="124">
        <f t="shared" si="0"/>
        <v>0.83333333333333337</v>
      </c>
      <c r="J8" s="125">
        <f t="shared" si="1"/>
        <v>0.83333333333333337</v>
      </c>
    </row>
    <row r="9" spans="1:10" ht="42.75" customHeight="1">
      <c r="A9" s="52">
        <v>5</v>
      </c>
      <c r="B9" s="122" t="s">
        <v>207</v>
      </c>
      <c r="C9" s="122"/>
      <c r="D9" s="122"/>
      <c r="E9" s="123"/>
      <c r="F9" s="123" t="s">
        <v>63</v>
      </c>
      <c r="G9" s="55"/>
      <c r="H9" s="27">
        <v>10</v>
      </c>
      <c r="I9" s="124">
        <f t="shared" si="0"/>
        <v>0.83333333333333337</v>
      </c>
      <c r="J9" s="125">
        <f t="shared" si="1"/>
        <v>0.83333333333333337</v>
      </c>
    </row>
    <row r="10" spans="1:10" ht="28.5" customHeight="1">
      <c r="A10" s="52">
        <v>6</v>
      </c>
      <c r="B10" s="122" t="s">
        <v>432</v>
      </c>
      <c r="C10" s="122"/>
      <c r="D10" s="122"/>
      <c r="E10" s="123"/>
      <c r="F10" s="123" t="s">
        <v>63</v>
      </c>
      <c r="G10" s="55"/>
      <c r="H10" s="27">
        <v>10</v>
      </c>
      <c r="I10" s="124">
        <f t="shared" si="0"/>
        <v>0.83333333333333337</v>
      </c>
      <c r="J10" s="125">
        <f t="shared" si="1"/>
        <v>0.83333333333333337</v>
      </c>
    </row>
    <row r="11" spans="1:10" ht="28.5" customHeight="1">
      <c r="A11" s="52">
        <v>7</v>
      </c>
      <c r="B11" s="122" t="s">
        <v>433</v>
      </c>
      <c r="C11" s="122"/>
      <c r="D11" s="122"/>
      <c r="E11" s="123"/>
      <c r="F11" s="123" t="s">
        <v>63</v>
      </c>
      <c r="G11" s="55"/>
      <c r="H11" s="27">
        <v>6</v>
      </c>
      <c r="I11" s="124">
        <f t="shared" si="0"/>
        <v>0.5</v>
      </c>
      <c r="J11" s="125">
        <f t="shared" si="1"/>
        <v>0.5</v>
      </c>
    </row>
    <row r="12" spans="1:10" ht="42.75" customHeight="1">
      <c r="A12" s="52">
        <v>8</v>
      </c>
      <c r="B12" s="122" t="s">
        <v>434</v>
      </c>
      <c r="C12" s="122"/>
      <c r="D12" s="122"/>
      <c r="E12" s="123" t="s">
        <v>63</v>
      </c>
      <c r="F12" s="123"/>
      <c r="G12" s="55"/>
      <c r="H12" s="27">
        <v>2</v>
      </c>
      <c r="I12" s="124">
        <f t="shared" si="0"/>
        <v>0.16666666666666666</v>
      </c>
      <c r="J12" s="125">
        <f t="shared" si="1"/>
        <v>0</v>
      </c>
    </row>
    <row r="13" spans="1:10" ht="42.75" customHeight="1">
      <c r="A13" s="52">
        <v>9</v>
      </c>
      <c r="B13" s="122" t="s">
        <v>435</v>
      </c>
      <c r="C13" s="122"/>
      <c r="D13" s="122"/>
      <c r="E13" s="123" t="s">
        <v>63</v>
      </c>
      <c r="F13" s="123"/>
      <c r="G13" s="55"/>
      <c r="H13" s="27">
        <v>10</v>
      </c>
      <c r="I13" s="124">
        <f t="shared" si="0"/>
        <v>0.83333333333333337</v>
      </c>
      <c r="J13" s="125">
        <f t="shared" si="1"/>
        <v>0</v>
      </c>
    </row>
    <row r="14" spans="1:10" ht="42.75" customHeight="1">
      <c r="A14" s="52">
        <v>10</v>
      </c>
      <c r="B14" s="122" t="s">
        <v>215</v>
      </c>
      <c r="C14" s="122"/>
      <c r="D14" s="122"/>
      <c r="E14" s="123"/>
      <c r="F14" s="123" t="s">
        <v>63</v>
      </c>
      <c r="G14" s="55"/>
      <c r="H14" s="27">
        <v>10</v>
      </c>
      <c r="I14" s="124">
        <f t="shared" si="0"/>
        <v>0.83333333333333337</v>
      </c>
      <c r="J14" s="125">
        <f t="shared" si="1"/>
        <v>0.83333333333333337</v>
      </c>
    </row>
    <row r="15" spans="1:10" ht="42.75" customHeight="1">
      <c r="A15" s="52">
        <v>11</v>
      </c>
      <c r="B15" s="122" t="s">
        <v>436</v>
      </c>
      <c r="C15" s="122"/>
      <c r="D15" s="122"/>
      <c r="E15" s="123" t="s">
        <v>63</v>
      </c>
      <c r="F15" s="123"/>
      <c r="G15" s="55"/>
      <c r="H15" s="27">
        <v>10</v>
      </c>
      <c r="I15" s="124">
        <f t="shared" si="0"/>
        <v>0.83333333333333337</v>
      </c>
      <c r="J15" s="125">
        <f t="shared" si="1"/>
        <v>0</v>
      </c>
    </row>
    <row r="16" spans="1:10" ht="42.75" customHeight="1">
      <c r="A16" s="52">
        <v>12</v>
      </c>
      <c r="B16" s="122" t="s">
        <v>437</v>
      </c>
      <c r="C16" s="122"/>
      <c r="D16" s="122"/>
      <c r="E16" s="123"/>
      <c r="F16" s="123" t="s">
        <v>63</v>
      </c>
      <c r="G16" s="55"/>
      <c r="H16" s="27">
        <v>10</v>
      </c>
      <c r="I16" s="124">
        <f t="shared" si="0"/>
        <v>0.83333333333333337</v>
      </c>
      <c r="J16" s="125">
        <f t="shared" si="1"/>
        <v>0.83333333333333337</v>
      </c>
    </row>
    <row r="17" spans="1:10" ht="42.75" customHeight="1">
      <c r="A17" s="52">
        <v>13</v>
      </c>
      <c r="B17" s="122" t="s">
        <v>438</v>
      </c>
      <c r="C17" s="122"/>
      <c r="D17" s="122"/>
      <c r="E17" s="123"/>
      <c r="F17" s="123" t="s">
        <v>63</v>
      </c>
      <c r="G17" s="55"/>
      <c r="H17" s="27">
        <v>10</v>
      </c>
      <c r="I17" s="124">
        <f t="shared" si="0"/>
        <v>0.83333333333333337</v>
      </c>
      <c r="J17" s="125">
        <f t="shared" si="1"/>
        <v>0.83333333333333337</v>
      </c>
    </row>
    <row r="18" spans="1:10" ht="42.75" customHeight="1">
      <c r="A18" s="52">
        <v>14</v>
      </c>
      <c r="B18" s="122" t="s">
        <v>439</v>
      </c>
      <c r="C18" s="122"/>
      <c r="D18" s="122"/>
      <c r="E18" s="123"/>
      <c r="F18" s="123" t="s">
        <v>63</v>
      </c>
      <c r="G18" s="55"/>
      <c r="H18" s="27">
        <v>10</v>
      </c>
      <c r="I18" s="124">
        <f t="shared" si="0"/>
        <v>0.83333333333333337</v>
      </c>
      <c r="J18" s="125">
        <f t="shared" si="1"/>
        <v>0.83333333333333337</v>
      </c>
    </row>
    <row r="19" spans="1:10">
      <c r="A19" s="112" t="s">
        <v>71</v>
      </c>
      <c r="B19" s="112"/>
      <c r="C19" s="112"/>
      <c r="D19" s="112"/>
      <c r="E19" s="112"/>
      <c r="F19" s="112"/>
      <c r="G19" s="112"/>
      <c r="H19" s="112"/>
      <c r="I19" s="37">
        <f>SUM(I5:I18)</f>
        <v>10.000000000000002</v>
      </c>
      <c r="J19" s="36">
        <f>SUM(J5:J18)</f>
        <v>8.1666666666666661</v>
      </c>
    </row>
  </sheetData>
  <mergeCells count="22">
    <mergeCell ref="A19:H19"/>
    <mergeCell ref="B8:D8"/>
    <mergeCell ref="B9:D9"/>
    <mergeCell ref="B10:D10"/>
    <mergeCell ref="B11:D11"/>
    <mergeCell ref="B12:D12"/>
    <mergeCell ref="B13:D13"/>
    <mergeCell ref="B14:D14"/>
    <mergeCell ref="B15:D15"/>
    <mergeCell ref="B16:D16"/>
    <mergeCell ref="B17:D17"/>
    <mergeCell ref="B18:D18"/>
    <mergeCell ref="A1:B1"/>
    <mergeCell ref="A2:B2"/>
    <mergeCell ref="C1:J1"/>
    <mergeCell ref="C2:J2"/>
    <mergeCell ref="B7:D7"/>
    <mergeCell ref="A3:B3"/>
    <mergeCell ref="E3:J3"/>
    <mergeCell ref="B4:D4"/>
    <mergeCell ref="B5:D5"/>
    <mergeCell ref="B6:D6"/>
  </mergeCell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28E82-F9CA-4A9C-8F36-080C43A9D3E8}">
  <sheetPr>
    <tabColor rgb="FF0070C0"/>
  </sheetPr>
  <dimension ref="A1:I15"/>
  <sheetViews>
    <sheetView workbookViewId="0">
      <pane xSplit="3" ySplit="4" topLeftCell="D5" activePane="bottomRight" state="frozen"/>
      <selection pane="bottomRight" activeCell="B8" sqref="A1:I15"/>
      <selection pane="bottomLeft" activeCell="A3" sqref="A3:J15"/>
      <selection pane="topRight" activeCell="A3" sqref="A3:J15"/>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339</v>
      </c>
      <c r="D1" s="120"/>
      <c r="E1" s="120"/>
      <c r="F1" s="120"/>
      <c r="G1" s="120"/>
      <c r="H1" s="120"/>
      <c r="I1" s="121"/>
    </row>
    <row r="2" spans="1:9" ht="15">
      <c r="A2" s="70" t="s">
        <v>0</v>
      </c>
      <c r="B2" s="70"/>
      <c r="C2" s="84" t="s">
        <v>38</v>
      </c>
      <c r="D2" s="120"/>
      <c r="E2" s="120"/>
      <c r="F2" s="120"/>
      <c r="G2" s="120"/>
      <c r="H2" s="120"/>
      <c r="I2" s="121"/>
    </row>
    <row r="3" spans="1:9" ht="15">
      <c r="A3" s="70" t="s">
        <v>218</v>
      </c>
      <c r="B3" s="70"/>
      <c r="C3" s="55" t="s">
        <v>219</v>
      </c>
      <c r="D3" s="122">
        <v>130</v>
      </c>
      <c r="E3" s="122"/>
      <c r="F3" s="122"/>
      <c r="G3" s="122"/>
      <c r="H3" s="122"/>
      <c r="I3" s="122"/>
    </row>
    <row r="4" spans="1:9" ht="60">
      <c r="A4" s="52" t="s">
        <v>55</v>
      </c>
      <c r="B4" s="70" t="s">
        <v>56</v>
      </c>
      <c r="C4" s="70"/>
      <c r="D4" s="52" t="s">
        <v>24</v>
      </c>
      <c r="E4" s="52" t="s">
        <v>57</v>
      </c>
      <c r="F4" s="52" t="s">
        <v>58</v>
      </c>
      <c r="G4" s="52" t="s">
        <v>59</v>
      </c>
      <c r="H4" s="52" t="s">
        <v>60</v>
      </c>
      <c r="I4" s="52" t="s">
        <v>61</v>
      </c>
    </row>
    <row r="5" spans="1:9" ht="47.25" customHeight="1">
      <c r="A5" s="52">
        <v>1</v>
      </c>
      <c r="B5" s="122" t="s">
        <v>220</v>
      </c>
      <c r="C5" s="122"/>
      <c r="D5" s="123"/>
      <c r="E5" s="123" t="s">
        <v>63</v>
      </c>
      <c r="F5" s="123"/>
      <c r="G5" s="123">
        <v>10</v>
      </c>
      <c r="H5" s="124">
        <f>(G5*10)/SUM($G$5:$G$14)</f>
        <v>1.7857142857142858</v>
      </c>
      <c r="I5" s="125">
        <f>IF(E5="X",((G5*10)/SUM($G$5:$G$14)),0)</f>
        <v>1.7857142857142858</v>
      </c>
    </row>
    <row r="6" spans="1:9" ht="47.25" customHeight="1">
      <c r="A6" s="52">
        <v>2</v>
      </c>
      <c r="B6" s="122" t="s">
        <v>221</v>
      </c>
      <c r="C6" s="122"/>
      <c r="D6" s="123"/>
      <c r="E6" s="123" t="s">
        <v>63</v>
      </c>
      <c r="F6" s="123"/>
      <c r="G6" s="123">
        <v>2</v>
      </c>
      <c r="H6" s="124">
        <f t="shared" ref="H6:H14" si="0">(G6*10)/SUM($G$5:$G$14)</f>
        <v>0.35714285714285715</v>
      </c>
      <c r="I6" s="125">
        <f t="shared" ref="I6:I14" si="1">IF(E6="X",((G6*10)/SUM($G$5:$G$14)),0)</f>
        <v>0.35714285714285715</v>
      </c>
    </row>
    <row r="7" spans="1:9" ht="31.5" customHeight="1">
      <c r="A7" s="52">
        <v>3</v>
      </c>
      <c r="B7" s="122" t="s">
        <v>222</v>
      </c>
      <c r="C7" s="122"/>
      <c r="D7" s="123"/>
      <c r="E7" s="123" t="s">
        <v>63</v>
      </c>
      <c r="F7" s="123"/>
      <c r="G7" s="123">
        <v>6</v>
      </c>
      <c r="H7" s="124">
        <f t="shared" si="0"/>
        <v>1.0714285714285714</v>
      </c>
      <c r="I7" s="125">
        <f t="shared" si="1"/>
        <v>1.0714285714285714</v>
      </c>
    </row>
    <row r="8" spans="1:9" ht="59.25" customHeight="1">
      <c r="A8" s="52">
        <v>4</v>
      </c>
      <c r="B8" s="122" t="s">
        <v>223</v>
      </c>
      <c r="C8" s="122"/>
      <c r="D8" s="123"/>
      <c r="E8" s="123" t="s">
        <v>63</v>
      </c>
      <c r="F8" s="123"/>
      <c r="G8" s="123">
        <v>10</v>
      </c>
      <c r="H8" s="124">
        <f t="shared" si="0"/>
        <v>1.7857142857142858</v>
      </c>
      <c r="I8" s="125">
        <f t="shared" si="1"/>
        <v>1.7857142857142858</v>
      </c>
    </row>
    <row r="9" spans="1:9" ht="43.5" customHeight="1">
      <c r="A9" s="52">
        <v>5</v>
      </c>
      <c r="B9" s="122" t="s">
        <v>224</v>
      </c>
      <c r="C9" s="122"/>
      <c r="D9" s="123" t="s">
        <v>63</v>
      </c>
      <c r="E9" s="123"/>
      <c r="F9" s="123"/>
      <c r="G9" s="123">
        <v>6</v>
      </c>
      <c r="H9" s="124">
        <f t="shared" si="0"/>
        <v>1.0714285714285714</v>
      </c>
      <c r="I9" s="125">
        <f t="shared" si="1"/>
        <v>0</v>
      </c>
    </row>
    <row r="10" spans="1:9" ht="58.5" customHeight="1">
      <c r="A10" s="52">
        <v>6</v>
      </c>
      <c r="B10" s="122" t="s">
        <v>225</v>
      </c>
      <c r="C10" s="122"/>
      <c r="D10" s="123"/>
      <c r="E10" s="123" t="s">
        <v>63</v>
      </c>
      <c r="F10" s="123"/>
      <c r="G10" s="123">
        <v>6</v>
      </c>
      <c r="H10" s="124">
        <f t="shared" si="0"/>
        <v>1.0714285714285714</v>
      </c>
      <c r="I10" s="125">
        <f t="shared" si="1"/>
        <v>1.0714285714285714</v>
      </c>
    </row>
    <row r="11" spans="1:9" ht="47.25" customHeight="1">
      <c r="A11" s="52">
        <v>7</v>
      </c>
      <c r="B11" s="122" t="s">
        <v>226</v>
      </c>
      <c r="C11" s="122"/>
      <c r="D11" s="123"/>
      <c r="E11" s="123" t="s">
        <v>63</v>
      </c>
      <c r="F11" s="123"/>
      <c r="G11" s="123">
        <v>6</v>
      </c>
      <c r="H11" s="124">
        <f t="shared" si="0"/>
        <v>1.0714285714285714</v>
      </c>
      <c r="I11" s="125">
        <f t="shared" si="1"/>
        <v>1.0714285714285714</v>
      </c>
    </row>
    <row r="12" spans="1:9" ht="47.25" customHeight="1">
      <c r="A12" s="52">
        <v>8</v>
      </c>
      <c r="B12" s="122" t="s">
        <v>227</v>
      </c>
      <c r="C12" s="122"/>
      <c r="D12" s="123"/>
      <c r="E12" s="123" t="s">
        <v>63</v>
      </c>
      <c r="F12" s="123"/>
      <c r="G12" s="123">
        <v>6</v>
      </c>
      <c r="H12" s="124">
        <f t="shared" si="0"/>
        <v>1.0714285714285714</v>
      </c>
      <c r="I12" s="125">
        <f t="shared" si="1"/>
        <v>1.0714285714285714</v>
      </c>
    </row>
    <row r="13" spans="1:9" ht="47.25" customHeight="1">
      <c r="A13" s="52">
        <v>9</v>
      </c>
      <c r="B13" s="122" t="s">
        <v>228</v>
      </c>
      <c r="C13" s="122"/>
      <c r="D13" s="123"/>
      <c r="E13" s="123" t="s">
        <v>63</v>
      </c>
      <c r="F13" s="123"/>
      <c r="G13" s="123">
        <v>2</v>
      </c>
      <c r="H13" s="124">
        <f t="shared" si="0"/>
        <v>0.35714285714285715</v>
      </c>
      <c r="I13" s="125">
        <f t="shared" si="1"/>
        <v>0.35714285714285715</v>
      </c>
    </row>
    <row r="14" spans="1:9" ht="63" customHeight="1">
      <c r="A14" s="52">
        <v>10</v>
      </c>
      <c r="B14" s="122" t="s">
        <v>229</v>
      </c>
      <c r="C14" s="122"/>
      <c r="D14" s="123"/>
      <c r="E14" s="123" t="s">
        <v>63</v>
      </c>
      <c r="F14" s="123"/>
      <c r="G14" s="123">
        <v>2</v>
      </c>
      <c r="H14" s="124">
        <f t="shared" si="0"/>
        <v>0.35714285714285715</v>
      </c>
      <c r="I14" s="125">
        <f t="shared" si="1"/>
        <v>0.35714285714285715</v>
      </c>
    </row>
    <row r="15" spans="1:9" ht="15.75" customHeight="1">
      <c r="A15" s="83" t="s">
        <v>71</v>
      </c>
      <c r="B15" s="83"/>
      <c r="C15" s="83"/>
      <c r="D15" s="83"/>
      <c r="E15" s="83"/>
      <c r="F15" s="83"/>
      <c r="G15" s="83"/>
      <c r="H15" s="28">
        <f>SUM(H5:H14)</f>
        <v>10</v>
      </c>
      <c r="I15" s="20">
        <f>SUM(I5:I14)</f>
        <v>8.9285714285714288</v>
      </c>
    </row>
  </sheetData>
  <mergeCells count="18">
    <mergeCell ref="B14:C14"/>
    <mergeCell ref="A15:G15"/>
    <mergeCell ref="B8:C8"/>
    <mergeCell ref="B9:C9"/>
    <mergeCell ref="B10:C10"/>
    <mergeCell ref="B11:C11"/>
    <mergeCell ref="B12:C12"/>
    <mergeCell ref="B13:C13"/>
    <mergeCell ref="A1:B1"/>
    <mergeCell ref="A2:B2"/>
    <mergeCell ref="C2:I2"/>
    <mergeCell ref="C1:I1"/>
    <mergeCell ref="B7:C7"/>
    <mergeCell ref="A3:B3"/>
    <mergeCell ref="D3:I3"/>
    <mergeCell ref="B4:C4"/>
    <mergeCell ref="B5:C5"/>
    <mergeCell ref="B6:C6"/>
  </mergeCells>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A2C5D-79D6-43B3-95CB-078BD636C3BD}">
  <sheetPr>
    <tabColor rgb="FF00FFFF"/>
  </sheetPr>
  <dimension ref="A1:I13"/>
  <sheetViews>
    <sheetView workbookViewId="0">
      <pane xSplit="3" ySplit="4" topLeftCell="D5" activePane="bottomRight" state="frozen"/>
      <selection pane="bottomRight" activeCell="D7" sqref="A1:I13"/>
      <selection pane="bottomLeft" activeCell="B2" sqref="B2:J2"/>
      <selection pane="topRight" activeCell="B2" sqref="B2:J2"/>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9" width="12" style="21" customWidth="1"/>
    <col min="10" max="16384" width="11.42578125" style="21"/>
  </cols>
  <sheetData>
    <row r="1" spans="1:9" ht="15">
      <c r="A1" s="70" t="s">
        <v>51</v>
      </c>
      <c r="B1" s="70"/>
      <c r="C1" s="84" t="s">
        <v>339</v>
      </c>
      <c r="D1" s="120"/>
      <c r="E1" s="120"/>
      <c r="F1" s="120"/>
      <c r="G1" s="120"/>
      <c r="H1" s="120"/>
      <c r="I1" s="121"/>
    </row>
    <row r="2" spans="1:9" ht="15">
      <c r="A2" s="70" t="s">
        <v>0</v>
      </c>
      <c r="B2" s="70"/>
      <c r="C2" s="84" t="s">
        <v>469</v>
      </c>
      <c r="D2" s="120"/>
      <c r="E2" s="120"/>
      <c r="F2" s="120"/>
      <c r="G2" s="120"/>
      <c r="H2" s="120"/>
      <c r="I2" s="121"/>
    </row>
    <row r="3" spans="1:9" ht="15">
      <c r="A3" s="70" t="s">
        <v>53</v>
      </c>
      <c r="B3" s="70"/>
      <c r="C3" s="55" t="s">
        <v>54</v>
      </c>
      <c r="D3" s="122">
        <v>330</v>
      </c>
      <c r="E3" s="122"/>
      <c r="F3" s="122"/>
      <c r="G3" s="122"/>
      <c r="H3" s="122"/>
      <c r="I3" s="122"/>
    </row>
    <row r="4" spans="1:9" ht="60">
      <c r="A4" s="52" t="s">
        <v>55</v>
      </c>
      <c r="B4" s="70" t="s">
        <v>56</v>
      </c>
      <c r="C4" s="70"/>
      <c r="D4" s="52" t="s">
        <v>24</v>
      </c>
      <c r="E4" s="52" t="s">
        <v>57</v>
      </c>
      <c r="F4" s="52" t="s">
        <v>58</v>
      </c>
      <c r="G4" s="52" t="s">
        <v>59</v>
      </c>
      <c r="H4" s="52" t="s">
        <v>60</v>
      </c>
      <c r="I4" s="52" t="s">
        <v>61</v>
      </c>
    </row>
    <row r="5" spans="1:9" ht="46.5" customHeight="1">
      <c r="A5" s="52">
        <v>1</v>
      </c>
      <c r="B5" s="122" t="s">
        <v>62</v>
      </c>
      <c r="C5" s="122"/>
      <c r="D5" s="123"/>
      <c r="E5" s="123" t="s">
        <v>63</v>
      </c>
      <c r="F5" s="123"/>
      <c r="G5" s="123">
        <v>10</v>
      </c>
      <c r="H5" s="124">
        <f>(G5*10)/SUM($G$5:$G$12)</f>
        <v>1.5625</v>
      </c>
      <c r="I5" s="124">
        <f t="shared" ref="I5:I12" si="0">IF(E5="X",((G5*10)/SUM($G$5:$G$12)),0)</f>
        <v>1.5625</v>
      </c>
    </row>
    <row r="6" spans="1:9" ht="60" customHeight="1">
      <c r="A6" s="52">
        <v>2</v>
      </c>
      <c r="B6" s="122" t="s">
        <v>64</v>
      </c>
      <c r="C6" s="122"/>
      <c r="D6" s="123"/>
      <c r="E6" s="123" t="s">
        <v>63</v>
      </c>
      <c r="F6" s="123"/>
      <c r="G6" s="123">
        <v>6</v>
      </c>
      <c r="H6" s="124">
        <f t="shared" ref="H6:H12" si="1">(G6*10)/SUM($G$5:$G$12)</f>
        <v>0.9375</v>
      </c>
      <c r="I6" s="124">
        <f t="shared" si="0"/>
        <v>0.9375</v>
      </c>
    </row>
    <row r="7" spans="1:9" ht="47.25" customHeight="1">
      <c r="A7" s="52">
        <v>3</v>
      </c>
      <c r="B7" s="122" t="s">
        <v>65</v>
      </c>
      <c r="C7" s="122"/>
      <c r="D7" s="123"/>
      <c r="E7" s="123" t="s">
        <v>63</v>
      </c>
      <c r="F7" s="123"/>
      <c r="G7" s="123">
        <v>10</v>
      </c>
      <c r="H7" s="124">
        <f t="shared" si="1"/>
        <v>1.5625</v>
      </c>
      <c r="I7" s="124">
        <f t="shared" si="0"/>
        <v>1.5625</v>
      </c>
    </row>
    <row r="8" spans="1:9" ht="47.25" customHeight="1">
      <c r="A8" s="52">
        <v>4</v>
      </c>
      <c r="B8" s="122" t="s">
        <v>66</v>
      </c>
      <c r="C8" s="122"/>
      <c r="D8" s="123"/>
      <c r="E8" s="123" t="s">
        <v>63</v>
      </c>
      <c r="F8" s="123"/>
      <c r="G8" s="123">
        <v>2</v>
      </c>
      <c r="H8" s="124">
        <f t="shared" si="1"/>
        <v>0.3125</v>
      </c>
      <c r="I8" s="124">
        <f t="shared" si="0"/>
        <v>0.3125</v>
      </c>
    </row>
    <row r="9" spans="1:9" ht="75.75" customHeight="1">
      <c r="A9" s="52">
        <v>5</v>
      </c>
      <c r="B9" s="122" t="s">
        <v>67</v>
      </c>
      <c r="C9" s="122"/>
      <c r="D9" s="123" t="s">
        <v>63</v>
      </c>
      <c r="E9" s="123"/>
      <c r="F9" s="123"/>
      <c r="G9" s="123">
        <v>10</v>
      </c>
      <c r="H9" s="124">
        <f t="shared" si="1"/>
        <v>1.5625</v>
      </c>
      <c r="I9" s="124">
        <f t="shared" si="0"/>
        <v>0</v>
      </c>
    </row>
    <row r="10" spans="1:9" ht="46.5" customHeight="1">
      <c r="A10" s="52">
        <v>6</v>
      </c>
      <c r="B10" s="122" t="s">
        <v>68</v>
      </c>
      <c r="C10" s="122"/>
      <c r="D10" s="123"/>
      <c r="E10" s="123" t="s">
        <v>63</v>
      </c>
      <c r="F10" s="123"/>
      <c r="G10" s="123">
        <v>6</v>
      </c>
      <c r="H10" s="124">
        <f t="shared" si="1"/>
        <v>0.9375</v>
      </c>
      <c r="I10" s="124">
        <f t="shared" si="0"/>
        <v>0.9375</v>
      </c>
    </row>
    <row r="11" spans="1:9" ht="50.25" customHeight="1">
      <c r="A11" s="52">
        <v>7</v>
      </c>
      <c r="B11" s="122" t="s">
        <v>69</v>
      </c>
      <c r="C11" s="122"/>
      <c r="D11" s="123"/>
      <c r="E11" s="123" t="s">
        <v>63</v>
      </c>
      <c r="F11" s="123"/>
      <c r="G11" s="123">
        <v>10</v>
      </c>
      <c r="H11" s="124">
        <f t="shared" si="1"/>
        <v>1.5625</v>
      </c>
      <c r="I11" s="124">
        <f t="shared" si="0"/>
        <v>1.5625</v>
      </c>
    </row>
    <row r="12" spans="1:9" ht="61.5" customHeight="1">
      <c r="A12" s="52">
        <v>8</v>
      </c>
      <c r="B12" s="122" t="s">
        <v>70</v>
      </c>
      <c r="C12" s="122"/>
      <c r="D12" s="123"/>
      <c r="E12" s="123" t="s">
        <v>63</v>
      </c>
      <c r="F12" s="123"/>
      <c r="G12" s="123">
        <v>10</v>
      </c>
      <c r="H12" s="124">
        <f t="shared" si="1"/>
        <v>1.5625</v>
      </c>
      <c r="I12" s="124">
        <f t="shared" si="0"/>
        <v>1.5625</v>
      </c>
    </row>
    <row r="13" spans="1:9" ht="15.75" customHeight="1">
      <c r="A13" s="71" t="s">
        <v>71</v>
      </c>
      <c r="B13" s="72"/>
      <c r="C13" s="72"/>
      <c r="D13" s="72"/>
      <c r="E13" s="72"/>
      <c r="F13" s="72"/>
      <c r="G13" s="72"/>
      <c r="H13" s="28">
        <f>SUM(H5:H12)</f>
        <v>10</v>
      </c>
      <c r="I13" s="20">
        <f>SUM(I5:I12)</f>
        <v>8.4375</v>
      </c>
    </row>
  </sheetData>
  <mergeCells count="16">
    <mergeCell ref="A1:B1"/>
    <mergeCell ref="A2:B2"/>
    <mergeCell ref="C2:I2"/>
    <mergeCell ref="C1:I1"/>
    <mergeCell ref="A13:G13"/>
    <mergeCell ref="A3:B3"/>
    <mergeCell ref="D3:I3"/>
    <mergeCell ref="B4:C4"/>
    <mergeCell ref="B5:C5"/>
    <mergeCell ref="B6:C6"/>
    <mergeCell ref="B7:C7"/>
    <mergeCell ref="B8:C8"/>
    <mergeCell ref="B9:C9"/>
    <mergeCell ref="B10:C10"/>
    <mergeCell ref="B11:C11"/>
    <mergeCell ref="B12:C12"/>
  </mergeCells>
  <pageMargins left="0.7" right="0.7" top="0.75" bottom="0.75" header="0.3" footer="0.3"/>
  <pageSetup orientation="portrait" r:id="rId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C6FAE-BFE5-45E6-85D4-C1A7C0CAAEDD}">
  <sheetPr>
    <tabColor rgb="FF00FFFF"/>
  </sheetPr>
  <dimension ref="A1:I13"/>
  <sheetViews>
    <sheetView workbookViewId="0">
      <pane xSplit="3" ySplit="4" topLeftCell="D5" activePane="bottomRight" state="frozen"/>
      <selection pane="bottomRight" activeCell="B8" sqref="A1:I13"/>
      <selection pane="bottomLeft" activeCell="A34" sqref="A34:A50"/>
      <selection pane="topRight" activeCell="A34" sqref="A34:A50"/>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339</v>
      </c>
      <c r="D1" s="120"/>
      <c r="E1" s="120"/>
      <c r="F1" s="120"/>
      <c r="G1" s="120"/>
      <c r="H1" s="120"/>
      <c r="I1" s="121"/>
    </row>
    <row r="2" spans="1:9" ht="15">
      <c r="A2" s="70" t="s">
        <v>0</v>
      </c>
      <c r="B2" s="70"/>
      <c r="C2" s="84" t="s">
        <v>469</v>
      </c>
      <c r="D2" s="120"/>
      <c r="E2" s="120"/>
      <c r="F2" s="120"/>
      <c r="G2" s="120"/>
      <c r="H2" s="120"/>
      <c r="I2" s="121"/>
    </row>
    <row r="3" spans="1:9" ht="15">
      <c r="A3" s="70" t="s">
        <v>53</v>
      </c>
      <c r="B3" s="70"/>
      <c r="C3" s="55" t="s">
        <v>230</v>
      </c>
      <c r="D3" s="122">
        <v>340</v>
      </c>
      <c r="E3" s="122"/>
      <c r="F3" s="122"/>
      <c r="G3" s="122"/>
      <c r="H3" s="122"/>
      <c r="I3" s="122"/>
    </row>
    <row r="4" spans="1:9" ht="60">
      <c r="A4" s="52" t="s">
        <v>55</v>
      </c>
      <c r="B4" s="70" t="s">
        <v>56</v>
      </c>
      <c r="C4" s="70"/>
      <c r="D4" s="52" t="s">
        <v>24</v>
      </c>
      <c r="E4" s="52" t="s">
        <v>57</v>
      </c>
      <c r="F4" s="52" t="s">
        <v>58</v>
      </c>
      <c r="G4" s="52" t="s">
        <v>59</v>
      </c>
      <c r="H4" s="52" t="s">
        <v>60</v>
      </c>
      <c r="I4" s="52" t="s">
        <v>61</v>
      </c>
    </row>
    <row r="5" spans="1:9" ht="57.75" customHeight="1">
      <c r="A5" s="52">
        <v>1</v>
      </c>
      <c r="B5" s="122" t="s">
        <v>231</v>
      </c>
      <c r="C5" s="122"/>
      <c r="D5" s="123"/>
      <c r="E5" s="123" t="s">
        <v>63</v>
      </c>
      <c r="F5" s="123"/>
      <c r="G5" s="123">
        <v>6</v>
      </c>
      <c r="H5" s="124">
        <f>(G5*10)/SUM($G$5:$G$12)</f>
        <v>1</v>
      </c>
      <c r="I5" s="125">
        <f>IF(E5="X",((G5*10)/SUM($G$5:$G$12)),0)</f>
        <v>1</v>
      </c>
    </row>
    <row r="6" spans="1:9" ht="47.25" customHeight="1">
      <c r="A6" s="52">
        <v>2</v>
      </c>
      <c r="B6" s="122" t="s">
        <v>232</v>
      </c>
      <c r="C6" s="122"/>
      <c r="D6" s="123"/>
      <c r="E6" s="123" t="s">
        <v>63</v>
      </c>
      <c r="F6" s="123"/>
      <c r="G6" s="123">
        <v>6</v>
      </c>
      <c r="H6" s="124">
        <f t="shared" ref="H6:H12" si="0">(G6*10)/SUM($G$5:$G$12)</f>
        <v>1</v>
      </c>
      <c r="I6" s="125">
        <f t="shared" ref="I6:I12" si="1">IF(E6="X",((G6*10)/SUM($G$5:$G$12)),0)</f>
        <v>1</v>
      </c>
    </row>
    <row r="7" spans="1:9" ht="41.25" customHeight="1">
      <c r="A7" s="52">
        <v>3</v>
      </c>
      <c r="B7" s="122" t="s">
        <v>233</v>
      </c>
      <c r="C7" s="122"/>
      <c r="D7" s="123"/>
      <c r="E7" s="123" t="s">
        <v>63</v>
      </c>
      <c r="F7" s="123"/>
      <c r="G7" s="123">
        <v>2</v>
      </c>
      <c r="H7" s="124">
        <f t="shared" si="0"/>
        <v>0.33333333333333331</v>
      </c>
      <c r="I7" s="125">
        <f t="shared" si="1"/>
        <v>0.33333333333333331</v>
      </c>
    </row>
    <row r="8" spans="1:9" ht="74.25" customHeight="1">
      <c r="A8" s="52">
        <v>4</v>
      </c>
      <c r="B8" s="122" t="s">
        <v>234</v>
      </c>
      <c r="C8" s="122"/>
      <c r="D8" s="123"/>
      <c r="E8" s="123" t="s">
        <v>63</v>
      </c>
      <c r="F8" s="123"/>
      <c r="G8" s="123">
        <v>6</v>
      </c>
      <c r="H8" s="124">
        <f t="shared" si="0"/>
        <v>1</v>
      </c>
      <c r="I8" s="125">
        <f t="shared" si="1"/>
        <v>1</v>
      </c>
    </row>
    <row r="9" spans="1:9" ht="45" customHeight="1">
      <c r="A9" s="52">
        <v>5</v>
      </c>
      <c r="B9" s="122" t="s">
        <v>235</v>
      </c>
      <c r="C9" s="122"/>
      <c r="D9" s="123"/>
      <c r="E9" s="123" t="s">
        <v>63</v>
      </c>
      <c r="F9" s="123"/>
      <c r="G9" s="123">
        <v>10</v>
      </c>
      <c r="H9" s="124">
        <f t="shared" si="0"/>
        <v>1.6666666666666667</v>
      </c>
      <c r="I9" s="125">
        <f t="shared" si="1"/>
        <v>1.6666666666666667</v>
      </c>
    </row>
    <row r="10" spans="1:9" ht="47.25" customHeight="1">
      <c r="A10" s="52">
        <v>6</v>
      </c>
      <c r="B10" s="122" t="s">
        <v>236</v>
      </c>
      <c r="C10" s="122"/>
      <c r="D10" s="123"/>
      <c r="E10" s="123" t="s">
        <v>63</v>
      </c>
      <c r="F10" s="123"/>
      <c r="G10" s="123">
        <v>10</v>
      </c>
      <c r="H10" s="124">
        <f t="shared" si="0"/>
        <v>1.6666666666666667</v>
      </c>
      <c r="I10" s="125">
        <f t="shared" si="1"/>
        <v>1.6666666666666667</v>
      </c>
    </row>
    <row r="11" spans="1:9" ht="60" customHeight="1">
      <c r="A11" s="52">
        <v>7</v>
      </c>
      <c r="B11" s="122" t="s">
        <v>237</v>
      </c>
      <c r="C11" s="122"/>
      <c r="D11" s="123"/>
      <c r="E11" s="123" t="s">
        <v>63</v>
      </c>
      <c r="F11" s="123"/>
      <c r="G11" s="123">
        <v>10</v>
      </c>
      <c r="H11" s="124">
        <f t="shared" si="0"/>
        <v>1.6666666666666667</v>
      </c>
      <c r="I11" s="125">
        <f t="shared" si="1"/>
        <v>1.6666666666666667</v>
      </c>
    </row>
    <row r="12" spans="1:9" ht="63" customHeight="1">
      <c r="A12" s="52">
        <v>8</v>
      </c>
      <c r="B12" s="122" t="s">
        <v>238</v>
      </c>
      <c r="C12" s="122"/>
      <c r="D12" s="123"/>
      <c r="E12" s="123" t="s">
        <v>63</v>
      </c>
      <c r="F12" s="123"/>
      <c r="G12" s="123">
        <v>10</v>
      </c>
      <c r="H12" s="124">
        <f t="shared" si="0"/>
        <v>1.6666666666666667</v>
      </c>
      <c r="I12" s="125">
        <f t="shared" si="1"/>
        <v>1.6666666666666667</v>
      </c>
    </row>
    <row r="13" spans="1:9" ht="15.75" customHeight="1">
      <c r="A13" s="83" t="s">
        <v>71</v>
      </c>
      <c r="B13" s="83"/>
      <c r="C13" s="83"/>
      <c r="D13" s="83"/>
      <c r="E13" s="83"/>
      <c r="F13" s="83"/>
      <c r="G13" s="83"/>
      <c r="H13" s="28">
        <f>SUM(H5:H12)</f>
        <v>10</v>
      </c>
      <c r="I13" s="20">
        <f>SUM(I5:I12)</f>
        <v>10</v>
      </c>
    </row>
  </sheetData>
  <mergeCells count="16">
    <mergeCell ref="A1:B1"/>
    <mergeCell ref="A2:B2"/>
    <mergeCell ref="C2:I2"/>
    <mergeCell ref="C1:I1"/>
    <mergeCell ref="A13:G13"/>
    <mergeCell ref="A3:B3"/>
    <mergeCell ref="D3:I3"/>
    <mergeCell ref="B4:C4"/>
    <mergeCell ref="B5:C5"/>
    <mergeCell ref="B6:C6"/>
    <mergeCell ref="B7:C7"/>
    <mergeCell ref="B8:C8"/>
    <mergeCell ref="B9:C9"/>
    <mergeCell ref="B10:C10"/>
    <mergeCell ref="B11:C11"/>
    <mergeCell ref="B12:C12"/>
  </mergeCells>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930EF-64A6-46C1-8879-0AD8E767DCEF}">
  <sheetPr>
    <tabColor rgb="FF00FFFF"/>
  </sheetPr>
  <dimension ref="A1:I19"/>
  <sheetViews>
    <sheetView workbookViewId="0">
      <pane xSplit="3" ySplit="4" topLeftCell="D5" activePane="bottomRight" state="frozen"/>
      <selection pane="bottomRight" activeCell="B7" sqref="A1:I19"/>
      <selection pane="bottomLeft" activeCell="A34" sqref="A34:A50"/>
      <selection pane="topRight" activeCell="A34" sqref="A34:A50"/>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339</v>
      </c>
      <c r="D1" s="120"/>
      <c r="E1" s="120"/>
      <c r="F1" s="120"/>
      <c r="G1" s="120"/>
      <c r="H1" s="120"/>
      <c r="I1" s="121"/>
    </row>
    <row r="2" spans="1:9" ht="15">
      <c r="A2" s="70" t="s">
        <v>0</v>
      </c>
      <c r="B2" s="70"/>
      <c r="C2" s="84" t="s">
        <v>469</v>
      </c>
      <c r="D2" s="120"/>
      <c r="E2" s="120"/>
      <c r="F2" s="120"/>
      <c r="G2" s="120"/>
      <c r="H2" s="120"/>
      <c r="I2" s="121"/>
    </row>
    <row r="3" spans="1:9" ht="30">
      <c r="A3" s="70" t="s">
        <v>270</v>
      </c>
      <c r="B3" s="70"/>
      <c r="C3" s="55" t="s">
        <v>470</v>
      </c>
      <c r="D3" s="122">
        <v>360</v>
      </c>
      <c r="E3" s="122"/>
      <c r="F3" s="122"/>
      <c r="G3" s="122"/>
      <c r="H3" s="122"/>
      <c r="I3" s="122"/>
    </row>
    <row r="4" spans="1:9" ht="60">
      <c r="A4" s="52" t="s">
        <v>55</v>
      </c>
      <c r="B4" s="70" t="s">
        <v>56</v>
      </c>
      <c r="C4" s="70"/>
      <c r="D4" s="52" t="s">
        <v>24</v>
      </c>
      <c r="E4" s="52" t="s">
        <v>57</v>
      </c>
      <c r="F4" s="52" t="s">
        <v>58</v>
      </c>
      <c r="G4" s="52" t="s">
        <v>59</v>
      </c>
      <c r="H4" s="52" t="s">
        <v>60</v>
      </c>
      <c r="I4" s="52" t="s">
        <v>61</v>
      </c>
    </row>
    <row r="5" spans="1:9" ht="48" customHeight="1">
      <c r="A5" s="52">
        <v>1</v>
      </c>
      <c r="B5" s="122" t="s">
        <v>471</v>
      </c>
      <c r="C5" s="122"/>
      <c r="D5" s="123"/>
      <c r="E5" s="123" t="s">
        <v>63</v>
      </c>
      <c r="F5" s="123"/>
      <c r="G5" s="27">
        <v>10</v>
      </c>
      <c r="H5" s="34">
        <f t="shared" ref="H5:H18" si="0">(G5*10)/SUM($G$5:$G$18)</f>
        <v>0.96153846153846156</v>
      </c>
      <c r="I5" s="125">
        <f>IF(E5="X",((G5*10)/SUM($G$5:$G$18)),0)</f>
        <v>0.96153846153846156</v>
      </c>
    </row>
    <row r="6" spans="1:9" ht="71.25" customHeight="1">
      <c r="A6" s="52">
        <v>2</v>
      </c>
      <c r="B6" s="122" t="s">
        <v>472</v>
      </c>
      <c r="C6" s="122"/>
      <c r="D6" s="123"/>
      <c r="E6" s="123" t="s">
        <v>63</v>
      </c>
      <c r="F6" s="123"/>
      <c r="G6" s="27">
        <v>10</v>
      </c>
      <c r="H6" s="34">
        <f t="shared" si="0"/>
        <v>0.96153846153846156</v>
      </c>
      <c r="I6" s="125">
        <f t="shared" ref="I6:I18" si="1">IF(E6="X",((G6*10)/SUM($G$5:$G$18)),0)</f>
        <v>0.96153846153846156</v>
      </c>
    </row>
    <row r="7" spans="1:9" ht="71.25" customHeight="1">
      <c r="A7" s="52">
        <v>3</v>
      </c>
      <c r="B7" s="122" t="s">
        <v>473</v>
      </c>
      <c r="C7" s="122"/>
      <c r="D7" s="123"/>
      <c r="E7" s="123" t="s">
        <v>63</v>
      </c>
      <c r="F7" s="123"/>
      <c r="G7" s="27">
        <v>10</v>
      </c>
      <c r="H7" s="34">
        <f t="shared" si="0"/>
        <v>0.96153846153846156</v>
      </c>
      <c r="I7" s="125">
        <f t="shared" si="1"/>
        <v>0.96153846153846156</v>
      </c>
    </row>
    <row r="8" spans="1:9" ht="48.75" customHeight="1">
      <c r="A8" s="52">
        <v>4</v>
      </c>
      <c r="B8" s="122" t="s">
        <v>474</v>
      </c>
      <c r="C8" s="122"/>
      <c r="D8" s="123"/>
      <c r="E8" s="123" t="s">
        <v>63</v>
      </c>
      <c r="F8" s="123"/>
      <c r="G8" s="27">
        <v>10</v>
      </c>
      <c r="H8" s="34">
        <f t="shared" si="0"/>
        <v>0.96153846153846156</v>
      </c>
      <c r="I8" s="125">
        <f t="shared" si="1"/>
        <v>0.96153846153846156</v>
      </c>
    </row>
    <row r="9" spans="1:9" ht="42.75" customHeight="1">
      <c r="A9" s="52">
        <v>5</v>
      </c>
      <c r="B9" s="122" t="s">
        <v>475</v>
      </c>
      <c r="C9" s="122"/>
      <c r="D9" s="123" t="s">
        <v>63</v>
      </c>
      <c r="E9" s="123"/>
      <c r="F9" s="123"/>
      <c r="G9" s="27">
        <v>10</v>
      </c>
      <c r="H9" s="34">
        <f t="shared" si="0"/>
        <v>0.96153846153846156</v>
      </c>
      <c r="I9" s="125">
        <f t="shared" si="1"/>
        <v>0</v>
      </c>
    </row>
    <row r="10" spans="1:9" ht="57" customHeight="1">
      <c r="A10" s="52">
        <v>6</v>
      </c>
      <c r="B10" s="122" t="s">
        <v>476</v>
      </c>
      <c r="C10" s="122"/>
      <c r="D10" s="123"/>
      <c r="E10" s="123" t="s">
        <v>63</v>
      </c>
      <c r="F10" s="123"/>
      <c r="G10" s="27">
        <v>6</v>
      </c>
      <c r="H10" s="34">
        <f t="shared" si="0"/>
        <v>0.57692307692307687</v>
      </c>
      <c r="I10" s="125">
        <f t="shared" si="1"/>
        <v>0.57692307692307687</v>
      </c>
    </row>
    <row r="11" spans="1:9" ht="42.75" customHeight="1">
      <c r="A11" s="52">
        <v>7</v>
      </c>
      <c r="B11" s="122" t="s">
        <v>477</v>
      </c>
      <c r="C11" s="122"/>
      <c r="D11" s="123"/>
      <c r="E11" s="123" t="s">
        <v>63</v>
      </c>
      <c r="F11" s="123"/>
      <c r="G11" s="27">
        <v>6</v>
      </c>
      <c r="H11" s="34">
        <f t="shared" si="0"/>
        <v>0.57692307692307687</v>
      </c>
      <c r="I11" s="125">
        <f t="shared" si="1"/>
        <v>0.57692307692307687</v>
      </c>
    </row>
    <row r="12" spans="1:9" ht="42.75" customHeight="1">
      <c r="A12" s="52">
        <v>8</v>
      </c>
      <c r="B12" s="122" t="s">
        <v>478</v>
      </c>
      <c r="C12" s="122"/>
      <c r="D12" s="123"/>
      <c r="E12" s="123" t="s">
        <v>63</v>
      </c>
      <c r="F12" s="123"/>
      <c r="G12" s="27">
        <v>2</v>
      </c>
      <c r="H12" s="34">
        <f t="shared" si="0"/>
        <v>0.19230769230769232</v>
      </c>
      <c r="I12" s="125">
        <f t="shared" si="1"/>
        <v>0.19230769230769232</v>
      </c>
    </row>
    <row r="13" spans="1:9" ht="72" customHeight="1">
      <c r="A13" s="52">
        <v>9</v>
      </c>
      <c r="B13" s="122" t="s">
        <v>479</v>
      </c>
      <c r="C13" s="122"/>
      <c r="D13" s="123"/>
      <c r="E13" s="123" t="s">
        <v>63</v>
      </c>
      <c r="F13" s="123"/>
      <c r="G13" s="27">
        <v>6</v>
      </c>
      <c r="H13" s="34">
        <f t="shared" si="0"/>
        <v>0.57692307692307687</v>
      </c>
      <c r="I13" s="125">
        <f t="shared" si="1"/>
        <v>0.57692307692307687</v>
      </c>
    </row>
    <row r="14" spans="1:9" ht="42.75" customHeight="1">
      <c r="A14" s="52">
        <v>10</v>
      </c>
      <c r="B14" s="122" t="s">
        <v>480</v>
      </c>
      <c r="C14" s="122"/>
      <c r="D14" s="123"/>
      <c r="E14" s="123" t="s">
        <v>63</v>
      </c>
      <c r="F14" s="123"/>
      <c r="G14" s="27">
        <v>6</v>
      </c>
      <c r="H14" s="34">
        <f t="shared" si="0"/>
        <v>0.57692307692307687</v>
      </c>
      <c r="I14" s="125">
        <f t="shared" si="1"/>
        <v>0.57692307692307687</v>
      </c>
    </row>
    <row r="15" spans="1:9" ht="33" customHeight="1">
      <c r="A15" s="52">
        <v>11</v>
      </c>
      <c r="B15" s="122" t="s">
        <v>481</v>
      </c>
      <c r="C15" s="122"/>
      <c r="D15" s="123"/>
      <c r="E15" s="123" t="s">
        <v>63</v>
      </c>
      <c r="F15" s="123"/>
      <c r="G15" s="27">
        <v>6</v>
      </c>
      <c r="H15" s="34">
        <f t="shared" si="0"/>
        <v>0.57692307692307687</v>
      </c>
      <c r="I15" s="125">
        <f t="shared" si="1"/>
        <v>0.57692307692307687</v>
      </c>
    </row>
    <row r="16" spans="1:9" ht="57" customHeight="1">
      <c r="A16" s="52">
        <v>12</v>
      </c>
      <c r="B16" s="122" t="s">
        <v>482</v>
      </c>
      <c r="C16" s="122"/>
      <c r="D16" s="123"/>
      <c r="E16" s="123" t="s">
        <v>63</v>
      </c>
      <c r="F16" s="123"/>
      <c r="G16" s="27">
        <v>10</v>
      </c>
      <c r="H16" s="34">
        <f t="shared" si="0"/>
        <v>0.96153846153846156</v>
      </c>
      <c r="I16" s="125">
        <f t="shared" si="1"/>
        <v>0.96153846153846156</v>
      </c>
    </row>
    <row r="17" spans="1:9" ht="48.75" customHeight="1">
      <c r="A17" s="52">
        <v>13</v>
      </c>
      <c r="B17" s="122" t="s">
        <v>483</v>
      </c>
      <c r="C17" s="122"/>
      <c r="D17" s="123" t="s">
        <v>63</v>
      </c>
      <c r="E17" s="123"/>
      <c r="F17" s="123"/>
      <c r="G17" s="27">
        <v>6</v>
      </c>
      <c r="H17" s="34">
        <f t="shared" si="0"/>
        <v>0.57692307692307687</v>
      </c>
      <c r="I17" s="125">
        <f t="shared" si="1"/>
        <v>0</v>
      </c>
    </row>
    <row r="18" spans="1:9" ht="57" customHeight="1">
      <c r="A18" s="52">
        <v>14</v>
      </c>
      <c r="B18" s="122" t="s">
        <v>484</v>
      </c>
      <c r="C18" s="122"/>
      <c r="D18" s="123" t="s">
        <v>63</v>
      </c>
      <c r="E18" s="123"/>
      <c r="F18" s="123"/>
      <c r="G18" s="27">
        <v>6</v>
      </c>
      <c r="H18" s="34">
        <f t="shared" si="0"/>
        <v>0.57692307692307687</v>
      </c>
      <c r="I18" s="125">
        <f t="shared" si="1"/>
        <v>0</v>
      </c>
    </row>
    <row r="19" spans="1:9" ht="15">
      <c r="A19" s="70" t="s">
        <v>71</v>
      </c>
      <c r="B19" s="70"/>
      <c r="C19" s="70"/>
      <c r="D19" s="70"/>
      <c r="E19" s="70"/>
      <c r="F19" s="70"/>
      <c r="G19" s="70"/>
      <c r="H19" s="35">
        <f>SUM(H5:H18)</f>
        <v>9.9999999999999982</v>
      </c>
      <c r="I19" s="19">
        <f>SUM(I5:I18)</f>
        <v>7.8846153846153841</v>
      </c>
    </row>
  </sheetData>
  <mergeCells count="22">
    <mergeCell ref="B18:C18"/>
    <mergeCell ref="A19:G19"/>
    <mergeCell ref="B11:C11"/>
    <mergeCell ref="B12:C12"/>
    <mergeCell ref="B13:C13"/>
    <mergeCell ref="B14:C14"/>
    <mergeCell ref="B15:C15"/>
    <mergeCell ref="B16:C16"/>
    <mergeCell ref="A1:B1"/>
    <mergeCell ref="A2:B2"/>
    <mergeCell ref="C2:I2"/>
    <mergeCell ref="C1:I1"/>
    <mergeCell ref="B17:C17"/>
    <mergeCell ref="B10:C10"/>
    <mergeCell ref="A3:B3"/>
    <mergeCell ref="D3:I3"/>
    <mergeCell ref="B4:C4"/>
    <mergeCell ref="B5:C5"/>
    <mergeCell ref="B6:C6"/>
    <mergeCell ref="B7:C7"/>
    <mergeCell ref="B8:C8"/>
    <mergeCell ref="B9:C9"/>
  </mergeCells>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01D-55DD-4B2E-9AF8-4D8ADC658799}">
  <sheetPr>
    <tabColor rgb="FF00FFFF"/>
  </sheetPr>
  <dimension ref="A1:I12"/>
  <sheetViews>
    <sheetView workbookViewId="0">
      <pane xSplit="3" ySplit="4" topLeftCell="D5" activePane="bottomRight" state="frozen"/>
      <selection pane="bottomRight" activeCell="B8" sqref="A1:I12"/>
      <selection pane="bottomLeft" activeCell="A34" sqref="A34:A50"/>
      <selection pane="topRight" activeCell="A34" sqref="A34:A50"/>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339</v>
      </c>
      <c r="D1" s="120"/>
      <c r="E1" s="120"/>
      <c r="F1" s="120"/>
      <c r="G1" s="120"/>
      <c r="H1" s="120"/>
      <c r="I1" s="121"/>
    </row>
    <row r="2" spans="1:9" ht="15">
      <c r="A2" s="70" t="s">
        <v>0</v>
      </c>
      <c r="B2" s="70"/>
      <c r="C2" s="84" t="s">
        <v>469</v>
      </c>
      <c r="D2" s="120"/>
      <c r="E2" s="120"/>
      <c r="F2" s="120"/>
      <c r="G2" s="120"/>
      <c r="H2" s="120"/>
      <c r="I2" s="121"/>
    </row>
    <row r="3" spans="1:9" ht="15">
      <c r="A3" s="70" t="s">
        <v>72</v>
      </c>
      <c r="B3" s="70"/>
      <c r="C3" s="55" t="s">
        <v>73</v>
      </c>
      <c r="D3" s="122">
        <v>380</v>
      </c>
      <c r="E3" s="122"/>
      <c r="F3" s="122"/>
      <c r="G3" s="122"/>
      <c r="H3" s="122"/>
      <c r="I3" s="122"/>
    </row>
    <row r="4" spans="1:9" ht="60">
      <c r="A4" s="52" t="s">
        <v>55</v>
      </c>
      <c r="B4" s="70" t="s">
        <v>56</v>
      </c>
      <c r="C4" s="70"/>
      <c r="D4" s="52" t="s">
        <v>24</v>
      </c>
      <c r="E4" s="52" t="s">
        <v>57</v>
      </c>
      <c r="F4" s="52" t="s">
        <v>58</v>
      </c>
      <c r="G4" s="52" t="s">
        <v>59</v>
      </c>
      <c r="H4" s="52" t="s">
        <v>60</v>
      </c>
      <c r="I4" s="52" t="s">
        <v>61</v>
      </c>
    </row>
    <row r="5" spans="1:9" ht="63" customHeight="1">
      <c r="A5" s="52">
        <v>1</v>
      </c>
      <c r="B5" s="122" t="s">
        <v>74</v>
      </c>
      <c r="C5" s="122"/>
      <c r="D5" s="123" t="s">
        <v>63</v>
      </c>
      <c r="E5" s="123"/>
      <c r="F5" s="123"/>
      <c r="G5" s="123">
        <v>2</v>
      </c>
      <c r="H5" s="124">
        <f>(G5*10)/SUM($G$5:$G$11)</f>
        <v>0.52631578947368418</v>
      </c>
      <c r="I5" s="125">
        <f>IF(E5="X",((G5*10)/SUM($G$5:$G$11)),0)</f>
        <v>0</v>
      </c>
    </row>
    <row r="6" spans="1:9" ht="69" customHeight="1">
      <c r="A6" s="52">
        <v>2</v>
      </c>
      <c r="B6" s="122" t="s">
        <v>75</v>
      </c>
      <c r="C6" s="122"/>
      <c r="D6" s="123" t="s">
        <v>63</v>
      </c>
      <c r="E6" s="123"/>
      <c r="F6" s="123"/>
      <c r="G6" s="123">
        <v>6</v>
      </c>
      <c r="H6" s="124">
        <f t="shared" ref="H6:H11" si="0">(G6*10)/SUM($G$5:$G$11)</f>
        <v>1.5789473684210527</v>
      </c>
      <c r="I6" s="125">
        <f t="shared" ref="I6:I11" si="1">IF(E6="X",((G6*10)/SUM($G$5:$G$11)),0)</f>
        <v>0</v>
      </c>
    </row>
    <row r="7" spans="1:9" ht="31.5" customHeight="1">
      <c r="A7" s="52">
        <v>3</v>
      </c>
      <c r="B7" s="122" t="s">
        <v>76</v>
      </c>
      <c r="C7" s="122"/>
      <c r="D7" s="123"/>
      <c r="E7" s="123" t="s">
        <v>63</v>
      </c>
      <c r="F7" s="123"/>
      <c r="G7" s="123">
        <v>10</v>
      </c>
      <c r="H7" s="124">
        <f t="shared" si="0"/>
        <v>2.6315789473684212</v>
      </c>
      <c r="I7" s="125">
        <f t="shared" si="1"/>
        <v>2.6315789473684212</v>
      </c>
    </row>
    <row r="8" spans="1:9" ht="47.25" customHeight="1">
      <c r="A8" s="52">
        <v>4</v>
      </c>
      <c r="B8" s="122" t="s">
        <v>77</v>
      </c>
      <c r="C8" s="122"/>
      <c r="D8" s="123"/>
      <c r="E8" s="123" t="s">
        <v>63</v>
      </c>
      <c r="F8" s="123"/>
      <c r="G8" s="123">
        <v>10</v>
      </c>
      <c r="H8" s="124">
        <f t="shared" si="0"/>
        <v>2.6315789473684212</v>
      </c>
      <c r="I8" s="125">
        <f t="shared" si="1"/>
        <v>2.6315789473684212</v>
      </c>
    </row>
    <row r="9" spans="1:9" ht="47.25" customHeight="1">
      <c r="A9" s="52">
        <v>5</v>
      </c>
      <c r="B9" s="122" t="s">
        <v>78</v>
      </c>
      <c r="C9" s="122"/>
      <c r="D9" s="123"/>
      <c r="E9" s="123" t="s">
        <v>63</v>
      </c>
      <c r="F9" s="123"/>
      <c r="G9" s="123">
        <v>6</v>
      </c>
      <c r="H9" s="124">
        <f t="shared" si="0"/>
        <v>1.5789473684210527</v>
      </c>
      <c r="I9" s="125">
        <f t="shared" si="1"/>
        <v>1.5789473684210527</v>
      </c>
    </row>
    <row r="10" spans="1:9" ht="35.25" customHeight="1">
      <c r="A10" s="52">
        <v>6</v>
      </c>
      <c r="B10" s="122" t="s">
        <v>79</v>
      </c>
      <c r="C10" s="122"/>
      <c r="D10" s="123" t="s">
        <v>63</v>
      </c>
      <c r="E10" s="123"/>
      <c r="F10" s="123"/>
      <c r="G10" s="123">
        <v>2</v>
      </c>
      <c r="H10" s="124">
        <f t="shared" si="0"/>
        <v>0.52631578947368418</v>
      </c>
      <c r="I10" s="125">
        <f t="shared" si="1"/>
        <v>0</v>
      </c>
    </row>
    <row r="11" spans="1:9" ht="44.25" customHeight="1">
      <c r="A11" s="52">
        <v>7</v>
      </c>
      <c r="B11" s="122" t="s">
        <v>80</v>
      </c>
      <c r="C11" s="122"/>
      <c r="D11" s="123" t="s">
        <v>63</v>
      </c>
      <c r="E11" s="123"/>
      <c r="F11" s="123"/>
      <c r="G11" s="123">
        <v>2</v>
      </c>
      <c r="H11" s="124">
        <f t="shared" si="0"/>
        <v>0.52631578947368418</v>
      </c>
      <c r="I11" s="125">
        <f t="shared" si="1"/>
        <v>0</v>
      </c>
    </row>
    <row r="12" spans="1:9" ht="15.75" customHeight="1">
      <c r="A12" s="71" t="s">
        <v>71</v>
      </c>
      <c r="B12" s="72"/>
      <c r="C12" s="72"/>
      <c r="D12" s="72"/>
      <c r="E12" s="72"/>
      <c r="F12" s="72"/>
      <c r="G12" s="72"/>
      <c r="H12" s="28">
        <f>SUM(H5:H11)</f>
        <v>10.000000000000002</v>
      </c>
      <c r="I12" s="20">
        <f>SUM(I5:I11)</f>
        <v>6.8421052631578956</v>
      </c>
    </row>
  </sheetData>
  <mergeCells count="15">
    <mergeCell ref="B8:C8"/>
    <mergeCell ref="B9:C9"/>
    <mergeCell ref="B10:C10"/>
    <mergeCell ref="B11:C11"/>
    <mergeCell ref="A12:G12"/>
    <mergeCell ref="A1:B1"/>
    <mergeCell ref="A2:B2"/>
    <mergeCell ref="C2:I2"/>
    <mergeCell ref="C1:I1"/>
    <mergeCell ref="B7:C7"/>
    <mergeCell ref="A3:B3"/>
    <mergeCell ref="D3:I3"/>
    <mergeCell ref="B4:C4"/>
    <mergeCell ref="B5:C5"/>
    <mergeCell ref="B6:C6"/>
  </mergeCells>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55154-E9F6-4559-9154-5171B0EBFE71}">
  <sheetPr>
    <tabColor rgb="FF00FFFF"/>
  </sheetPr>
  <dimension ref="A1:J14"/>
  <sheetViews>
    <sheetView workbookViewId="0">
      <pane xSplit="4" ySplit="4" topLeftCell="E5" activePane="bottomRight" state="frozen"/>
      <selection pane="bottomRight" activeCell="B8" sqref="A1:J14"/>
      <selection pane="bottomLeft" activeCell="C1" sqref="C1:I2"/>
      <selection pane="topRight" activeCell="C1" sqref="C1:I2"/>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339</v>
      </c>
      <c r="D1" s="74"/>
      <c r="E1" s="74"/>
      <c r="F1" s="74"/>
      <c r="G1" s="74"/>
      <c r="H1" s="74"/>
      <c r="I1" s="74"/>
      <c r="J1" s="75"/>
    </row>
    <row r="2" spans="1:10" ht="15">
      <c r="A2" s="70" t="s">
        <v>0</v>
      </c>
      <c r="B2" s="70"/>
      <c r="C2" s="73" t="s">
        <v>469</v>
      </c>
      <c r="D2" s="74"/>
      <c r="E2" s="74"/>
      <c r="F2" s="74"/>
      <c r="G2" s="74"/>
      <c r="H2" s="74"/>
      <c r="I2" s="74"/>
      <c r="J2" s="75"/>
    </row>
    <row r="3" spans="1:10" ht="45">
      <c r="A3" s="70" t="s">
        <v>81</v>
      </c>
      <c r="B3" s="70"/>
      <c r="C3" s="18" t="s">
        <v>82</v>
      </c>
      <c r="D3" s="55" t="s">
        <v>83</v>
      </c>
      <c r="E3" s="122">
        <v>570</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34.5" customHeight="1">
      <c r="A5" s="52">
        <v>1</v>
      </c>
      <c r="B5" s="122" t="s">
        <v>84</v>
      </c>
      <c r="C5" s="122"/>
      <c r="D5" s="122"/>
      <c r="E5" s="123"/>
      <c r="F5" s="123" t="s">
        <v>63</v>
      </c>
      <c r="G5" s="123"/>
      <c r="H5" s="123">
        <v>10</v>
      </c>
      <c r="I5" s="124">
        <f>(H5*10)/SUM($H$5:$H$13)</f>
        <v>1.3513513513513513</v>
      </c>
      <c r="J5" s="125">
        <f>IF(F5="X",((H5*10)/SUM($H$5:$H$13)),0)</f>
        <v>1.3513513513513513</v>
      </c>
    </row>
    <row r="6" spans="1:10" ht="21" customHeight="1">
      <c r="A6" s="52">
        <v>2</v>
      </c>
      <c r="B6" s="122" t="s">
        <v>85</v>
      </c>
      <c r="C6" s="122"/>
      <c r="D6" s="122"/>
      <c r="E6" s="123"/>
      <c r="F6" s="123" t="s">
        <v>63</v>
      </c>
      <c r="G6" s="123"/>
      <c r="H6" s="123">
        <v>10</v>
      </c>
      <c r="I6" s="124">
        <f t="shared" ref="I6:I13" si="0">(H6*10)/SUM($H$5:$H$13)</f>
        <v>1.3513513513513513</v>
      </c>
      <c r="J6" s="125">
        <f t="shared" ref="J6:J13" si="1">IF(F6="X",((H6*10)/SUM($H$5:$H$13)),0)</f>
        <v>1.3513513513513513</v>
      </c>
    </row>
    <row r="7" spans="1:10" ht="33" customHeight="1">
      <c r="A7" s="52">
        <v>3</v>
      </c>
      <c r="B7" s="122" t="s">
        <v>86</v>
      </c>
      <c r="C7" s="122"/>
      <c r="D7" s="122"/>
      <c r="E7" s="123" t="s">
        <v>63</v>
      </c>
      <c r="F7" s="123"/>
      <c r="G7" s="123"/>
      <c r="H7" s="123">
        <v>6</v>
      </c>
      <c r="I7" s="124">
        <f t="shared" si="0"/>
        <v>0.81081081081081086</v>
      </c>
      <c r="J7" s="125">
        <f t="shared" si="1"/>
        <v>0</v>
      </c>
    </row>
    <row r="8" spans="1:10" ht="60" customHeight="1">
      <c r="A8" s="52">
        <v>4</v>
      </c>
      <c r="B8" s="122" t="s">
        <v>87</v>
      </c>
      <c r="C8" s="122"/>
      <c r="D8" s="122"/>
      <c r="E8" s="123"/>
      <c r="F8" s="123" t="s">
        <v>63</v>
      </c>
      <c r="G8" s="123"/>
      <c r="H8" s="123">
        <v>10</v>
      </c>
      <c r="I8" s="124">
        <f t="shared" si="0"/>
        <v>1.3513513513513513</v>
      </c>
      <c r="J8" s="125">
        <f t="shared" si="1"/>
        <v>1.3513513513513513</v>
      </c>
    </row>
    <row r="9" spans="1:10" ht="33" customHeight="1">
      <c r="A9" s="52">
        <v>5</v>
      </c>
      <c r="B9" s="122" t="s">
        <v>88</v>
      </c>
      <c r="C9" s="122"/>
      <c r="D9" s="122"/>
      <c r="E9" s="123"/>
      <c r="F9" s="123" t="s">
        <v>63</v>
      </c>
      <c r="G9" s="123"/>
      <c r="H9" s="123">
        <v>6</v>
      </c>
      <c r="I9" s="124">
        <f t="shared" si="0"/>
        <v>0.81081081081081086</v>
      </c>
      <c r="J9" s="125">
        <f t="shared" si="1"/>
        <v>0.81081081081081086</v>
      </c>
    </row>
    <row r="10" spans="1:10" ht="34.5" customHeight="1">
      <c r="A10" s="52">
        <v>6</v>
      </c>
      <c r="B10" s="122" t="s">
        <v>89</v>
      </c>
      <c r="C10" s="122"/>
      <c r="D10" s="122"/>
      <c r="E10" s="123"/>
      <c r="F10" s="123" t="s">
        <v>63</v>
      </c>
      <c r="G10" s="123"/>
      <c r="H10" s="123">
        <v>6</v>
      </c>
      <c r="I10" s="124">
        <f t="shared" si="0"/>
        <v>0.81081081081081086</v>
      </c>
      <c r="J10" s="125">
        <f t="shared" si="1"/>
        <v>0.81081081081081086</v>
      </c>
    </row>
    <row r="11" spans="1:10" ht="74.25" customHeight="1">
      <c r="A11" s="52">
        <v>7</v>
      </c>
      <c r="B11" s="122" t="s">
        <v>90</v>
      </c>
      <c r="C11" s="122"/>
      <c r="D11" s="122"/>
      <c r="E11" s="123" t="s">
        <v>63</v>
      </c>
      <c r="F11" s="123"/>
      <c r="G11" s="123"/>
      <c r="H11" s="123">
        <v>10</v>
      </c>
      <c r="I11" s="124">
        <f t="shared" si="0"/>
        <v>1.3513513513513513</v>
      </c>
      <c r="J11" s="125">
        <f>IF(F11="X",((H11*10)/SUM($H$5:$H$13)),0)</f>
        <v>0</v>
      </c>
    </row>
    <row r="12" spans="1:10" ht="32.25" customHeight="1">
      <c r="A12" s="52">
        <v>8</v>
      </c>
      <c r="B12" s="122" t="s">
        <v>91</v>
      </c>
      <c r="C12" s="122"/>
      <c r="D12" s="122"/>
      <c r="E12" s="123"/>
      <c r="F12" s="123" t="s">
        <v>63</v>
      </c>
      <c r="G12" s="123"/>
      <c r="H12" s="123">
        <v>10</v>
      </c>
      <c r="I12" s="124">
        <f t="shared" si="0"/>
        <v>1.3513513513513513</v>
      </c>
      <c r="J12" s="125">
        <f t="shared" si="1"/>
        <v>1.3513513513513513</v>
      </c>
    </row>
    <row r="13" spans="1:10" ht="51" customHeight="1">
      <c r="A13" s="52">
        <v>9</v>
      </c>
      <c r="B13" s="122" t="s">
        <v>92</v>
      </c>
      <c r="C13" s="122"/>
      <c r="D13" s="122"/>
      <c r="E13" s="123" t="s">
        <v>63</v>
      </c>
      <c r="F13" s="123"/>
      <c r="G13" s="123"/>
      <c r="H13" s="123">
        <v>6</v>
      </c>
      <c r="I13" s="124">
        <f t="shared" si="0"/>
        <v>0.81081081081081086</v>
      </c>
      <c r="J13" s="125">
        <f t="shared" si="1"/>
        <v>0</v>
      </c>
    </row>
    <row r="14" spans="1:10" ht="15" customHeight="1">
      <c r="A14" s="71" t="s">
        <v>71</v>
      </c>
      <c r="B14" s="72"/>
      <c r="C14" s="72"/>
      <c r="D14" s="72"/>
      <c r="E14" s="72"/>
      <c r="F14" s="72"/>
      <c r="G14" s="72"/>
      <c r="H14" s="72"/>
      <c r="I14" s="28">
        <f>SUM(I5:I13)</f>
        <v>9.9999999999999982</v>
      </c>
      <c r="J14" s="19">
        <f>SUM(J5:J13)</f>
        <v>7.0270270270270263</v>
      </c>
    </row>
  </sheetData>
  <mergeCells count="17">
    <mergeCell ref="A14:H14"/>
    <mergeCell ref="B8:D8"/>
    <mergeCell ref="B9:D9"/>
    <mergeCell ref="B10:D10"/>
    <mergeCell ref="B11:D11"/>
    <mergeCell ref="B12:D12"/>
    <mergeCell ref="B13:D13"/>
    <mergeCell ref="A1:B1"/>
    <mergeCell ref="A2:B2"/>
    <mergeCell ref="C1:J1"/>
    <mergeCell ref="C2:J2"/>
    <mergeCell ref="B7:D7"/>
    <mergeCell ref="A3:B3"/>
    <mergeCell ref="E3:J3"/>
    <mergeCell ref="B4:D4"/>
    <mergeCell ref="B5:D5"/>
    <mergeCell ref="B6:D6"/>
  </mergeCells>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7638F-CEAF-4F94-8CE3-C066623C0E4E}">
  <sheetPr>
    <tabColor rgb="FF00FFFF"/>
  </sheetPr>
  <dimension ref="A1:J14"/>
  <sheetViews>
    <sheetView workbookViewId="0">
      <pane xSplit="4" ySplit="4" topLeftCell="E5" activePane="bottomRight" state="frozen"/>
      <selection pane="bottomRight" activeCell="B7" sqref="A1:J14"/>
      <selection pane="bottomLeft" activeCell="C1" sqref="C1:I2"/>
      <selection pane="topRight" activeCell="C1" sqref="C1:I2"/>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469</v>
      </c>
      <c r="D2" s="74"/>
      <c r="E2" s="74"/>
      <c r="F2" s="74"/>
      <c r="G2" s="74"/>
      <c r="H2" s="74"/>
      <c r="I2" s="74"/>
      <c r="J2" s="75"/>
    </row>
    <row r="3" spans="1:10" ht="45">
      <c r="A3" s="70" t="s">
        <v>81</v>
      </c>
      <c r="B3" s="70"/>
      <c r="C3" s="18" t="s">
        <v>93</v>
      </c>
      <c r="D3" s="55" t="s">
        <v>239</v>
      </c>
      <c r="E3" s="122" t="s">
        <v>440</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2.75" customHeight="1">
      <c r="A5" s="52">
        <v>1</v>
      </c>
      <c r="B5" s="122" t="s">
        <v>441</v>
      </c>
      <c r="C5" s="122"/>
      <c r="D5" s="122"/>
      <c r="E5" s="123"/>
      <c r="F5" s="123" t="s">
        <v>63</v>
      </c>
      <c r="G5" s="55"/>
      <c r="H5" s="27">
        <v>10</v>
      </c>
      <c r="I5" s="124">
        <f>IF(H5="","",((H5*10)/SUM($H$5:$H$13)))</f>
        <v>1.6129032258064515</v>
      </c>
      <c r="J5" s="125">
        <f>IF(F5="X",((H5*10)/SUM($H$5:$H$13)),0)</f>
        <v>1.6129032258064515</v>
      </c>
    </row>
    <row r="6" spans="1:10" ht="42.75" customHeight="1">
      <c r="A6" s="52">
        <v>2</v>
      </c>
      <c r="B6" s="122" t="s">
        <v>442</v>
      </c>
      <c r="C6" s="122"/>
      <c r="D6" s="122"/>
      <c r="E6" s="123"/>
      <c r="F6" s="123" t="s">
        <v>63</v>
      </c>
      <c r="G6" s="55"/>
      <c r="H6" s="27">
        <v>10</v>
      </c>
      <c r="I6" s="124">
        <f t="shared" ref="I6:I13" si="0">IF(H6="","",((H6*10)/SUM($H$5:$H$13)))</f>
        <v>1.6129032258064515</v>
      </c>
      <c r="J6" s="125">
        <f t="shared" ref="J6:J13" si="1">IF(F6="X",((H6*10)/SUM($H$5:$H$13)),0)</f>
        <v>1.6129032258064515</v>
      </c>
    </row>
    <row r="7" spans="1:10" ht="28.5" customHeight="1">
      <c r="A7" s="52">
        <v>3</v>
      </c>
      <c r="B7" s="122" t="s">
        <v>272</v>
      </c>
      <c r="C7" s="122"/>
      <c r="D7" s="122"/>
      <c r="E7" s="123" t="s">
        <v>63</v>
      </c>
      <c r="F7" s="123"/>
      <c r="G7" s="55"/>
      <c r="H7" s="27">
        <v>10</v>
      </c>
      <c r="I7" s="124">
        <f t="shared" si="0"/>
        <v>1.6129032258064515</v>
      </c>
      <c r="J7" s="125">
        <f t="shared" si="1"/>
        <v>0</v>
      </c>
    </row>
    <row r="8" spans="1:10" ht="42.75" customHeight="1">
      <c r="A8" s="52">
        <v>4</v>
      </c>
      <c r="B8" s="122" t="s">
        <v>443</v>
      </c>
      <c r="C8" s="122"/>
      <c r="D8" s="122"/>
      <c r="E8" s="123"/>
      <c r="F8" s="123" t="s">
        <v>63</v>
      </c>
      <c r="G8" s="55"/>
      <c r="H8" s="27">
        <v>6</v>
      </c>
      <c r="I8" s="124">
        <f t="shared" si="0"/>
        <v>0.967741935483871</v>
      </c>
      <c r="J8" s="125">
        <f t="shared" si="1"/>
        <v>0.967741935483871</v>
      </c>
    </row>
    <row r="9" spans="1:10" ht="28.5" customHeight="1">
      <c r="A9" s="52">
        <v>5</v>
      </c>
      <c r="B9" s="122" t="s">
        <v>444</v>
      </c>
      <c r="C9" s="122"/>
      <c r="D9" s="122"/>
      <c r="E9" s="123"/>
      <c r="F9" s="123" t="s">
        <v>63</v>
      </c>
      <c r="G9" s="55"/>
      <c r="H9" s="27">
        <v>6</v>
      </c>
      <c r="I9" s="124">
        <f t="shared" si="0"/>
        <v>0.967741935483871</v>
      </c>
      <c r="J9" s="125">
        <f t="shared" si="1"/>
        <v>0.967741935483871</v>
      </c>
    </row>
    <row r="10" spans="1:10" ht="42.75" customHeight="1">
      <c r="A10" s="52">
        <v>6</v>
      </c>
      <c r="B10" s="122" t="s">
        <v>445</v>
      </c>
      <c r="C10" s="122"/>
      <c r="D10" s="122"/>
      <c r="E10" s="123"/>
      <c r="F10" s="123" t="s">
        <v>63</v>
      </c>
      <c r="G10" s="55"/>
      <c r="H10" s="27">
        <v>6</v>
      </c>
      <c r="I10" s="124">
        <f t="shared" si="0"/>
        <v>0.967741935483871</v>
      </c>
      <c r="J10" s="125">
        <f t="shared" si="1"/>
        <v>0.967741935483871</v>
      </c>
    </row>
    <row r="11" spans="1:10" ht="28.5" customHeight="1">
      <c r="A11" s="52">
        <v>7</v>
      </c>
      <c r="B11" s="122" t="s">
        <v>446</v>
      </c>
      <c r="C11" s="122"/>
      <c r="D11" s="122"/>
      <c r="E11" s="123"/>
      <c r="F11" s="123" t="s">
        <v>63</v>
      </c>
      <c r="G11" s="55"/>
      <c r="H11" s="27">
        <v>2</v>
      </c>
      <c r="I11" s="124">
        <f t="shared" si="0"/>
        <v>0.32258064516129031</v>
      </c>
      <c r="J11" s="125">
        <f t="shared" si="1"/>
        <v>0.32258064516129031</v>
      </c>
    </row>
    <row r="12" spans="1:10" ht="28.5" customHeight="1">
      <c r="A12" s="52">
        <v>8</v>
      </c>
      <c r="B12" s="122" t="s">
        <v>447</v>
      </c>
      <c r="C12" s="122"/>
      <c r="D12" s="122"/>
      <c r="E12" s="123"/>
      <c r="F12" s="123" t="s">
        <v>63</v>
      </c>
      <c r="G12" s="55"/>
      <c r="H12" s="27">
        <v>6</v>
      </c>
      <c r="I12" s="124">
        <f t="shared" si="0"/>
        <v>0.967741935483871</v>
      </c>
      <c r="J12" s="125">
        <f t="shared" si="1"/>
        <v>0.967741935483871</v>
      </c>
    </row>
    <row r="13" spans="1:10" ht="57" customHeight="1">
      <c r="A13" s="52">
        <v>9</v>
      </c>
      <c r="B13" s="122" t="s">
        <v>448</v>
      </c>
      <c r="C13" s="122"/>
      <c r="D13" s="122"/>
      <c r="E13" s="123" t="s">
        <v>63</v>
      </c>
      <c r="F13" s="123"/>
      <c r="G13" s="55"/>
      <c r="H13" s="27">
        <v>6</v>
      </c>
      <c r="I13" s="124">
        <f t="shared" si="0"/>
        <v>0.967741935483871</v>
      </c>
      <c r="J13" s="125">
        <f t="shared" si="1"/>
        <v>0</v>
      </c>
    </row>
    <row r="14" spans="1:10">
      <c r="A14" s="112" t="s">
        <v>71</v>
      </c>
      <c r="B14" s="112"/>
      <c r="C14" s="112"/>
      <c r="D14" s="112"/>
      <c r="E14" s="112"/>
      <c r="F14" s="112"/>
      <c r="G14" s="112"/>
      <c r="H14" s="112"/>
      <c r="I14" s="37">
        <f>SUM(I5:I13)</f>
        <v>10</v>
      </c>
      <c r="J14" s="36">
        <f>SUM(J5:J13)</f>
        <v>7.419354838709677</v>
      </c>
    </row>
  </sheetData>
  <mergeCells count="17">
    <mergeCell ref="A14:H14"/>
    <mergeCell ref="B8:D8"/>
    <mergeCell ref="B9:D9"/>
    <mergeCell ref="B10:D10"/>
    <mergeCell ref="B11:D11"/>
    <mergeCell ref="B12:D12"/>
    <mergeCell ref="B13:D13"/>
    <mergeCell ref="A1:B1"/>
    <mergeCell ref="A2:B2"/>
    <mergeCell ref="C1:J1"/>
    <mergeCell ref="C2:J2"/>
    <mergeCell ref="B7:D7"/>
    <mergeCell ref="A3:B3"/>
    <mergeCell ref="E3:J3"/>
    <mergeCell ref="B4:D4"/>
    <mergeCell ref="B5:D5"/>
    <mergeCell ref="B6:D6"/>
  </mergeCells>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605C3-F0D2-49EB-941F-75588B6209F9}">
  <sheetPr>
    <tabColor rgb="FF00FFFF"/>
  </sheetPr>
  <dimension ref="A1:J15"/>
  <sheetViews>
    <sheetView workbookViewId="0">
      <pane xSplit="4" ySplit="4" topLeftCell="E5" activePane="bottomRight" state="frozen"/>
      <selection pane="bottomRight" activeCell="B10" sqref="A1:J15"/>
      <selection pane="bottomLeft" activeCell="C1" sqref="C1:I2"/>
      <selection pane="topRight" activeCell="C1" sqref="C1:I2"/>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469</v>
      </c>
      <c r="D2" s="74"/>
      <c r="E2" s="74"/>
      <c r="F2" s="74"/>
      <c r="G2" s="74"/>
      <c r="H2" s="74"/>
      <c r="I2" s="74"/>
      <c r="J2" s="75"/>
    </row>
    <row r="3" spans="1:10" ht="45">
      <c r="A3" s="70" t="s">
        <v>81</v>
      </c>
      <c r="B3" s="70"/>
      <c r="C3" s="18" t="s">
        <v>93</v>
      </c>
      <c r="D3" s="55" t="s">
        <v>94</v>
      </c>
      <c r="E3" s="122" t="s">
        <v>340</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28.5" customHeight="1">
      <c r="A5" s="52">
        <v>1</v>
      </c>
      <c r="B5" s="122" t="s">
        <v>341</v>
      </c>
      <c r="C5" s="122"/>
      <c r="D5" s="122"/>
      <c r="E5" s="123"/>
      <c r="F5" s="123" t="s">
        <v>63</v>
      </c>
      <c r="G5" s="55"/>
      <c r="H5" s="123">
        <v>10</v>
      </c>
      <c r="I5" s="124">
        <f>IF(H5="","",((H5*10)/SUM($H$5:$H$14)))</f>
        <v>1.5625</v>
      </c>
      <c r="J5" s="125">
        <f>IF(F5="X",((H5*10)/SUM($H$5:$H$14)),0)</f>
        <v>1.5625</v>
      </c>
    </row>
    <row r="6" spans="1:10" ht="42.75" customHeight="1">
      <c r="A6" s="52">
        <v>2</v>
      </c>
      <c r="B6" s="122" t="s">
        <v>342</v>
      </c>
      <c r="C6" s="122"/>
      <c r="D6" s="122"/>
      <c r="E6" s="123"/>
      <c r="F6" s="123" t="s">
        <v>63</v>
      </c>
      <c r="G6" s="55"/>
      <c r="H6" s="123">
        <v>10</v>
      </c>
      <c r="I6" s="124">
        <f t="shared" ref="I6:I14" si="0">IF(H6="","",((H6*10)/SUM($H$5:$H$14)))</f>
        <v>1.5625</v>
      </c>
      <c r="J6" s="125">
        <f t="shared" ref="J6:J14" si="1">IF(F6="X",((H6*10)/SUM($H$5:$H$14)),0)</f>
        <v>1.5625</v>
      </c>
    </row>
    <row r="7" spans="1:10" ht="28.5" customHeight="1">
      <c r="A7" s="52">
        <v>3</v>
      </c>
      <c r="B7" s="122" t="s">
        <v>272</v>
      </c>
      <c r="C7" s="122"/>
      <c r="D7" s="122"/>
      <c r="E7" s="123" t="s">
        <v>63</v>
      </c>
      <c r="F7" s="123"/>
      <c r="G7" s="55"/>
      <c r="H7" s="123">
        <v>10</v>
      </c>
      <c r="I7" s="124">
        <f t="shared" si="0"/>
        <v>1.5625</v>
      </c>
      <c r="J7" s="125">
        <f t="shared" si="1"/>
        <v>0</v>
      </c>
    </row>
    <row r="8" spans="1:10" ht="28.5" customHeight="1">
      <c r="A8" s="52">
        <v>4</v>
      </c>
      <c r="B8" s="122" t="s">
        <v>343</v>
      </c>
      <c r="C8" s="122"/>
      <c r="D8" s="122"/>
      <c r="E8" s="123" t="s">
        <v>63</v>
      </c>
      <c r="F8" s="123"/>
      <c r="G8" s="55"/>
      <c r="H8" s="123">
        <v>6</v>
      </c>
      <c r="I8" s="124">
        <f t="shared" si="0"/>
        <v>0.9375</v>
      </c>
      <c r="J8" s="125">
        <f t="shared" si="1"/>
        <v>0</v>
      </c>
    </row>
    <row r="9" spans="1:10" ht="42.75" customHeight="1">
      <c r="A9" s="52">
        <v>5</v>
      </c>
      <c r="B9" s="122" t="s">
        <v>344</v>
      </c>
      <c r="C9" s="122"/>
      <c r="D9" s="122"/>
      <c r="E9" s="123"/>
      <c r="F9" s="123" t="s">
        <v>63</v>
      </c>
      <c r="G9" s="55"/>
      <c r="H9" s="123">
        <v>10</v>
      </c>
      <c r="I9" s="124">
        <f t="shared" si="0"/>
        <v>1.5625</v>
      </c>
      <c r="J9" s="125">
        <f t="shared" si="1"/>
        <v>1.5625</v>
      </c>
    </row>
    <row r="10" spans="1:10" ht="42.75" customHeight="1">
      <c r="A10" s="52">
        <v>6</v>
      </c>
      <c r="B10" s="122" t="s">
        <v>345</v>
      </c>
      <c r="C10" s="122"/>
      <c r="D10" s="122"/>
      <c r="E10" s="123"/>
      <c r="F10" s="123" t="s">
        <v>63</v>
      </c>
      <c r="G10" s="55"/>
      <c r="H10" s="123">
        <v>6</v>
      </c>
      <c r="I10" s="124">
        <f t="shared" si="0"/>
        <v>0.9375</v>
      </c>
      <c r="J10" s="125">
        <f t="shared" si="1"/>
        <v>0.9375</v>
      </c>
    </row>
    <row r="11" spans="1:10" ht="57" customHeight="1">
      <c r="A11" s="52">
        <v>7</v>
      </c>
      <c r="B11" s="122" t="s">
        <v>346</v>
      </c>
      <c r="C11" s="122"/>
      <c r="D11" s="122"/>
      <c r="E11" s="123"/>
      <c r="F11" s="123" t="s">
        <v>63</v>
      </c>
      <c r="G11" s="55"/>
      <c r="H11" s="123">
        <v>6</v>
      </c>
      <c r="I11" s="124">
        <f t="shared" si="0"/>
        <v>0.9375</v>
      </c>
      <c r="J11" s="125">
        <f t="shared" si="1"/>
        <v>0.9375</v>
      </c>
    </row>
    <row r="12" spans="1:10" ht="42.75" customHeight="1">
      <c r="A12" s="52">
        <v>8</v>
      </c>
      <c r="B12" s="122" t="s">
        <v>347</v>
      </c>
      <c r="C12" s="122"/>
      <c r="D12" s="122"/>
      <c r="E12" s="123"/>
      <c r="F12" s="123" t="s">
        <v>63</v>
      </c>
      <c r="G12" s="55"/>
      <c r="H12" s="123">
        <v>2</v>
      </c>
      <c r="I12" s="124">
        <f t="shared" si="0"/>
        <v>0.3125</v>
      </c>
      <c r="J12" s="125">
        <f t="shared" si="1"/>
        <v>0.3125</v>
      </c>
    </row>
    <row r="13" spans="1:10" ht="27" customHeight="1">
      <c r="A13" s="52">
        <v>9</v>
      </c>
      <c r="B13" s="122" t="s">
        <v>348</v>
      </c>
      <c r="C13" s="122"/>
      <c r="D13" s="122"/>
      <c r="E13" s="123"/>
      <c r="F13" s="123" t="s">
        <v>63</v>
      </c>
      <c r="G13" s="55"/>
      <c r="H13" s="123">
        <v>2</v>
      </c>
      <c r="I13" s="124">
        <f t="shared" si="0"/>
        <v>0.3125</v>
      </c>
      <c r="J13" s="125">
        <f t="shared" si="1"/>
        <v>0.3125</v>
      </c>
    </row>
    <row r="14" spans="1:10" ht="28.5" customHeight="1">
      <c r="A14" s="52">
        <v>10</v>
      </c>
      <c r="B14" s="122" t="s">
        <v>349</v>
      </c>
      <c r="C14" s="122"/>
      <c r="D14" s="122"/>
      <c r="E14" s="123"/>
      <c r="F14" s="123" t="s">
        <v>63</v>
      </c>
      <c r="G14" s="55"/>
      <c r="H14" s="123">
        <v>2</v>
      </c>
      <c r="I14" s="124">
        <f t="shared" si="0"/>
        <v>0.3125</v>
      </c>
      <c r="J14" s="125">
        <f t="shared" si="1"/>
        <v>0.3125</v>
      </c>
    </row>
    <row r="15" spans="1:10">
      <c r="A15" s="112" t="s">
        <v>71</v>
      </c>
      <c r="B15" s="112"/>
      <c r="C15" s="112"/>
      <c r="D15" s="112"/>
      <c r="E15" s="112"/>
      <c r="F15" s="112"/>
      <c r="G15" s="112"/>
      <c r="H15" s="112"/>
      <c r="I15" s="37">
        <f>SUM(I5:I14)</f>
        <v>10</v>
      </c>
      <c r="J15" s="36">
        <f>SUM(J5:J14)</f>
        <v>7.5</v>
      </c>
    </row>
  </sheetData>
  <mergeCells count="18">
    <mergeCell ref="B14:D14"/>
    <mergeCell ref="A15:H15"/>
    <mergeCell ref="B8:D8"/>
    <mergeCell ref="B9:D9"/>
    <mergeCell ref="B10:D10"/>
    <mergeCell ref="B11:D11"/>
    <mergeCell ref="B12:D12"/>
    <mergeCell ref="B13:D13"/>
    <mergeCell ref="A1:B1"/>
    <mergeCell ref="A2:B2"/>
    <mergeCell ref="C1:J1"/>
    <mergeCell ref="C2:J2"/>
    <mergeCell ref="B7:D7"/>
    <mergeCell ref="A3:B3"/>
    <mergeCell ref="E3:J3"/>
    <mergeCell ref="B4:D4"/>
    <mergeCell ref="B5:D5"/>
    <mergeCell ref="B6:D6"/>
  </mergeCells>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85831-0F48-481F-95A1-C7DC16D3B412}">
  <sheetPr>
    <tabColor rgb="FF00FFFF"/>
  </sheetPr>
  <dimension ref="A1:J14"/>
  <sheetViews>
    <sheetView workbookViewId="0">
      <pane xSplit="4" ySplit="4" topLeftCell="E5" activePane="bottomRight" state="frozen"/>
      <selection pane="bottomRight" activeCell="B7" sqref="A1:J14"/>
      <selection pane="bottomLeft" activeCell="C1" sqref="C1:I2"/>
      <selection pane="topRight" activeCell="C1" sqref="C1:I2"/>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469</v>
      </c>
      <c r="D2" s="74"/>
      <c r="E2" s="74"/>
      <c r="F2" s="74"/>
      <c r="G2" s="74"/>
      <c r="H2" s="74"/>
      <c r="I2" s="74"/>
      <c r="J2" s="75"/>
    </row>
    <row r="3" spans="1:10" ht="45">
      <c r="A3" s="70" t="s">
        <v>81</v>
      </c>
      <c r="B3" s="70"/>
      <c r="C3" s="18" t="s">
        <v>93</v>
      </c>
      <c r="D3" s="55" t="s">
        <v>256</v>
      </c>
      <c r="E3" s="122" t="s">
        <v>449</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28.5" customHeight="1">
      <c r="A5" s="52">
        <v>1</v>
      </c>
      <c r="B5" s="122" t="s">
        <v>272</v>
      </c>
      <c r="C5" s="122"/>
      <c r="D5" s="122"/>
      <c r="E5" s="123" t="s">
        <v>63</v>
      </c>
      <c r="F5" s="123"/>
      <c r="G5" s="55"/>
      <c r="H5" s="123">
        <v>10</v>
      </c>
      <c r="I5" s="124">
        <f>IF(H5="","",((H5*10)/SUM($H$5:$H$13)))</f>
        <v>1.3513513513513513</v>
      </c>
      <c r="J5" s="125">
        <f>IF(F5="X",((H5*10)/SUM($H$5:$H$13)),0)</f>
        <v>0</v>
      </c>
    </row>
    <row r="6" spans="1:10" ht="57" customHeight="1">
      <c r="A6" s="52">
        <v>2</v>
      </c>
      <c r="B6" s="122" t="s">
        <v>450</v>
      </c>
      <c r="C6" s="122"/>
      <c r="D6" s="122"/>
      <c r="E6" s="123"/>
      <c r="F6" s="123" t="s">
        <v>63</v>
      </c>
      <c r="G6" s="55"/>
      <c r="H6" s="123">
        <v>6</v>
      </c>
      <c r="I6" s="124">
        <f t="shared" ref="I6:I13" si="0">IF(H6="","",((H6*10)/SUM($H$5:$H$13)))</f>
        <v>0.81081081081081086</v>
      </c>
      <c r="J6" s="125">
        <f t="shared" ref="J6:J13" si="1">IF(F6="X",((H6*10)/SUM($H$5:$H$13)),0)</f>
        <v>0.81081081081081086</v>
      </c>
    </row>
    <row r="7" spans="1:10" ht="57" customHeight="1">
      <c r="A7" s="52">
        <v>3</v>
      </c>
      <c r="B7" s="122" t="s">
        <v>451</v>
      </c>
      <c r="C7" s="122"/>
      <c r="D7" s="122"/>
      <c r="E7" s="123"/>
      <c r="F7" s="123" t="s">
        <v>63</v>
      </c>
      <c r="G7" s="55"/>
      <c r="H7" s="123">
        <v>10</v>
      </c>
      <c r="I7" s="124">
        <f t="shared" si="0"/>
        <v>1.3513513513513513</v>
      </c>
      <c r="J7" s="125">
        <f t="shared" si="1"/>
        <v>1.3513513513513513</v>
      </c>
    </row>
    <row r="8" spans="1:10" ht="42.75" customHeight="1">
      <c r="A8" s="52">
        <v>4</v>
      </c>
      <c r="B8" s="122" t="s">
        <v>452</v>
      </c>
      <c r="C8" s="122"/>
      <c r="D8" s="122"/>
      <c r="E8" s="123"/>
      <c r="F8" s="123" t="s">
        <v>63</v>
      </c>
      <c r="G8" s="55"/>
      <c r="H8" s="123">
        <v>10</v>
      </c>
      <c r="I8" s="124">
        <f t="shared" si="0"/>
        <v>1.3513513513513513</v>
      </c>
      <c r="J8" s="125">
        <f t="shared" si="1"/>
        <v>1.3513513513513513</v>
      </c>
    </row>
    <row r="9" spans="1:10" ht="57" customHeight="1">
      <c r="A9" s="52">
        <v>5</v>
      </c>
      <c r="B9" s="122" t="s">
        <v>389</v>
      </c>
      <c r="C9" s="122"/>
      <c r="D9" s="122"/>
      <c r="E9" s="123"/>
      <c r="F9" s="123" t="s">
        <v>63</v>
      </c>
      <c r="G9" s="55"/>
      <c r="H9" s="123">
        <v>10</v>
      </c>
      <c r="I9" s="124">
        <f t="shared" si="0"/>
        <v>1.3513513513513513</v>
      </c>
      <c r="J9" s="125">
        <f t="shared" si="1"/>
        <v>1.3513513513513513</v>
      </c>
    </row>
    <row r="10" spans="1:10" ht="42.75" customHeight="1">
      <c r="A10" s="52">
        <v>6</v>
      </c>
      <c r="B10" s="122" t="s">
        <v>453</v>
      </c>
      <c r="C10" s="122"/>
      <c r="D10" s="122"/>
      <c r="E10" s="123" t="s">
        <v>63</v>
      </c>
      <c r="F10" s="123"/>
      <c r="G10" s="55"/>
      <c r="H10" s="123">
        <v>10</v>
      </c>
      <c r="I10" s="124">
        <f t="shared" si="0"/>
        <v>1.3513513513513513</v>
      </c>
      <c r="J10" s="125">
        <f t="shared" si="1"/>
        <v>0</v>
      </c>
    </row>
    <row r="11" spans="1:10" ht="57" customHeight="1">
      <c r="A11" s="52">
        <v>7</v>
      </c>
      <c r="B11" s="122" t="s">
        <v>454</v>
      </c>
      <c r="C11" s="122"/>
      <c r="D11" s="122"/>
      <c r="E11" s="123"/>
      <c r="F11" s="123" t="s">
        <v>63</v>
      </c>
      <c r="G11" s="55"/>
      <c r="H11" s="123">
        <v>6</v>
      </c>
      <c r="I11" s="124">
        <f t="shared" si="0"/>
        <v>0.81081081081081086</v>
      </c>
      <c r="J11" s="125">
        <f t="shared" si="1"/>
        <v>0.81081081081081086</v>
      </c>
    </row>
    <row r="12" spans="1:10" ht="57" customHeight="1">
      <c r="A12" s="52">
        <v>8</v>
      </c>
      <c r="B12" s="122" t="s">
        <v>394</v>
      </c>
      <c r="C12" s="122"/>
      <c r="D12" s="122"/>
      <c r="E12" s="123" t="s">
        <v>63</v>
      </c>
      <c r="F12" s="123"/>
      <c r="G12" s="55"/>
      <c r="H12" s="123">
        <v>6</v>
      </c>
      <c r="I12" s="124">
        <f t="shared" si="0"/>
        <v>0.81081081081081086</v>
      </c>
      <c r="J12" s="125">
        <f t="shared" si="1"/>
        <v>0</v>
      </c>
    </row>
    <row r="13" spans="1:10" ht="57" customHeight="1">
      <c r="A13" s="52">
        <v>9</v>
      </c>
      <c r="B13" s="122" t="s">
        <v>455</v>
      </c>
      <c r="C13" s="122"/>
      <c r="D13" s="122"/>
      <c r="E13" s="123"/>
      <c r="F13" s="123" t="s">
        <v>63</v>
      </c>
      <c r="G13" s="55"/>
      <c r="H13" s="123">
        <v>6</v>
      </c>
      <c r="I13" s="124">
        <f t="shared" si="0"/>
        <v>0.81081081081081086</v>
      </c>
      <c r="J13" s="125">
        <f t="shared" si="1"/>
        <v>0.81081081081081086</v>
      </c>
    </row>
    <row r="14" spans="1:10">
      <c r="A14" s="112" t="s">
        <v>71</v>
      </c>
      <c r="B14" s="112"/>
      <c r="C14" s="112"/>
      <c r="D14" s="112"/>
      <c r="E14" s="112"/>
      <c r="F14" s="112"/>
      <c r="G14" s="112"/>
      <c r="H14" s="112"/>
      <c r="I14" s="37">
        <f>SUM(I5:I13)</f>
        <v>9.9999999999999982</v>
      </c>
      <c r="J14" s="36">
        <f>SUM(J5:J13)</f>
        <v>6.486486486486486</v>
      </c>
    </row>
  </sheetData>
  <mergeCells count="17">
    <mergeCell ref="A14:H14"/>
    <mergeCell ref="B8:D8"/>
    <mergeCell ref="B9:D9"/>
    <mergeCell ref="B10:D10"/>
    <mergeCell ref="B11:D11"/>
    <mergeCell ref="B12:D12"/>
    <mergeCell ref="B13:D13"/>
    <mergeCell ref="A1:B1"/>
    <mergeCell ref="A2:B2"/>
    <mergeCell ref="C1:J1"/>
    <mergeCell ref="C2:J2"/>
    <mergeCell ref="B7:D7"/>
    <mergeCell ref="A3:B3"/>
    <mergeCell ref="E3:J3"/>
    <mergeCell ref="B4:D4"/>
    <mergeCell ref="B5:D5"/>
    <mergeCell ref="B6:D6"/>
  </mergeCells>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C4C07-1320-45D9-A939-26B145DAC496}">
  <sheetPr>
    <tabColor rgb="FF00FFFF"/>
  </sheetPr>
  <dimension ref="A1:J16"/>
  <sheetViews>
    <sheetView workbookViewId="0">
      <pane xSplit="4" ySplit="4" topLeftCell="E5" activePane="bottomRight" state="frozen"/>
      <selection pane="bottomRight" activeCell="B7" sqref="A1:J16"/>
      <selection pane="bottomLeft" activeCell="C1" sqref="C1:I2"/>
      <selection pane="topRight" activeCell="C1" sqref="C1:I2"/>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469</v>
      </c>
      <c r="D2" s="74"/>
      <c r="E2" s="74"/>
      <c r="F2" s="74"/>
      <c r="G2" s="74"/>
      <c r="H2" s="74"/>
      <c r="I2" s="74"/>
      <c r="J2" s="75"/>
    </row>
    <row r="3" spans="1:10" ht="45">
      <c r="A3" s="70" t="s">
        <v>81</v>
      </c>
      <c r="B3" s="70"/>
      <c r="C3" s="18" t="s">
        <v>93</v>
      </c>
      <c r="D3" s="55" t="s">
        <v>107</v>
      </c>
      <c r="E3" s="122" t="s">
        <v>350</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2.75" customHeight="1">
      <c r="A5" s="52">
        <v>1</v>
      </c>
      <c r="B5" s="122" t="s">
        <v>351</v>
      </c>
      <c r="C5" s="122"/>
      <c r="D5" s="122"/>
      <c r="E5" s="123" t="s">
        <v>63</v>
      </c>
      <c r="F5" s="123"/>
      <c r="G5" s="55"/>
      <c r="H5" s="123">
        <v>6</v>
      </c>
      <c r="I5" s="124">
        <f>IF(H5="","",((H5*10)/SUM($H$5:$H$15)))</f>
        <v>0.8571428571428571</v>
      </c>
      <c r="J5" s="125">
        <f>IF(F5="X",((H5*10)/SUM($H$5:$H$15)),0)</f>
        <v>0</v>
      </c>
    </row>
    <row r="6" spans="1:10" ht="28.5" customHeight="1">
      <c r="A6" s="52">
        <v>2</v>
      </c>
      <c r="B6" s="122" t="s">
        <v>272</v>
      </c>
      <c r="C6" s="122"/>
      <c r="D6" s="122"/>
      <c r="E6" s="123" t="s">
        <v>63</v>
      </c>
      <c r="F6" s="123"/>
      <c r="G6" s="55"/>
      <c r="H6" s="123">
        <v>10</v>
      </c>
      <c r="I6" s="124">
        <f t="shared" ref="I6:I15" si="0">IF(H6="","",((H6*10)/SUM($H$5:$H$15)))</f>
        <v>1.4285714285714286</v>
      </c>
      <c r="J6" s="125">
        <f t="shared" ref="J6:J15" si="1">IF(F6="X",((H6*10)/SUM($H$5:$H$15)),0)</f>
        <v>0</v>
      </c>
    </row>
    <row r="7" spans="1:10" ht="42.75" customHeight="1">
      <c r="A7" s="52">
        <v>3</v>
      </c>
      <c r="B7" s="122" t="s">
        <v>352</v>
      </c>
      <c r="C7" s="122"/>
      <c r="D7" s="122"/>
      <c r="E7" s="123"/>
      <c r="F7" s="123" t="s">
        <v>63</v>
      </c>
      <c r="G7" s="55"/>
      <c r="H7" s="123">
        <v>10</v>
      </c>
      <c r="I7" s="124">
        <f t="shared" si="0"/>
        <v>1.4285714285714286</v>
      </c>
      <c r="J7" s="125">
        <f t="shared" si="1"/>
        <v>1.4285714285714286</v>
      </c>
    </row>
    <row r="8" spans="1:10" ht="28.5" customHeight="1">
      <c r="A8" s="52">
        <v>4</v>
      </c>
      <c r="B8" s="122" t="s">
        <v>353</v>
      </c>
      <c r="C8" s="122"/>
      <c r="D8" s="122"/>
      <c r="E8" s="123"/>
      <c r="F8" s="123" t="s">
        <v>63</v>
      </c>
      <c r="G8" s="55"/>
      <c r="H8" s="123">
        <v>10</v>
      </c>
      <c r="I8" s="124">
        <f t="shared" si="0"/>
        <v>1.4285714285714286</v>
      </c>
      <c r="J8" s="125">
        <f t="shared" si="1"/>
        <v>1.4285714285714286</v>
      </c>
    </row>
    <row r="9" spans="1:10" ht="42.75" customHeight="1">
      <c r="A9" s="52">
        <v>5</v>
      </c>
      <c r="B9" s="122" t="s">
        <v>354</v>
      </c>
      <c r="C9" s="122"/>
      <c r="D9" s="122"/>
      <c r="E9" s="123"/>
      <c r="F9" s="123" t="s">
        <v>63</v>
      </c>
      <c r="G9" s="55"/>
      <c r="H9" s="123">
        <v>6</v>
      </c>
      <c r="I9" s="124">
        <f t="shared" si="0"/>
        <v>0.8571428571428571</v>
      </c>
      <c r="J9" s="125">
        <f t="shared" si="1"/>
        <v>0.8571428571428571</v>
      </c>
    </row>
    <row r="10" spans="1:10" ht="28.5" customHeight="1">
      <c r="A10" s="52">
        <v>6</v>
      </c>
      <c r="B10" s="122" t="s">
        <v>355</v>
      </c>
      <c r="C10" s="122"/>
      <c r="D10" s="122"/>
      <c r="E10" s="123"/>
      <c r="F10" s="123" t="s">
        <v>63</v>
      </c>
      <c r="G10" s="55"/>
      <c r="H10" s="123">
        <v>6</v>
      </c>
      <c r="I10" s="124">
        <f t="shared" si="0"/>
        <v>0.8571428571428571</v>
      </c>
      <c r="J10" s="125">
        <f t="shared" si="1"/>
        <v>0.8571428571428571</v>
      </c>
    </row>
    <row r="11" spans="1:10" ht="42.75" customHeight="1">
      <c r="A11" s="52">
        <v>7</v>
      </c>
      <c r="B11" s="122" t="s">
        <v>356</v>
      </c>
      <c r="C11" s="122"/>
      <c r="D11" s="122"/>
      <c r="E11" s="123"/>
      <c r="F11" s="123" t="s">
        <v>63</v>
      </c>
      <c r="G11" s="55"/>
      <c r="H11" s="123">
        <v>6</v>
      </c>
      <c r="I11" s="124">
        <f t="shared" si="0"/>
        <v>0.8571428571428571</v>
      </c>
      <c r="J11" s="125">
        <f t="shared" si="1"/>
        <v>0.8571428571428571</v>
      </c>
    </row>
    <row r="12" spans="1:10" ht="42.75" customHeight="1">
      <c r="A12" s="52">
        <v>8</v>
      </c>
      <c r="B12" s="122" t="s">
        <v>357</v>
      </c>
      <c r="C12" s="122"/>
      <c r="D12" s="122"/>
      <c r="E12" s="123"/>
      <c r="F12" s="123" t="s">
        <v>63</v>
      </c>
      <c r="G12" s="55"/>
      <c r="H12" s="123">
        <v>2</v>
      </c>
      <c r="I12" s="124">
        <f t="shared" si="0"/>
        <v>0.2857142857142857</v>
      </c>
      <c r="J12" s="125">
        <f t="shared" si="1"/>
        <v>0.2857142857142857</v>
      </c>
    </row>
    <row r="13" spans="1:10" ht="42.75" customHeight="1">
      <c r="A13" s="52">
        <v>9</v>
      </c>
      <c r="B13" s="122" t="s">
        <v>358</v>
      </c>
      <c r="C13" s="122"/>
      <c r="D13" s="122"/>
      <c r="E13" s="123" t="s">
        <v>63</v>
      </c>
      <c r="F13" s="123"/>
      <c r="G13" s="55"/>
      <c r="H13" s="123">
        <v>6</v>
      </c>
      <c r="I13" s="124">
        <f t="shared" si="0"/>
        <v>0.8571428571428571</v>
      </c>
      <c r="J13" s="125">
        <f t="shared" si="1"/>
        <v>0</v>
      </c>
    </row>
    <row r="14" spans="1:10" ht="42.75" customHeight="1">
      <c r="A14" s="52">
        <v>10</v>
      </c>
      <c r="B14" s="122" t="s">
        <v>359</v>
      </c>
      <c r="C14" s="122"/>
      <c r="D14" s="122"/>
      <c r="E14" s="123"/>
      <c r="F14" s="123" t="s">
        <v>63</v>
      </c>
      <c r="G14" s="55"/>
      <c r="H14" s="123">
        <v>6</v>
      </c>
      <c r="I14" s="124">
        <f t="shared" si="0"/>
        <v>0.8571428571428571</v>
      </c>
      <c r="J14" s="125">
        <f t="shared" si="1"/>
        <v>0.8571428571428571</v>
      </c>
    </row>
    <row r="15" spans="1:10" ht="57" customHeight="1">
      <c r="A15" s="52">
        <v>11</v>
      </c>
      <c r="B15" s="122" t="s">
        <v>360</v>
      </c>
      <c r="C15" s="122"/>
      <c r="D15" s="122"/>
      <c r="E15" s="123"/>
      <c r="F15" s="123" t="s">
        <v>63</v>
      </c>
      <c r="G15" s="55"/>
      <c r="H15" s="123">
        <v>2</v>
      </c>
      <c r="I15" s="124">
        <f t="shared" si="0"/>
        <v>0.2857142857142857</v>
      </c>
      <c r="J15" s="125">
        <f t="shared" si="1"/>
        <v>0.2857142857142857</v>
      </c>
    </row>
    <row r="16" spans="1:10">
      <c r="A16" s="112" t="s">
        <v>71</v>
      </c>
      <c r="B16" s="112"/>
      <c r="C16" s="112"/>
      <c r="D16" s="112"/>
      <c r="E16" s="112"/>
      <c r="F16" s="112"/>
      <c r="G16" s="112"/>
      <c r="H16" s="112"/>
      <c r="I16" s="37">
        <f>SUM(I5:I15)</f>
        <v>10</v>
      </c>
      <c r="J16" s="36">
        <f>SUM(J5:J15)</f>
        <v>6.8571428571428559</v>
      </c>
    </row>
  </sheetData>
  <mergeCells count="19">
    <mergeCell ref="B14:D14"/>
    <mergeCell ref="B15:D15"/>
    <mergeCell ref="A16:H16"/>
    <mergeCell ref="B8:D8"/>
    <mergeCell ref="B9:D9"/>
    <mergeCell ref="B10:D10"/>
    <mergeCell ref="B11:D11"/>
    <mergeCell ref="B12:D12"/>
    <mergeCell ref="B13:D13"/>
    <mergeCell ref="A1:B1"/>
    <mergeCell ref="A2:B2"/>
    <mergeCell ref="C1:J1"/>
    <mergeCell ref="C2:J2"/>
    <mergeCell ref="B7:D7"/>
    <mergeCell ref="A3:B3"/>
    <mergeCell ref="E3:J3"/>
    <mergeCell ref="B4:D4"/>
    <mergeCell ref="B5:D5"/>
    <mergeCell ref="B6:D6"/>
  </mergeCells>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4CC18-CB8E-4CB6-A813-4104951A54AE}">
  <sheetPr>
    <tabColor rgb="FF00FFFF"/>
  </sheetPr>
  <dimension ref="A1:J19"/>
  <sheetViews>
    <sheetView workbookViewId="0">
      <pane xSplit="4" ySplit="4" topLeftCell="E5" activePane="bottomRight" state="frozen"/>
      <selection pane="bottomRight" activeCell="B8" sqref="A1:J19"/>
      <selection pane="bottomLeft" activeCell="C1" sqref="C1:I2"/>
      <selection pane="topRight" activeCell="C1" sqref="C1:I2"/>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469</v>
      </c>
      <c r="D2" s="74"/>
      <c r="E2" s="74"/>
      <c r="F2" s="74"/>
      <c r="G2" s="74"/>
      <c r="H2" s="74"/>
      <c r="I2" s="74"/>
      <c r="J2" s="75"/>
    </row>
    <row r="3" spans="1:10" ht="45">
      <c r="A3" s="70" t="s">
        <v>81</v>
      </c>
      <c r="B3" s="70"/>
      <c r="C3" s="18" t="s">
        <v>93</v>
      </c>
      <c r="D3" s="55" t="s">
        <v>121</v>
      </c>
      <c r="E3" s="122" t="s">
        <v>361</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28.5" customHeight="1">
      <c r="A5" s="52">
        <v>1</v>
      </c>
      <c r="B5" s="122" t="s">
        <v>272</v>
      </c>
      <c r="C5" s="122"/>
      <c r="D5" s="122"/>
      <c r="E5" s="123"/>
      <c r="F5" s="123" t="s">
        <v>63</v>
      </c>
      <c r="G5" s="55"/>
      <c r="H5" s="123">
        <v>10</v>
      </c>
      <c r="I5" s="124">
        <f>IF(H5="","",((H5*10)/SUM($H$5:$H$18)))</f>
        <v>1.0416666666666667</v>
      </c>
      <c r="J5" s="125">
        <f>IF(F5="X",((H5*10)/SUM($H$5:$H$18)),0)</f>
        <v>1.0416666666666667</v>
      </c>
    </row>
    <row r="6" spans="1:10" ht="28.5" customHeight="1">
      <c r="A6" s="52">
        <v>2</v>
      </c>
      <c r="B6" s="122" t="s">
        <v>362</v>
      </c>
      <c r="C6" s="122"/>
      <c r="D6" s="122"/>
      <c r="E6" s="123" t="s">
        <v>63</v>
      </c>
      <c r="F6" s="123"/>
      <c r="G6" s="55"/>
      <c r="H6" s="123">
        <v>6</v>
      </c>
      <c r="I6" s="124">
        <f t="shared" ref="I6:I18" si="0">IF(H6="","",((H6*10)/SUM($H$5:$H$18)))</f>
        <v>0.625</v>
      </c>
      <c r="J6" s="125">
        <f t="shared" ref="J6:J18" si="1">IF(F6="X",((H6*10)/SUM($H$5:$H$18)),0)</f>
        <v>0</v>
      </c>
    </row>
    <row r="7" spans="1:10" ht="28.5" customHeight="1">
      <c r="A7" s="57">
        <v>3</v>
      </c>
      <c r="B7" s="122" t="s">
        <v>363</v>
      </c>
      <c r="C7" s="122"/>
      <c r="D7" s="122"/>
      <c r="E7" s="27"/>
      <c r="F7" s="27" t="s">
        <v>63</v>
      </c>
      <c r="G7" s="33"/>
      <c r="H7" s="27">
        <v>6</v>
      </c>
      <c r="I7" s="124">
        <f t="shared" si="0"/>
        <v>0.625</v>
      </c>
      <c r="J7" s="125">
        <f t="shared" si="1"/>
        <v>0.625</v>
      </c>
    </row>
    <row r="8" spans="1:10" ht="42.75" customHeight="1">
      <c r="A8" s="52">
        <v>4</v>
      </c>
      <c r="B8" s="122" t="s">
        <v>364</v>
      </c>
      <c r="C8" s="122"/>
      <c r="D8" s="122"/>
      <c r="E8" s="123"/>
      <c r="F8" s="123" t="s">
        <v>63</v>
      </c>
      <c r="G8" s="55"/>
      <c r="H8" s="123">
        <v>10</v>
      </c>
      <c r="I8" s="124">
        <f t="shared" si="0"/>
        <v>1.0416666666666667</v>
      </c>
      <c r="J8" s="125">
        <f t="shared" si="1"/>
        <v>1.0416666666666667</v>
      </c>
    </row>
    <row r="9" spans="1:10" ht="28.5" customHeight="1">
      <c r="A9" s="52">
        <v>5</v>
      </c>
      <c r="B9" s="122" t="s">
        <v>365</v>
      </c>
      <c r="C9" s="122"/>
      <c r="D9" s="122"/>
      <c r="E9" s="123"/>
      <c r="F9" s="123" t="s">
        <v>63</v>
      </c>
      <c r="G9" s="55"/>
      <c r="H9" s="123">
        <v>10</v>
      </c>
      <c r="I9" s="124">
        <f t="shared" si="0"/>
        <v>1.0416666666666667</v>
      </c>
      <c r="J9" s="125">
        <f t="shared" si="1"/>
        <v>1.0416666666666667</v>
      </c>
    </row>
    <row r="10" spans="1:10" ht="42.75" customHeight="1">
      <c r="A10" s="52">
        <v>6</v>
      </c>
      <c r="B10" s="122" t="s">
        <v>366</v>
      </c>
      <c r="C10" s="122"/>
      <c r="D10" s="122"/>
      <c r="E10" s="123" t="s">
        <v>63</v>
      </c>
      <c r="F10" s="123"/>
      <c r="G10" s="55"/>
      <c r="H10" s="123">
        <v>6</v>
      </c>
      <c r="I10" s="124">
        <f t="shared" si="0"/>
        <v>0.625</v>
      </c>
      <c r="J10" s="125">
        <f t="shared" si="1"/>
        <v>0</v>
      </c>
    </row>
    <row r="11" spans="1:10" ht="28.5" customHeight="1">
      <c r="A11" s="52">
        <v>7</v>
      </c>
      <c r="B11" s="122" t="s">
        <v>367</v>
      </c>
      <c r="C11" s="122"/>
      <c r="D11" s="122"/>
      <c r="E11" s="123"/>
      <c r="F11" s="123" t="s">
        <v>63</v>
      </c>
      <c r="G11" s="55"/>
      <c r="H11" s="123">
        <v>10</v>
      </c>
      <c r="I11" s="124">
        <f t="shared" si="0"/>
        <v>1.0416666666666667</v>
      </c>
      <c r="J11" s="125">
        <f t="shared" si="1"/>
        <v>1.0416666666666667</v>
      </c>
    </row>
    <row r="12" spans="1:10" ht="28.5" customHeight="1">
      <c r="A12" s="52">
        <v>8</v>
      </c>
      <c r="B12" s="122" t="s">
        <v>368</v>
      </c>
      <c r="C12" s="122"/>
      <c r="D12" s="122"/>
      <c r="E12" s="123"/>
      <c r="F12" s="123" t="s">
        <v>63</v>
      </c>
      <c r="G12" s="55"/>
      <c r="H12" s="123">
        <v>6</v>
      </c>
      <c r="I12" s="124">
        <f t="shared" si="0"/>
        <v>0.625</v>
      </c>
      <c r="J12" s="125">
        <f t="shared" si="1"/>
        <v>0.625</v>
      </c>
    </row>
    <row r="13" spans="1:10" ht="28.5" customHeight="1">
      <c r="A13" s="52">
        <v>9</v>
      </c>
      <c r="B13" s="122" t="s">
        <v>369</v>
      </c>
      <c r="C13" s="122"/>
      <c r="D13" s="122"/>
      <c r="E13" s="123" t="s">
        <v>63</v>
      </c>
      <c r="F13" s="123"/>
      <c r="G13" s="55"/>
      <c r="H13" s="123">
        <v>6</v>
      </c>
      <c r="I13" s="124">
        <f t="shared" si="0"/>
        <v>0.625</v>
      </c>
      <c r="J13" s="125">
        <f t="shared" si="1"/>
        <v>0</v>
      </c>
    </row>
    <row r="14" spans="1:10" ht="42.75" customHeight="1">
      <c r="A14" s="52">
        <v>10</v>
      </c>
      <c r="B14" s="122" t="s">
        <v>191</v>
      </c>
      <c r="C14" s="122"/>
      <c r="D14" s="122"/>
      <c r="E14" s="123" t="s">
        <v>63</v>
      </c>
      <c r="F14" s="123"/>
      <c r="G14" s="55"/>
      <c r="H14" s="123">
        <v>6</v>
      </c>
      <c r="I14" s="124">
        <f t="shared" si="0"/>
        <v>0.625</v>
      </c>
      <c r="J14" s="125">
        <f t="shared" si="1"/>
        <v>0</v>
      </c>
    </row>
    <row r="15" spans="1:10" ht="57" customHeight="1">
      <c r="A15" s="52">
        <v>11</v>
      </c>
      <c r="B15" s="122" t="s">
        <v>370</v>
      </c>
      <c r="C15" s="122"/>
      <c r="D15" s="122"/>
      <c r="E15" s="123"/>
      <c r="F15" s="123" t="s">
        <v>63</v>
      </c>
      <c r="G15" s="55"/>
      <c r="H15" s="123">
        <v>6</v>
      </c>
      <c r="I15" s="124">
        <f t="shared" si="0"/>
        <v>0.625</v>
      </c>
      <c r="J15" s="125">
        <f t="shared" si="1"/>
        <v>0.625</v>
      </c>
    </row>
    <row r="16" spans="1:10" ht="57" customHeight="1">
      <c r="A16" s="52">
        <v>12</v>
      </c>
      <c r="B16" s="122" t="s">
        <v>371</v>
      </c>
      <c r="C16" s="122"/>
      <c r="D16" s="122"/>
      <c r="E16" s="123" t="s">
        <v>63</v>
      </c>
      <c r="F16" s="123"/>
      <c r="G16" s="55"/>
      <c r="H16" s="123">
        <v>6</v>
      </c>
      <c r="I16" s="124">
        <f t="shared" si="0"/>
        <v>0.625</v>
      </c>
      <c r="J16" s="125">
        <f t="shared" si="1"/>
        <v>0</v>
      </c>
    </row>
    <row r="17" spans="1:10" ht="28.5" customHeight="1">
      <c r="A17" s="52">
        <v>13</v>
      </c>
      <c r="B17" s="122" t="s">
        <v>372</v>
      </c>
      <c r="C17" s="122"/>
      <c r="D17" s="122"/>
      <c r="E17" s="123"/>
      <c r="F17" s="123" t="s">
        <v>63</v>
      </c>
      <c r="G17" s="55"/>
      <c r="H17" s="123">
        <v>2</v>
      </c>
      <c r="I17" s="124">
        <f t="shared" si="0"/>
        <v>0.20833333333333334</v>
      </c>
      <c r="J17" s="125">
        <f t="shared" si="1"/>
        <v>0.20833333333333334</v>
      </c>
    </row>
    <row r="18" spans="1:10" ht="28.5" customHeight="1">
      <c r="A18" s="52">
        <v>14</v>
      </c>
      <c r="B18" s="122" t="s">
        <v>373</v>
      </c>
      <c r="C18" s="122"/>
      <c r="D18" s="122"/>
      <c r="E18" s="123"/>
      <c r="F18" s="123" t="s">
        <v>63</v>
      </c>
      <c r="G18" s="55"/>
      <c r="H18" s="123">
        <v>6</v>
      </c>
      <c r="I18" s="124">
        <f t="shared" si="0"/>
        <v>0.625</v>
      </c>
      <c r="J18" s="125">
        <f t="shared" si="1"/>
        <v>0.625</v>
      </c>
    </row>
    <row r="19" spans="1:10">
      <c r="A19" s="112" t="s">
        <v>71</v>
      </c>
      <c r="B19" s="112"/>
      <c r="C19" s="112"/>
      <c r="D19" s="112"/>
      <c r="E19" s="112"/>
      <c r="F19" s="112"/>
      <c r="G19" s="112"/>
      <c r="H19" s="112"/>
      <c r="I19" s="37">
        <f>SUM(I5:I18)</f>
        <v>10.000000000000002</v>
      </c>
      <c r="J19" s="36">
        <f>SUM(J5:J18)</f>
        <v>6.875</v>
      </c>
    </row>
  </sheetData>
  <mergeCells count="22">
    <mergeCell ref="A19:H19"/>
    <mergeCell ref="B8:D8"/>
    <mergeCell ref="B9:D9"/>
    <mergeCell ref="B10:D10"/>
    <mergeCell ref="B11:D11"/>
    <mergeCell ref="B12:D12"/>
    <mergeCell ref="B13:D13"/>
    <mergeCell ref="B14:D14"/>
    <mergeCell ref="B15:D15"/>
    <mergeCell ref="B16:D16"/>
    <mergeCell ref="B17:D17"/>
    <mergeCell ref="B18:D18"/>
    <mergeCell ref="A1:B1"/>
    <mergeCell ref="A2:B2"/>
    <mergeCell ref="C1:J1"/>
    <mergeCell ref="C2:J2"/>
    <mergeCell ref="B7:D7"/>
    <mergeCell ref="A3:B3"/>
    <mergeCell ref="E3:J3"/>
    <mergeCell ref="B4:D4"/>
    <mergeCell ref="B5:D5"/>
    <mergeCell ref="B6:D6"/>
  </mergeCells>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272E9-9285-4CF4-91BF-B1CEE88BA6C9}">
  <sheetPr>
    <tabColor rgb="FF00FFFF"/>
  </sheetPr>
  <dimension ref="A1:J14"/>
  <sheetViews>
    <sheetView workbookViewId="0">
      <pane xSplit="4" ySplit="4" topLeftCell="E5" activePane="bottomRight" state="frozen"/>
      <selection pane="bottomRight" activeCell="B7" sqref="A1:J14"/>
      <selection pane="bottomLeft" activeCell="C1" sqref="C1:I2"/>
      <selection pane="topRight" activeCell="C1" sqref="C1:I2"/>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469</v>
      </c>
      <c r="D2" s="74"/>
      <c r="E2" s="74"/>
      <c r="F2" s="74"/>
      <c r="G2" s="74"/>
      <c r="H2" s="74"/>
      <c r="I2" s="74"/>
      <c r="J2" s="75"/>
    </row>
    <row r="3" spans="1:10" ht="45">
      <c r="A3" s="70" t="s">
        <v>81</v>
      </c>
      <c r="B3" s="70"/>
      <c r="C3" s="18" t="s">
        <v>93</v>
      </c>
      <c r="D3" s="55" t="s">
        <v>136</v>
      </c>
      <c r="E3" s="122" t="s">
        <v>374</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28.5" customHeight="1">
      <c r="A5" s="52">
        <v>1</v>
      </c>
      <c r="B5" s="122" t="s">
        <v>272</v>
      </c>
      <c r="C5" s="122"/>
      <c r="D5" s="122"/>
      <c r="E5" s="123"/>
      <c r="F5" s="123" t="s">
        <v>63</v>
      </c>
      <c r="G5" s="55"/>
      <c r="H5" s="123">
        <v>10</v>
      </c>
      <c r="I5" s="124">
        <f>IF(H5="","",((H5*10)/SUM($H$5:$H$13)))</f>
        <v>1.6129032258064515</v>
      </c>
      <c r="J5" s="125">
        <f>IF(F5="X",((H5*10)/SUM($H$5:$H$13)),0)</f>
        <v>1.6129032258064515</v>
      </c>
    </row>
    <row r="6" spans="1:10" ht="42.75" customHeight="1">
      <c r="A6" s="52">
        <v>2</v>
      </c>
      <c r="B6" s="122" t="s">
        <v>375</v>
      </c>
      <c r="C6" s="122"/>
      <c r="D6" s="122"/>
      <c r="E6" s="123"/>
      <c r="F6" s="123" t="s">
        <v>63</v>
      </c>
      <c r="G6" s="55"/>
      <c r="H6" s="123">
        <v>6</v>
      </c>
      <c r="I6" s="124">
        <f t="shared" ref="I6:I13" si="0">IF(H6="","",((H6*10)/SUM($H$5:$H$13)))</f>
        <v>0.967741935483871</v>
      </c>
      <c r="J6" s="125">
        <f t="shared" ref="J6:J13" si="1">IF(F6="X",((H6*10)/SUM($H$5:$H$13)),0)</f>
        <v>0.967741935483871</v>
      </c>
    </row>
    <row r="7" spans="1:10" ht="57" customHeight="1">
      <c r="A7" s="52">
        <v>3</v>
      </c>
      <c r="B7" s="122" t="s">
        <v>376</v>
      </c>
      <c r="C7" s="122"/>
      <c r="D7" s="122"/>
      <c r="E7" s="123"/>
      <c r="F7" s="123" t="s">
        <v>63</v>
      </c>
      <c r="G7" s="55"/>
      <c r="H7" s="123">
        <v>6</v>
      </c>
      <c r="I7" s="124">
        <f t="shared" si="0"/>
        <v>0.967741935483871</v>
      </c>
      <c r="J7" s="125">
        <f t="shared" si="1"/>
        <v>0.967741935483871</v>
      </c>
    </row>
    <row r="8" spans="1:10" ht="57" customHeight="1">
      <c r="A8" s="52">
        <v>4</v>
      </c>
      <c r="B8" s="122" t="s">
        <v>377</v>
      </c>
      <c r="C8" s="122"/>
      <c r="D8" s="122"/>
      <c r="E8" s="123"/>
      <c r="F8" s="123" t="s">
        <v>63</v>
      </c>
      <c r="G8" s="55"/>
      <c r="H8" s="123">
        <v>10</v>
      </c>
      <c r="I8" s="124">
        <f t="shared" si="0"/>
        <v>1.6129032258064515</v>
      </c>
      <c r="J8" s="125">
        <f t="shared" si="1"/>
        <v>1.6129032258064515</v>
      </c>
    </row>
    <row r="9" spans="1:10" ht="42.75" customHeight="1">
      <c r="A9" s="52">
        <v>5</v>
      </c>
      <c r="B9" s="122" t="s">
        <v>378</v>
      </c>
      <c r="C9" s="122"/>
      <c r="D9" s="122"/>
      <c r="E9" s="123"/>
      <c r="F9" s="123" t="s">
        <v>63</v>
      </c>
      <c r="G9" s="55"/>
      <c r="H9" s="123">
        <v>10</v>
      </c>
      <c r="I9" s="124">
        <f t="shared" si="0"/>
        <v>1.6129032258064515</v>
      </c>
      <c r="J9" s="125">
        <f t="shared" si="1"/>
        <v>1.6129032258064515</v>
      </c>
    </row>
    <row r="10" spans="1:10" ht="28.5" customHeight="1">
      <c r="A10" s="52">
        <v>6</v>
      </c>
      <c r="B10" s="122" t="s">
        <v>379</v>
      </c>
      <c r="C10" s="122"/>
      <c r="D10" s="122"/>
      <c r="E10" s="123" t="s">
        <v>63</v>
      </c>
      <c r="F10" s="123"/>
      <c r="G10" s="55"/>
      <c r="H10" s="123">
        <v>10</v>
      </c>
      <c r="I10" s="124">
        <f t="shared" si="0"/>
        <v>1.6129032258064515</v>
      </c>
      <c r="J10" s="125">
        <f t="shared" si="1"/>
        <v>0</v>
      </c>
    </row>
    <row r="11" spans="1:10" ht="28.5" customHeight="1">
      <c r="A11" s="52">
        <v>7</v>
      </c>
      <c r="B11" s="122" t="s">
        <v>380</v>
      </c>
      <c r="C11" s="122"/>
      <c r="D11" s="122"/>
      <c r="E11" s="123"/>
      <c r="F11" s="123" t="s">
        <v>63</v>
      </c>
      <c r="G11" s="55"/>
      <c r="H11" s="123">
        <v>6</v>
      </c>
      <c r="I11" s="124">
        <f t="shared" si="0"/>
        <v>0.967741935483871</v>
      </c>
      <c r="J11" s="125">
        <f t="shared" si="1"/>
        <v>0.967741935483871</v>
      </c>
    </row>
    <row r="12" spans="1:10" ht="28.5" customHeight="1">
      <c r="A12" s="52">
        <v>8</v>
      </c>
      <c r="B12" s="122" t="s">
        <v>381</v>
      </c>
      <c r="C12" s="122"/>
      <c r="D12" s="122"/>
      <c r="E12" s="123" t="s">
        <v>63</v>
      </c>
      <c r="F12" s="123"/>
      <c r="G12" s="55"/>
      <c r="H12" s="123">
        <v>2</v>
      </c>
      <c r="I12" s="124">
        <f t="shared" si="0"/>
        <v>0.32258064516129031</v>
      </c>
      <c r="J12" s="125">
        <f t="shared" si="1"/>
        <v>0</v>
      </c>
    </row>
    <row r="13" spans="1:10" ht="28.5" customHeight="1">
      <c r="A13" s="52">
        <v>9</v>
      </c>
      <c r="B13" s="122" t="s">
        <v>382</v>
      </c>
      <c r="C13" s="122"/>
      <c r="D13" s="122"/>
      <c r="E13" s="123" t="s">
        <v>63</v>
      </c>
      <c r="F13" s="123"/>
      <c r="G13" s="55"/>
      <c r="H13" s="123">
        <v>2</v>
      </c>
      <c r="I13" s="124">
        <f t="shared" si="0"/>
        <v>0.32258064516129031</v>
      </c>
      <c r="J13" s="125">
        <f t="shared" si="1"/>
        <v>0</v>
      </c>
    </row>
    <row r="14" spans="1:10">
      <c r="A14" s="112" t="s">
        <v>71</v>
      </c>
      <c r="B14" s="112"/>
      <c r="C14" s="112"/>
      <c r="D14" s="112"/>
      <c r="E14" s="112"/>
      <c r="F14" s="112"/>
      <c r="G14" s="112"/>
      <c r="H14" s="112"/>
      <c r="I14" s="37">
        <f>SUM(I5:I13)</f>
        <v>10</v>
      </c>
      <c r="J14" s="36">
        <f>SUM(J5:J13)</f>
        <v>7.7419354838709671</v>
      </c>
    </row>
  </sheetData>
  <mergeCells count="17">
    <mergeCell ref="A14:H14"/>
    <mergeCell ref="B8:D8"/>
    <mergeCell ref="B9:D9"/>
    <mergeCell ref="B10:D10"/>
    <mergeCell ref="B11:D11"/>
    <mergeCell ref="B12:D12"/>
    <mergeCell ref="B13:D13"/>
    <mergeCell ref="A1:B1"/>
    <mergeCell ref="A2:B2"/>
    <mergeCell ref="C1:J1"/>
    <mergeCell ref="C2:J2"/>
    <mergeCell ref="B7:D7"/>
    <mergeCell ref="A3:B3"/>
    <mergeCell ref="E3:J3"/>
    <mergeCell ref="B4:D4"/>
    <mergeCell ref="B5:D5"/>
    <mergeCell ref="B6:D6"/>
  </mergeCells>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B56B4-71DC-44F3-A1F4-38137869E9F4}">
  <sheetPr>
    <tabColor rgb="FF00FFFF"/>
  </sheetPr>
  <dimension ref="A1:J17"/>
  <sheetViews>
    <sheetView workbookViewId="0">
      <pane xSplit="4" ySplit="4" topLeftCell="E5" activePane="bottomRight" state="frozen"/>
      <selection pane="bottomRight" activeCell="B9" sqref="A1:J17"/>
      <selection pane="bottomLeft" activeCell="C1" sqref="C1:I2"/>
      <selection pane="topRight" activeCell="C1" sqref="C1:I2"/>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469</v>
      </c>
      <c r="D2" s="74"/>
      <c r="E2" s="74"/>
      <c r="F2" s="74"/>
      <c r="G2" s="74"/>
      <c r="H2" s="74"/>
      <c r="I2" s="74"/>
      <c r="J2" s="75"/>
    </row>
    <row r="3" spans="1:10" ht="45">
      <c r="A3" s="70" t="s">
        <v>81</v>
      </c>
      <c r="B3" s="70"/>
      <c r="C3" s="18" t="s">
        <v>93</v>
      </c>
      <c r="D3" s="55" t="s">
        <v>146</v>
      </c>
      <c r="E3" s="122" t="s">
        <v>383</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28.5" customHeight="1">
      <c r="A5" s="52">
        <v>1</v>
      </c>
      <c r="B5" s="122" t="s">
        <v>272</v>
      </c>
      <c r="C5" s="122"/>
      <c r="D5" s="122"/>
      <c r="E5" s="123"/>
      <c r="F5" s="123" t="s">
        <v>63</v>
      </c>
      <c r="G5" s="55"/>
      <c r="H5" s="123">
        <v>10</v>
      </c>
      <c r="I5" s="124">
        <f>IF(H5="","",((H5*10)/SUM($H$5:$H$16)))</f>
        <v>1.0416666666666667</v>
      </c>
      <c r="J5" s="125">
        <f>IF(F5="X",((H5*10)/SUM($H$5:$H$16)),0)</f>
        <v>1.0416666666666667</v>
      </c>
    </row>
    <row r="6" spans="1:10" ht="28.5" customHeight="1">
      <c r="A6" s="52">
        <v>2</v>
      </c>
      <c r="B6" s="122" t="s">
        <v>384</v>
      </c>
      <c r="C6" s="122"/>
      <c r="D6" s="122"/>
      <c r="E6" s="123"/>
      <c r="F6" s="123" t="s">
        <v>63</v>
      </c>
      <c r="G6" s="55"/>
      <c r="H6" s="123">
        <v>10</v>
      </c>
      <c r="I6" s="124">
        <f t="shared" ref="I6:I16" si="0">IF(H6="","",((H6*10)/SUM($H$5:$H$16)))</f>
        <v>1.0416666666666667</v>
      </c>
      <c r="J6" s="125">
        <f t="shared" ref="J6:J16" si="1">IF(F6="X",((H6*10)/SUM($H$5:$H$16)),0)</f>
        <v>1.0416666666666667</v>
      </c>
    </row>
    <row r="7" spans="1:10" ht="28.5" customHeight="1">
      <c r="A7" s="52">
        <v>3</v>
      </c>
      <c r="B7" s="122" t="s">
        <v>385</v>
      </c>
      <c r="C7" s="122"/>
      <c r="D7" s="122"/>
      <c r="E7" s="123"/>
      <c r="F7" s="123" t="s">
        <v>63</v>
      </c>
      <c r="G7" s="55"/>
      <c r="H7" s="123">
        <v>6</v>
      </c>
      <c r="I7" s="124">
        <f t="shared" si="0"/>
        <v>0.625</v>
      </c>
      <c r="J7" s="125">
        <f t="shared" si="1"/>
        <v>0.625</v>
      </c>
    </row>
    <row r="8" spans="1:10" ht="28.5" customHeight="1">
      <c r="A8" s="52">
        <v>4</v>
      </c>
      <c r="B8" s="122" t="s">
        <v>386</v>
      </c>
      <c r="C8" s="122"/>
      <c r="D8" s="122"/>
      <c r="E8" s="123"/>
      <c r="F8" s="123" t="s">
        <v>63</v>
      </c>
      <c r="G8" s="55"/>
      <c r="H8" s="123">
        <v>6</v>
      </c>
      <c r="I8" s="124">
        <f t="shared" si="0"/>
        <v>0.625</v>
      </c>
      <c r="J8" s="125">
        <f t="shared" si="1"/>
        <v>0.625</v>
      </c>
    </row>
    <row r="9" spans="1:10" ht="28.5" customHeight="1">
      <c r="A9" s="52">
        <v>5</v>
      </c>
      <c r="B9" s="122" t="s">
        <v>387</v>
      </c>
      <c r="C9" s="122"/>
      <c r="D9" s="122"/>
      <c r="E9" s="123"/>
      <c r="F9" s="123" t="s">
        <v>63</v>
      </c>
      <c r="G9" s="55"/>
      <c r="H9" s="123">
        <v>10</v>
      </c>
      <c r="I9" s="124">
        <f t="shared" si="0"/>
        <v>1.0416666666666667</v>
      </c>
      <c r="J9" s="125">
        <f t="shared" si="1"/>
        <v>1.0416666666666667</v>
      </c>
    </row>
    <row r="10" spans="1:10" ht="42.75" customHeight="1">
      <c r="A10" s="52">
        <v>6</v>
      </c>
      <c r="B10" s="122" t="s">
        <v>388</v>
      </c>
      <c r="C10" s="122"/>
      <c r="D10" s="122"/>
      <c r="E10" s="123"/>
      <c r="F10" s="123" t="s">
        <v>63</v>
      </c>
      <c r="G10" s="55"/>
      <c r="H10" s="123">
        <v>10</v>
      </c>
      <c r="I10" s="124">
        <f t="shared" si="0"/>
        <v>1.0416666666666667</v>
      </c>
      <c r="J10" s="125">
        <f t="shared" si="1"/>
        <v>1.0416666666666667</v>
      </c>
    </row>
    <row r="11" spans="1:10" ht="57" customHeight="1">
      <c r="A11" s="52">
        <v>7</v>
      </c>
      <c r="B11" s="122" t="s">
        <v>389</v>
      </c>
      <c r="C11" s="122"/>
      <c r="D11" s="122"/>
      <c r="E11" s="123" t="s">
        <v>63</v>
      </c>
      <c r="F11" s="123"/>
      <c r="G11" s="55"/>
      <c r="H11" s="123">
        <v>10</v>
      </c>
      <c r="I11" s="124">
        <f t="shared" si="0"/>
        <v>1.0416666666666667</v>
      </c>
      <c r="J11" s="125">
        <f t="shared" si="1"/>
        <v>0</v>
      </c>
    </row>
    <row r="12" spans="1:10" ht="28.5" customHeight="1">
      <c r="A12" s="52">
        <v>8</v>
      </c>
      <c r="B12" s="122" t="s">
        <v>390</v>
      </c>
      <c r="C12" s="122"/>
      <c r="D12" s="122"/>
      <c r="E12" s="123" t="s">
        <v>63</v>
      </c>
      <c r="F12" s="123"/>
      <c r="G12" s="55"/>
      <c r="H12" s="123">
        <v>6</v>
      </c>
      <c r="I12" s="124">
        <f t="shared" si="0"/>
        <v>0.625</v>
      </c>
      <c r="J12" s="125">
        <f t="shared" si="1"/>
        <v>0</v>
      </c>
    </row>
    <row r="13" spans="1:10" ht="28.5" customHeight="1">
      <c r="A13" s="52">
        <v>9</v>
      </c>
      <c r="B13" s="122" t="s">
        <v>391</v>
      </c>
      <c r="C13" s="122"/>
      <c r="D13" s="122"/>
      <c r="E13" s="123" t="s">
        <v>63</v>
      </c>
      <c r="F13" s="123"/>
      <c r="G13" s="55"/>
      <c r="H13" s="123">
        <v>6</v>
      </c>
      <c r="I13" s="124">
        <f t="shared" si="0"/>
        <v>0.625</v>
      </c>
      <c r="J13" s="125">
        <f t="shared" si="1"/>
        <v>0</v>
      </c>
    </row>
    <row r="14" spans="1:10" ht="42.75" customHeight="1">
      <c r="A14" s="52">
        <v>10</v>
      </c>
      <c r="B14" s="122" t="s">
        <v>392</v>
      </c>
      <c r="C14" s="122"/>
      <c r="D14" s="122"/>
      <c r="E14" s="123"/>
      <c r="F14" s="123" t="s">
        <v>63</v>
      </c>
      <c r="G14" s="55"/>
      <c r="H14" s="123">
        <v>10</v>
      </c>
      <c r="I14" s="124">
        <f t="shared" si="0"/>
        <v>1.0416666666666667</v>
      </c>
      <c r="J14" s="125">
        <f t="shared" si="1"/>
        <v>1.0416666666666667</v>
      </c>
    </row>
    <row r="15" spans="1:10" ht="57" customHeight="1">
      <c r="A15" s="52">
        <v>11</v>
      </c>
      <c r="B15" s="122" t="s">
        <v>393</v>
      </c>
      <c r="C15" s="122"/>
      <c r="D15" s="122"/>
      <c r="E15" s="123"/>
      <c r="F15" s="123" t="s">
        <v>63</v>
      </c>
      <c r="G15" s="55"/>
      <c r="H15" s="123">
        <v>6</v>
      </c>
      <c r="I15" s="124">
        <f t="shared" si="0"/>
        <v>0.625</v>
      </c>
      <c r="J15" s="125">
        <f t="shared" si="1"/>
        <v>0.625</v>
      </c>
    </row>
    <row r="16" spans="1:10" ht="57" customHeight="1">
      <c r="A16" s="52">
        <v>12</v>
      </c>
      <c r="B16" s="122" t="s">
        <v>394</v>
      </c>
      <c r="C16" s="122"/>
      <c r="D16" s="122"/>
      <c r="E16" s="123"/>
      <c r="F16" s="123" t="s">
        <v>63</v>
      </c>
      <c r="G16" s="55"/>
      <c r="H16" s="123">
        <v>6</v>
      </c>
      <c r="I16" s="124">
        <f t="shared" si="0"/>
        <v>0.625</v>
      </c>
      <c r="J16" s="125">
        <f t="shared" si="1"/>
        <v>0.625</v>
      </c>
    </row>
    <row r="17" spans="1:10">
      <c r="A17" s="112" t="s">
        <v>71</v>
      </c>
      <c r="B17" s="112"/>
      <c r="C17" s="112"/>
      <c r="D17" s="112"/>
      <c r="E17" s="112"/>
      <c r="F17" s="112"/>
      <c r="G17" s="112"/>
      <c r="H17" s="112"/>
      <c r="I17" s="37">
        <f>SUM(I5:I16)</f>
        <v>10</v>
      </c>
      <c r="J17" s="36">
        <f>SUM(J5:J16)</f>
        <v>7.7083333333333339</v>
      </c>
    </row>
  </sheetData>
  <mergeCells count="20">
    <mergeCell ref="B14:D14"/>
    <mergeCell ref="B15:D15"/>
    <mergeCell ref="B16:D16"/>
    <mergeCell ref="A17:H17"/>
    <mergeCell ref="B8:D8"/>
    <mergeCell ref="B9:D9"/>
    <mergeCell ref="B10:D10"/>
    <mergeCell ref="B11:D11"/>
    <mergeCell ref="B12:D12"/>
    <mergeCell ref="B13:D13"/>
    <mergeCell ref="A1:B1"/>
    <mergeCell ref="A2:B2"/>
    <mergeCell ref="C1:J1"/>
    <mergeCell ref="C2:J2"/>
    <mergeCell ref="B7:D7"/>
    <mergeCell ref="A3:B3"/>
    <mergeCell ref="E3:J3"/>
    <mergeCell ref="B4:D4"/>
    <mergeCell ref="B5:D5"/>
    <mergeCell ref="B6:D6"/>
  </mergeCells>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E9BE9-1E1B-4E28-A984-3899FD8944D4}">
  <sheetPr>
    <tabColor rgb="FF00FFFF"/>
  </sheetPr>
  <dimension ref="A1:J17"/>
  <sheetViews>
    <sheetView workbookViewId="0">
      <pane xSplit="4" ySplit="4" topLeftCell="E5" activePane="bottomRight" state="frozen"/>
      <selection pane="bottomRight" activeCell="B7" sqref="A1:J17"/>
      <selection pane="bottomLeft" activeCell="C1" sqref="C1:I2"/>
      <selection pane="topRight" activeCell="C1" sqref="C1:I2"/>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469</v>
      </c>
      <c r="D2" s="74"/>
      <c r="E2" s="74"/>
      <c r="F2" s="74"/>
      <c r="G2" s="74"/>
      <c r="H2" s="74"/>
      <c r="I2" s="74"/>
      <c r="J2" s="75"/>
    </row>
    <row r="3" spans="1:10" ht="90">
      <c r="A3" s="70" t="s">
        <v>81</v>
      </c>
      <c r="B3" s="70"/>
      <c r="C3" s="18" t="s">
        <v>93</v>
      </c>
      <c r="D3" s="55" t="s">
        <v>176</v>
      </c>
      <c r="E3" s="122" t="s">
        <v>404</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57" customHeight="1">
      <c r="A5" s="52">
        <v>1</v>
      </c>
      <c r="B5" s="122" t="s">
        <v>405</v>
      </c>
      <c r="C5" s="122"/>
      <c r="D5" s="122"/>
      <c r="E5" s="123" t="s">
        <v>63</v>
      </c>
      <c r="F5" s="123"/>
      <c r="G5" s="55"/>
      <c r="H5" s="123">
        <v>6</v>
      </c>
      <c r="I5" s="124">
        <f>IF(H5="","",((H5*10)/SUM($H$5:$H$16)))</f>
        <v>0.83333333333333337</v>
      </c>
      <c r="J5" s="125">
        <f>IF(F5="X",((H5*10)/SUM($H$5:$H$16)),0)</f>
        <v>0</v>
      </c>
    </row>
    <row r="6" spans="1:10" ht="28.5" customHeight="1">
      <c r="A6" s="52">
        <v>2</v>
      </c>
      <c r="B6" s="122" t="s">
        <v>99</v>
      </c>
      <c r="C6" s="122"/>
      <c r="D6" s="122"/>
      <c r="E6" s="123"/>
      <c r="F6" s="123" t="s">
        <v>63</v>
      </c>
      <c r="G6" s="55"/>
      <c r="H6" s="123">
        <v>2</v>
      </c>
      <c r="I6" s="124">
        <f t="shared" ref="I6:I16" si="0">IF(H6="","",((H6*10)/SUM($H$5:$H$16)))</f>
        <v>0.27777777777777779</v>
      </c>
      <c r="J6" s="125">
        <f t="shared" ref="J6:J16" si="1">IF(F6="X",((H6*10)/SUM($H$5:$H$16)),0)</f>
        <v>0.27777777777777779</v>
      </c>
    </row>
    <row r="7" spans="1:10" ht="28.5" customHeight="1">
      <c r="A7" s="52">
        <v>3</v>
      </c>
      <c r="B7" s="122" t="s">
        <v>406</v>
      </c>
      <c r="C7" s="122"/>
      <c r="D7" s="122"/>
      <c r="E7" s="123" t="s">
        <v>63</v>
      </c>
      <c r="F7" s="123"/>
      <c r="G7" s="55"/>
      <c r="H7" s="123">
        <v>10</v>
      </c>
      <c r="I7" s="124">
        <f t="shared" si="0"/>
        <v>1.3888888888888888</v>
      </c>
      <c r="J7" s="125">
        <f t="shared" si="1"/>
        <v>0</v>
      </c>
    </row>
    <row r="8" spans="1:10" ht="42.75" customHeight="1">
      <c r="A8" s="52">
        <v>4</v>
      </c>
      <c r="B8" s="122" t="s">
        <v>407</v>
      </c>
      <c r="C8" s="122"/>
      <c r="D8" s="122"/>
      <c r="E8" s="123" t="s">
        <v>63</v>
      </c>
      <c r="F8" s="123"/>
      <c r="G8" s="55"/>
      <c r="H8" s="123">
        <v>6</v>
      </c>
      <c r="I8" s="124">
        <f t="shared" si="0"/>
        <v>0.83333333333333337</v>
      </c>
      <c r="J8" s="125">
        <f t="shared" si="1"/>
        <v>0</v>
      </c>
    </row>
    <row r="9" spans="1:10" ht="28.5" customHeight="1">
      <c r="A9" s="52">
        <v>5</v>
      </c>
      <c r="B9" s="122" t="s">
        <v>408</v>
      </c>
      <c r="C9" s="122"/>
      <c r="D9" s="122"/>
      <c r="E9" s="123"/>
      <c r="F9" s="123" t="s">
        <v>63</v>
      </c>
      <c r="G9" s="55"/>
      <c r="H9" s="123">
        <v>10</v>
      </c>
      <c r="I9" s="124">
        <f t="shared" si="0"/>
        <v>1.3888888888888888</v>
      </c>
      <c r="J9" s="125">
        <f t="shared" si="1"/>
        <v>1.3888888888888888</v>
      </c>
    </row>
    <row r="10" spans="1:10" ht="28.5" customHeight="1">
      <c r="A10" s="52">
        <v>6</v>
      </c>
      <c r="B10" s="122" t="s">
        <v>409</v>
      </c>
      <c r="C10" s="122"/>
      <c r="D10" s="122"/>
      <c r="E10" s="123"/>
      <c r="F10" s="123" t="s">
        <v>63</v>
      </c>
      <c r="G10" s="55"/>
      <c r="H10" s="123">
        <v>10</v>
      </c>
      <c r="I10" s="124">
        <f t="shared" si="0"/>
        <v>1.3888888888888888</v>
      </c>
      <c r="J10" s="125">
        <f t="shared" si="1"/>
        <v>1.3888888888888888</v>
      </c>
    </row>
    <row r="11" spans="1:10" ht="28.5" customHeight="1">
      <c r="A11" s="52">
        <v>7</v>
      </c>
      <c r="B11" s="122" t="s">
        <v>410</v>
      </c>
      <c r="C11" s="122"/>
      <c r="D11" s="122"/>
      <c r="E11" s="123"/>
      <c r="F11" s="123" t="s">
        <v>63</v>
      </c>
      <c r="G11" s="55"/>
      <c r="H11" s="123">
        <v>2</v>
      </c>
      <c r="I11" s="124">
        <f t="shared" si="0"/>
        <v>0.27777777777777779</v>
      </c>
      <c r="J11" s="125">
        <f t="shared" si="1"/>
        <v>0.27777777777777779</v>
      </c>
    </row>
    <row r="12" spans="1:10" ht="28.5" customHeight="1">
      <c r="A12" s="52">
        <v>8</v>
      </c>
      <c r="B12" s="122" t="s">
        <v>182</v>
      </c>
      <c r="C12" s="122"/>
      <c r="D12" s="122"/>
      <c r="E12" s="123"/>
      <c r="F12" s="123" t="s">
        <v>63</v>
      </c>
      <c r="G12" s="55"/>
      <c r="H12" s="123">
        <v>10</v>
      </c>
      <c r="I12" s="124">
        <f t="shared" si="0"/>
        <v>1.3888888888888888</v>
      </c>
      <c r="J12" s="125">
        <f t="shared" si="1"/>
        <v>1.3888888888888888</v>
      </c>
    </row>
    <row r="13" spans="1:10" ht="28.5" customHeight="1">
      <c r="A13" s="52">
        <v>9</v>
      </c>
      <c r="B13" s="122" t="s">
        <v>411</v>
      </c>
      <c r="C13" s="122"/>
      <c r="D13" s="122"/>
      <c r="E13" s="123"/>
      <c r="F13" s="123" t="s">
        <v>63</v>
      </c>
      <c r="G13" s="55"/>
      <c r="H13" s="123">
        <v>2</v>
      </c>
      <c r="I13" s="124">
        <f t="shared" si="0"/>
        <v>0.27777777777777779</v>
      </c>
      <c r="J13" s="125">
        <f t="shared" si="1"/>
        <v>0.27777777777777779</v>
      </c>
    </row>
    <row r="14" spans="1:10" ht="28.5" customHeight="1">
      <c r="A14" s="52">
        <v>10</v>
      </c>
      <c r="B14" s="122" t="s">
        <v>412</v>
      </c>
      <c r="C14" s="122"/>
      <c r="D14" s="122"/>
      <c r="E14" s="123" t="s">
        <v>63</v>
      </c>
      <c r="F14" s="123"/>
      <c r="G14" s="55"/>
      <c r="H14" s="123">
        <v>6</v>
      </c>
      <c r="I14" s="124">
        <f t="shared" si="0"/>
        <v>0.83333333333333337</v>
      </c>
      <c r="J14" s="125">
        <f t="shared" si="1"/>
        <v>0</v>
      </c>
    </row>
    <row r="15" spans="1:10" ht="42.75" customHeight="1">
      <c r="A15" s="52">
        <v>11</v>
      </c>
      <c r="B15" s="122" t="s">
        <v>413</v>
      </c>
      <c r="C15" s="122"/>
      <c r="D15" s="122"/>
      <c r="E15" s="123" t="s">
        <v>63</v>
      </c>
      <c r="F15" s="123"/>
      <c r="G15" s="55"/>
      <c r="H15" s="123">
        <v>6</v>
      </c>
      <c r="I15" s="124">
        <f t="shared" si="0"/>
        <v>0.83333333333333337</v>
      </c>
      <c r="J15" s="125">
        <f t="shared" si="1"/>
        <v>0</v>
      </c>
    </row>
    <row r="16" spans="1:10" ht="42.75" customHeight="1">
      <c r="A16" s="52">
        <v>12</v>
      </c>
      <c r="B16" s="122" t="s">
        <v>414</v>
      </c>
      <c r="C16" s="122"/>
      <c r="D16" s="122"/>
      <c r="E16" s="123"/>
      <c r="F16" s="123" t="s">
        <v>63</v>
      </c>
      <c r="G16" s="55"/>
      <c r="H16" s="123">
        <v>2</v>
      </c>
      <c r="I16" s="124">
        <f t="shared" si="0"/>
        <v>0.27777777777777779</v>
      </c>
      <c r="J16" s="125">
        <f t="shared" si="1"/>
        <v>0.27777777777777779</v>
      </c>
    </row>
    <row r="17" spans="1:10">
      <c r="A17" s="112" t="s">
        <v>71</v>
      </c>
      <c r="B17" s="112"/>
      <c r="C17" s="112"/>
      <c r="D17" s="112"/>
      <c r="E17" s="112"/>
      <c r="F17" s="112"/>
      <c r="G17" s="112"/>
      <c r="H17" s="112"/>
      <c r="I17" s="37">
        <f>SUM(I5:I16)</f>
        <v>10.000000000000002</v>
      </c>
      <c r="J17" s="36">
        <f>SUM(J5:J16)</f>
        <v>5.2777777777777768</v>
      </c>
    </row>
  </sheetData>
  <mergeCells count="20">
    <mergeCell ref="B14:D14"/>
    <mergeCell ref="B15:D15"/>
    <mergeCell ref="B16:D16"/>
    <mergeCell ref="A17:H17"/>
    <mergeCell ref="B8:D8"/>
    <mergeCell ref="B9:D9"/>
    <mergeCell ref="B10:D10"/>
    <mergeCell ref="B11:D11"/>
    <mergeCell ref="B12:D12"/>
    <mergeCell ref="B13:D13"/>
    <mergeCell ref="A1:B1"/>
    <mergeCell ref="A2:B2"/>
    <mergeCell ref="C1:J1"/>
    <mergeCell ref="C2:J2"/>
    <mergeCell ref="B7:D7"/>
    <mergeCell ref="A3:B3"/>
    <mergeCell ref="E3:J3"/>
    <mergeCell ref="B4:D4"/>
    <mergeCell ref="B5:D5"/>
    <mergeCell ref="B6:D6"/>
  </mergeCells>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7A991-D9E5-4049-BBCE-753BE13C0AE1}">
  <sheetPr>
    <tabColor rgb="FF00FFFF"/>
  </sheetPr>
  <dimension ref="A1:J18"/>
  <sheetViews>
    <sheetView workbookViewId="0">
      <pane xSplit="4" ySplit="4" topLeftCell="E5" activePane="bottomRight" state="frozen"/>
      <selection pane="bottomRight" activeCell="B7" sqref="A1:J18"/>
      <selection pane="bottomLeft" activeCell="C1" sqref="C1:I2"/>
      <selection pane="topRight" activeCell="C1" sqref="C1:I2"/>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469</v>
      </c>
      <c r="D2" s="74"/>
      <c r="E2" s="74"/>
      <c r="F2" s="74"/>
      <c r="G2" s="74"/>
      <c r="H2" s="74"/>
      <c r="I2" s="74"/>
      <c r="J2" s="75"/>
    </row>
    <row r="3" spans="1:10" ht="90">
      <c r="A3" s="70" t="s">
        <v>81</v>
      </c>
      <c r="B3" s="70"/>
      <c r="C3" s="18" t="s">
        <v>93</v>
      </c>
      <c r="D3" s="55" t="s">
        <v>188</v>
      </c>
      <c r="E3" s="122" t="s">
        <v>415</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28.5" customHeight="1">
      <c r="A5" s="52">
        <v>1</v>
      </c>
      <c r="B5" s="122" t="s">
        <v>272</v>
      </c>
      <c r="C5" s="122"/>
      <c r="D5" s="122"/>
      <c r="E5" s="123"/>
      <c r="F5" s="123" t="s">
        <v>63</v>
      </c>
      <c r="G5" s="55"/>
      <c r="H5" s="123">
        <v>10</v>
      </c>
      <c r="I5" s="124">
        <f>IF(H5="","",((H5*10)/SUM($H$5:$H$17)))</f>
        <v>1.2195121951219512</v>
      </c>
      <c r="J5" s="125">
        <f>IF(F5="X",((H5*10)/SUM($H$5:$H$17)),0)</f>
        <v>1.2195121951219512</v>
      </c>
    </row>
    <row r="6" spans="1:10" ht="28.5" customHeight="1">
      <c r="A6" s="52">
        <v>2</v>
      </c>
      <c r="B6" s="122" t="s">
        <v>406</v>
      </c>
      <c r="C6" s="122"/>
      <c r="D6" s="122"/>
      <c r="E6" s="123" t="s">
        <v>63</v>
      </c>
      <c r="F6" s="123"/>
      <c r="G6" s="55"/>
      <c r="H6" s="123">
        <v>10</v>
      </c>
      <c r="I6" s="124">
        <f t="shared" ref="I6:I17" si="0">IF(H6="","",((H6*10)/SUM($H$5:$H$17)))</f>
        <v>1.2195121951219512</v>
      </c>
      <c r="J6" s="125">
        <f t="shared" ref="J6:J17" si="1">IF(F6="X",((H6*10)/SUM($H$5:$H$17)),0)</f>
        <v>0</v>
      </c>
    </row>
    <row r="7" spans="1:10" ht="42.75" customHeight="1">
      <c r="A7" s="52">
        <v>3</v>
      </c>
      <c r="B7" s="122" t="s">
        <v>416</v>
      </c>
      <c r="C7" s="122"/>
      <c r="D7" s="122"/>
      <c r="E7" s="123" t="s">
        <v>63</v>
      </c>
      <c r="F7" s="123"/>
      <c r="G7" s="55"/>
      <c r="H7" s="123">
        <v>10</v>
      </c>
      <c r="I7" s="124">
        <f t="shared" si="0"/>
        <v>1.2195121951219512</v>
      </c>
      <c r="J7" s="125">
        <f t="shared" si="1"/>
        <v>0</v>
      </c>
    </row>
    <row r="8" spans="1:10" ht="42.75" customHeight="1">
      <c r="A8" s="52">
        <v>4</v>
      </c>
      <c r="B8" s="122" t="s">
        <v>407</v>
      </c>
      <c r="C8" s="122"/>
      <c r="D8" s="122"/>
      <c r="E8" s="123" t="s">
        <v>63</v>
      </c>
      <c r="F8" s="123"/>
      <c r="G8" s="55"/>
      <c r="H8" s="123">
        <v>6</v>
      </c>
      <c r="I8" s="124">
        <f t="shared" si="0"/>
        <v>0.73170731707317072</v>
      </c>
      <c r="J8" s="125">
        <f t="shared" si="1"/>
        <v>0</v>
      </c>
    </row>
    <row r="9" spans="1:10" ht="28.5" customHeight="1">
      <c r="A9" s="52">
        <v>5</v>
      </c>
      <c r="B9" s="122" t="s">
        <v>417</v>
      </c>
      <c r="C9" s="122"/>
      <c r="D9" s="122"/>
      <c r="E9" s="123"/>
      <c r="F9" s="123" t="s">
        <v>63</v>
      </c>
      <c r="G9" s="55"/>
      <c r="H9" s="123">
        <v>10</v>
      </c>
      <c r="I9" s="124">
        <f t="shared" si="0"/>
        <v>1.2195121951219512</v>
      </c>
      <c r="J9" s="125">
        <f t="shared" si="1"/>
        <v>1.2195121951219512</v>
      </c>
    </row>
    <row r="10" spans="1:10" ht="42.75" customHeight="1">
      <c r="A10" s="52">
        <v>6</v>
      </c>
      <c r="B10" s="122" t="s">
        <v>418</v>
      </c>
      <c r="C10" s="122"/>
      <c r="D10" s="122"/>
      <c r="E10" s="123" t="s">
        <v>63</v>
      </c>
      <c r="F10" s="123"/>
      <c r="G10" s="55"/>
      <c r="H10" s="123">
        <v>2</v>
      </c>
      <c r="I10" s="124">
        <f t="shared" si="0"/>
        <v>0.24390243902439024</v>
      </c>
      <c r="J10" s="125">
        <f t="shared" si="1"/>
        <v>0</v>
      </c>
    </row>
    <row r="11" spans="1:10" ht="28.5" customHeight="1">
      <c r="A11" s="52">
        <v>7</v>
      </c>
      <c r="B11" s="122" t="s">
        <v>419</v>
      </c>
      <c r="C11" s="122"/>
      <c r="D11" s="122"/>
      <c r="E11" s="123" t="s">
        <v>63</v>
      </c>
      <c r="F11" s="123"/>
      <c r="G11" s="55"/>
      <c r="H11" s="123">
        <v>6</v>
      </c>
      <c r="I11" s="124">
        <f t="shared" si="0"/>
        <v>0.73170731707317072</v>
      </c>
      <c r="J11" s="125">
        <f t="shared" si="1"/>
        <v>0</v>
      </c>
    </row>
    <row r="12" spans="1:10" ht="28.5" customHeight="1">
      <c r="A12" s="52">
        <v>8</v>
      </c>
      <c r="B12" s="122" t="s">
        <v>420</v>
      </c>
      <c r="C12" s="122"/>
      <c r="D12" s="122"/>
      <c r="E12" s="123"/>
      <c r="F12" s="123" t="s">
        <v>63</v>
      </c>
      <c r="G12" s="55"/>
      <c r="H12" s="123">
        <v>6</v>
      </c>
      <c r="I12" s="124">
        <f t="shared" si="0"/>
        <v>0.73170731707317072</v>
      </c>
      <c r="J12" s="125">
        <f t="shared" si="1"/>
        <v>0.73170731707317072</v>
      </c>
    </row>
    <row r="13" spans="1:10" ht="28.5" customHeight="1">
      <c r="A13" s="52">
        <v>9</v>
      </c>
      <c r="B13" s="122" t="s">
        <v>421</v>
      </c>
      <c r="C13" s="122"/>
      <c r="D13" s="122"/>
      <c r="E13" s="123"/>
      <c r="F13" s="123" t="s">
        <v>63</v>
      </c>
      <c r="G13" s="55"/>
      <c r="H13" s="123">
        <v>2</v>
      </c>
      <c r="I13" s="124">
        <f t="shared" si="0"/>
        <v>0.24390243902439024</v>
      </c>
      <c r="J13" s="125">
        <f t="shared" si="1"/>
        <v>0.24390243902439024</v>
      </c>
    </row>
    <row r="14" spans="1:10" ht="28.5" customHeight="1">
      <c r="A14" s="52">
        <v>10</v>
      </c>
      <c r="B14" s="122" t="s">
        <v>422</v>
      </c>
      <c r="C14" s="122"/>
      <c r="D14" s="122"/>
      <c r="E14" s="123"/>
      <c r="F14" s="123" t="s">
        <v>63</v>
      </c>
      <c r="G14" s="55"/>
      <c r="H14" s="123">
        <v>2</v>
      </c>
      <c r="I14" s="124">
        <f t="shared" si="0"/>
        <v>0.24390243902439024</v>
      </c>
      <c r="J14" s="125">
        <f t="shared" si="1"/>
        <v>0.24390243902439024</v>
      </c>
    </row>
    <row r="15" spans="1:10" ht="28.5" customHeight="1">
      <c r="A15" s="52">
        <v>11</v>
      </c>
      <c r="B15" s="122" t="s">
        <v>423</v>
      </c>
      <c r="C15" s="122"/>
      <c r="D15" s="122"/>
      <c r="E15" s="123" t="s">
        <v>63</v>
      </c>
      <c r="F15" s="123"/>
      <c r="G15" s="55"/>
      <c r="H15" s="123">
        <v>6</v>
      </c>
      <c r="I15" s="124">
        <f t="shared" si="0"/>
        <v>0.73170731707317072</v>
      </c>
      <c r="J15" s="125">
        <f t="shared" si="1"/>
        <v>0</v>
      </c>
    </row>
    <row r="16" spans="1:10" ht="28.5" customHeight="1">
      <c r="A16" s="52">
        <v>12</v>
      </c>
      <c r="B16" s="122" t="s">
        <v>424</v>
      </c>
      <c r="C16" s="122"/>
      <c r="D16" s="122"/>
      <c r="E16" s="123"/>
      <c r="F16" s="123" t="s">
        <v>63</v>
      </c>
      <c r="G16" s="55"/>
      <c r="H16" s="123">
        <v>6</v>
      </c>
      <c r="I16" s="124">
        <f t="shared" si="0"/>
        <v>0.73170731707317072</v>
      </c>
      <c r="J16" s="125">
        <f t="shared" si="1"/>
        <v>0.73170731707317072</v>
      </c>
    </row>
    <row r="17" spans="1:10" ht="28.5" customHeight="1">
      <c r="A17" s="52">
        <v>13</v>
      </c>
      <c r="B17" s="122" t="s">
        <v>425</v>
      </c>
      <c r="C17" s="122"/>
      <c r="D17" s="122"/>
      <c r="E17" s="123"/>
      <c r="F17" s="123" t="s">
        <v>63</v>
      </c>
      <c r="G17" s="55"/>
      <c r="H17" s="123">
        <v>6</v>
      </c>
      <c r="I17" s="124">
        <f t="shared" si="0"/>
        <v>0.73170731707317072</v>
      </c>
      <c r="J17" s="125">
        <f t="shared" si="1"/>
        <v>0.73170731707317072</v>
      </c>
    </row>
    <row r="18" spans="1:10">
      <c r="A18" s="112" t="s">
        <v>71</v>
      </c>
      <c r="B18" s="112"/>
      <c r="C18" s="112"/>
      <c r="D18" s="112"/>
      <c r="E18" s="112"/>
      <c r="F18" s="112"/>
      <c r="G18" s="112"/>
      <c r="H18" s="112"/>
      <c r="I18" s="37">
        <f>SUM(I5:I17)</f>
        <v>10.000000000000002</v>
      </c>
      <c r="J18" s="36">
        <f>SUM(J5:J17)</f>
        <v>5.1219512195121952</v>
      </c>
    </row>
  </sheetData>
  <mergeCells count="21">
    <mergeCell ref="B14:D14"/>
    <mergeCell ref="B15:D15"/>
    <mergeCell ref="B16:D16"/>
    <mergeCell ref="B17:D17"/>
    <mergeCell ref="A18:H18"/>
    <mergeCell ref="A1:B1"/>
    <mergeCell ref="A2:B2"/>
    <mergeCell ref="C1:J1"/>
    <mergeCell ref="C2:J2"/>
    <mergeCell ref="B13:D13"/>
    <mergeCell ref="A3:B3"/>
    <mergeCell ref="E3:J3"/>
    <mergeCell ref="B4:D4"/>
    <mergeCell ref="B5:D5"/>
    <mergeCell ref="B6:D6"/>
    <mergeCell ref="B7:D7"/>
    <mergeCell ref="B8:D8"/>
    <mergeCell ref="B9:D9"/>
    <mergeCell ref="B10:D10"/>
    <mergeCell ref="B11:D11"/>
    <mergeCell ref="B12:D12"/>
  </mergeCells>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9CF6B-4AC8-44D8-98A9-5736A96EDF9E}">
  <sheetPr>
    <tabColor rgb="FF00FFFF"/>
  </sheetPr>
  <dimension ref="A1:J15"/>
  <sheetViews>
    <sheetView workbookViewId="0">
      <selection activeCell="B9" sqref="A1:J15"/>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469</v>
      </c>
      <c r="D2" s="74"/>
      <c r="E2" s="74"/>
      <c r="F2" s="74"/>
      <c r="G2" s="74"/>
      <c r="H2" s="74"/>
      <c r="I2" s="74"/>
      <c r="J2" s="75"/>
    </row>
    <row r="3" spans="1:10" ht="45">
      <c r="A3" s="70" t="s">
        <v>81</v>
      </c>
      <c r="B3" s="70"/>
      <c r="C3" s="18" t="s">
        <v>93</v>
      </c>
      <c r="D3" s="55" t="s">
        <v>485</v>
      </c>
      <c r="E3" s="122">
        <v>390</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2.75" customHeight="1">
      <c r="A5" s="52">
        <v>1</v>
      </c>
      <c r="B5" s="122" t="s">
        <v>486</v>
      </c>
      <c r="C5" s="122"/>
      <c r="D5" s="122"/>
      <c r="E5" s="123"/>
      <c r="F5" s="123" t="s">
        <v>63</v>
      </c>
      <c r="G5" s="123"/>
      <c r="H5" s="123">
        <v>10</v>
      </c>
      <c r="I5" s="124">
        <f>IF(H5="","",((H5*10)/SUM($H$5:$H$14)))</f>
        <v>1.0416666666666667</v>
      </c>
      <c r="J5" s="125">
        <f>IF(F5="X",((H5*10)/SUM($H$5:$H$14)),0)</f>
        <v>1.0416666666666667</v>
      </c>
    </row>
    <row r="6" spans="1:10" ht="28.5" customHeight="1">
      <c r="A6" s="52">
        <v>2</v>
      </c>
      <c r="B6" s="122" t="s">
        <v>487</v>
      </c>
      <c r="C6" s="122"/>
      <c r="D6" s="122"/>
      <c r="E6" s="123"/>
      <c r="F6" s="123" t="s">
        <v>63</v>
      </c>
      <c r="G6" s="123"/>
      <c r="H6" s="123">
        <v>10</v>
      </c>
      <c r="I6" s="124">
        <f t="shared" ref="I6:I14" si="0">IF(H6="","",((H6*10)/SUM($H$5:$H$14)))</f>
        <v>1.0416666666666667</v>
      </c>
      <c r="J6" s="125">
        <f t="shared" ref="J6:J14" si="1">IF(F6="X",((H6*10)/SUM($H$5:$H$14)),0)</f>
        <v>1.0416666666666667</v>
      </c>
    </row>
    <row r="7" spans="1:10" ht="28.5" customHeight="1">
      <c r="A7" s="52">
        <v>3</v>
      </c>
      <c r="B7" s="122" t="s">
        <v>488</v>
      </c>
      <c r="C7" s="122"/>
      <c r="D7" s="122"/>
      <c r="E7" s="123"/>
      <c r="F7" s="123" t="s">
        <v>63</v>
      </c>
      <c r="G7" s="123"/>
      <c r="H7" s="123">
        <v>10</v>
      </c>
      <c r="I7" s="124">
        <f t="shared" si="0"/>
        <v>1.0416666666666667</v>
      </c>
      <c r="J7" s="125">
        <f t="shared" si="1"/>
        <v>1.0416666666666667</v>
      </c>
    </row>
    <row r="8" spans="1:10" ht="42.75" customHeight="1">
      <c r="A8" s="52">
        <v>4</v>
      </c>
      <c r="B8" s="122" t="s">
        <v>489</v>
      </c>
      <c r="C8" s="122"/>
      <c r="D8" s="122"/>
      <c r="E8" s="123"/>
      <c r="F8" s="123" t="s">
        <v>63</v>
      </c>
      <c r="G8" s="123"/>
      <c r="H8" s="123">
        <v>10</v>
      </c>
      <c r="I8" s="124">
        <f t="shared" si="0"/>
        <v>1.0416666666666667</v>
      </c>
      <c r="J8" s="125">
        <f t="shared" si="1"/>
        <v>1.0416666666666667</v>
      </c>
    </row>
    <row r="9" spans="1:10" ht="42.75" customHeight="1">
      <c r="A9" s="52">
        <v>5</v>
      </c>
      <c r="B9" s="122" t="s">
        <v>490</v>
      </c>
      <c r="C9" s="122"/>
      <c r="D9" s="122"/>
      <c r="E9" s="123" t="s">
        <v>63</v>
      </c>
      <c r="F9" s="123"/>
      <c r="G9" s="123"/>
      <c r="H9" s="123">
        <v>10</v>
      </c>
      <c r="I9" s="124">
        <f t="shared" si="0"/>
        <v>1.0416666666666667</v>
      </c>
      <c r="J9" s="125">
        <f t="shared" si="1"/>
        <v>0</v>
      </c>
    </row>
    <row r="10" spans="1:10" ht="42.75" customHeight="1">
      <c r="A10" s="52">
        <v>6</v>
      </c>
      <c r="B10" s="122" t="s">
        <v>491</v>
      </c>
      <c r="C10" s="122"/>
      <c r="D10" s="122"/>
      <c r="E10" s="123"/>
      <c r="F10" s="123" t="s">
        <v>63</v>
      </c>
      <c r="G10" s="123"/>
      <c r="H10" s="123">
        <v>10</v>
      </c>
      <c r="I10" s="124">
        <f t="shared" si="0"/>
        <v>1.0416666666666667</v>
      </c>
      <c r="J10" s="125">
        <f t="shared" si="1"/>
        <v>1.0416666666666667</v>
      </c>
    </row>
    <row r="11" spans="1:10" ht="42.75" customHeight="1">
      <c r="A11" s="52">
        <v>7</v>
      </c>
      <c r="B11" s="122" t="s">
        <v>492</v>
      </c>
      <c r="C11" s="122"/>
      <c r="D11" s="122"/>
      <c r="E11" s="123"/>
      <c r="F11" s="123" t="s">
        <v>63</v>
      </c>
      <c r="G11" s="123"/>
      <c r="H11" s="123">
        <v>10</v>
      </c>
      <c r="I11" s="124">
        <f t="shared" si="0"/>
        <v>1.0416666666666667</v>
      </c>
      <c r="J11" s="125">
        <f t="shared" si="1"/>
        <v>1.0416666666666667</v>
      </c>
    </row>
    <row r="12" spans="1:10" ht="42.75" customHeight="1">
      <c r="A12" s="52">
        <v>8</v>
      </c>
      <c r="B12" s="122" t="s">
        <v>493</v>
      </c>
      <c r="C12" s="122"/>
      <c r="D12" s="122"/>
      <c r="E12" s="123"/>
      <c r="F12" s="123" t="s">
        <v>63</v>
      </c>
      <c r="G12" s="123"/>
      <c r="H12" s="123">
        <v>6</v>
      </c>
      <c r="I12" s="124">
        <f t="shared" si="0"/>
        <v>0.625</v>
      </c>
      <c r="J12" s="125">
        <f t="shared" si="1"/>
        <v>0.625</v>
      </c>
    </row>
    <row r="13" spans="1:10" ht="42.75" customHeight="1">
      <c r="A13" s="52">
        <v>9</v>
      </c>
      <c r="B13" s="122" t="s">
        <v>494</v>
      </c>
      <c r="C13" s="122"/>
      <c r="D13" s="122"/>
      <c r="E13" s="123" t="s">
        <v>63</v>
      </c>
      <c r="F13" s="123"/>
      <c r="G13" s="123"/>
      <c r="H13" s="123">
        <v>10</v>
      </c>
      <c r="I13" s="124">
        <f t="shared" si="0"/>
        <v>1.0416666666666667</v>
      </c>
      <c r="J13" s="125">
        <f t="shared" si="1"/>
        <v>0</v>
      </c>
    </row>
    <row r="14" spans="1:10" ht="42.75" customHeight="1">
      <c r="A14" s="52">
        <v>10</v>
      </c>
      <c r="B14" s="122" t="s">
        <v>495</v>
      </c>
      <c r="C14" s="122"/>
      <c r="D14" s="122"/>
      <c r="E14" s="123"/>
      <c r="F14" s="123" t="s">
        <v>63</v>
      </c>
      <c r="G14" s="123"/>
      <c r="H14" s="123">
        <v>10</v>
      </c>
      <c r="I14" s="124">
        <f t="shared" si="0"/>
        <v>1.0416666666666667</v>
      </c>
      <c r="J14" s="125">
        <f t="shared" si="1"/>
        <v>1.0416666666666667</v>
      </c>
    </row>
    <row r="15" spans="1:10">
      <c r="A15" s="112" t="s">
        <v>71</v>
      </c>
      <c r="B15" s="112"/>
      <c r="C15" s="112"/>
      <c r="D15" s="112"/>
      <c r="E15" s="112"/>
      <c r="F15" s="112"/>
      <c r="G15" s="112"/>
      <c r="H15" s="112"/>
      <c r="I15" s="37">
        <f>SUM(I5:I14)</f>
        <v>10</v>
      </c>
      <c r="J15" s="36">
        <f>SUM(J5:J14)</f>
        <v>7.9166666666666679</v>
      </c>
    </row>
  </sheetData>
  <mergeCells count="18">
    <mergeCell ref="B11:D11"/>
    <mergeCell ref="B12:D12"/>
    <mergeCell ref="B13:D13"/>
    <mergeCell ref="B14:D14"/>
    <mergeCell ref="A15:H15"/>
    <mergeCell ref="A1:B1"/>
    <mergeCell ref="A2:B2"/>
    <mergeCell ref="C1:J1"/>
    <mergeCell ref="C2:J2"/>
    <mergeCell ref="B10:D10"/>
    <mergeCell ref="A3:B3"/>
    <mergeCell ref="E3:J3"/>
    <mergeCell ref="B4:D4"/>
    <mergeCell ref="B5:D5"/>
    <mergeCell ref="B6:D6"/>
    <mergeCell ref="B7:D7"/>
    <mergeCell ref="B8:D8"/>
    <mergeCell ref="B9:D9"/>
  </mergeCells>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839A4-B428-452A-BFF3-32D0A1966AE1}">
  <sheetPr>
    <tabColor rgb="FF00FFFF"/>
  </sheetPr>
  <dimension ref="A1:J19"/>
  <sheetViews>
    <sheetView workbookViewId="0">
      <pane xSplit="4" ySplit="4" topLeftCell="E5" activePane="bottomRight" state="frozen"/>
      <selection pane="bottomRight" activeCell="B8" sqref="A1:J19"/>
      <selection pane="bottomLeft" activeCell="C1" sqref="C1:I2"/>
      <selection pane="topRight" activeCell="C1" sqref="C1:I2"/>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469</v>
      </c>
      <c r="D2" s="74"/>
      <c r="E2" s="74"/>
      <c r="F2" s="74"/>
      <c r="G2" s="74"/>
      <c r="H2" s="74"/>
      <c r="I2" s="74"/>
      <c r="J2" s="75"/>
    </row>
    <row r="3" spans="1:10" ht="30">
      <c r="A3" s="70" t="s">
        <v>81</v>
      </c>
      <c r="B3" s="70"/>
      <c r="C3" s="18" t="s">
        <v>200</v>
      </c>
      <c r="D3" s="55" t="s">
        <v>426</v>
      </c>
      <c r="E3" s="122" t="s">
        <v>427</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28.5" customHeight="1">
      <c r="A5" s="52">
        <v>1</v>
      </c>
      <c r="B5" s="122" t="s">
        <v>428</v>
      </c>
      <c r="C5" s="122"/>
      <c r="D5" s="122"/>
      <c r="E5" s="123"/>
      <c r="F5" s="123" t="s">
        <v>63</v>
      </c>
      <c r="G5" s="55"/>
      <c r="H5" s="27">
        <v>6</v>
      </c>
      <c r="I5" s="124">
        <f>IF(H5="","",((H5*10)/SUM($H$5:$H$18)))</f>
        <v>0.5</v>
      </c>
      <c r="J5" s="125">
        <f>IF(F5="X",((H5*10)/SUM($H$5:$H$18)),0)</f>
        <v>0.5</v>
      </c>
    </row>
    <row r="6" spans="1:10" ht="28.5" customHeight="1">
      <c r="A6" s="52">
        <v>2</v>
      </c>
      <c r="B6" s="122" t="s">
        <v>429</v>
      </c>
      <c r="C6" s="122"/>
      <c r="D6" s="122"/>
      <c r="E6" s="123"/>
      <c r="F6" s="123" t="s">
        <v>63</v>
      </c>
      <c r="G6" s="55"/>
      <c r="H6" s="27">
        <v>6</v>
      </c>
      <c r="I6" s="124">
        <f t="shared" ref="I6:I18" si="0">IF(H6="","",((H6*10)/SUM($H$5:$H$18)))</f>
        <v>0.5</v>
      </c>
      <c r="J6" s="125">
        <f t="shared" ref="J6:J18" si="1">IF(F6="X",((H6*10)/SUM($H$5:$H$18)),0)</f>
        <v>0.5</v>
      </c>
    </row>
    <row r="7" spans="1:10" ht="57" customHeight="1">
      <c r="A7" s="52">
        <v>3</v>
      </c>
      <c r="B7" s="122" t="s">
        <v>430</v>
      </c>
      <c r="C7" s="122"/>
      <c r="D7" s="122"/>
      <c r="E7" s="123"/>
      <c r="F7" s="123" t="s">
        <v>63</v>
      </c>
      <c r="G7" s="55"/>
      <c r="H7" s="27">
        <v>10</v>
      </c>
      <c r="I7" s="124">
        <f t="shared" si="0"/>
        <v>0.83333333333333337</v>
      </c>
      <c r="J7" s="125">
        <f t="shared" si="1"/>
        <v>0.83333333333333337</v>
      </c>
    </row>
    <row r="8" spans="1:10" ht="57" customHeight="1">
      <c r="A8" s="52">
        <v>4</v>
      </c>
      <c r="B8" s="122" t="s">
        <v>431</v>
      </c>
      <c r="C8" s="122"/>
      <c r="D8" s="122"/>
      <c r="E8" s="123"/>
      <c r="F8" s="123" t="s">
        <v>63</v>
      </c>
      <c r="G8" s="55"/>
      <c r="H8" s="27">
        <v>10</v>
      </c>
      <c r="I8" s="124">
        <f t="shared" si="0"/>
        <v>0.83333333333333337</v>
      </c>
      <c r="J8" s="125">
        <f t="shared" si="1"/>
        <v>0.83333333333333337</v>
      </c>
    </row>
    <row r="9" spans="1:10" ht="42.75" customHeight="1">
      <c r="A9" s="52">
        <v>5</v>
      </c>
      <c r="B9" s="122" t="s">
        <v>207</v>
      </c>
      <c r="C9" s="122"/>
      <c r="D9" s="122"/>
      <c r="E9" s="123"/>
      <c r="F9" s="123" t="s">
        <v>63</v>
      </c>
      <c r="G9" s="55"/>
      <c r="H9" s="27">
        <v>10</v>
      </c>
      <c r="I9" s="124">
        <f t="shared" si="0"/>
        <v>0.83333333333333337</v>
      </c>
      <c r="J9" s="125">
        <f t="shared" si="1"/>
        <v>0.83333333333333337</v>
      </c>
    </row>
    <row r="10" spans="1:10" ht="28.5" customHeight="1">
      <c r="A10" s="52">
        <v>6</v>
      </c>
      <c r="B10" s="122" t="s">
        <v>432</v>
      </c>
      <c r="C10" s="122"/>
      <c r="D10" s="122"/>
      <c r="E10" s="123"/>
      <c r="F10" s="123" t="s">
        <v>63</v>
      </c>
      <c r="G10" s="55"/>
      <c r="H10" s="27">
        <v>10</v>
      </c>
      <c r="I10" s="124">
        <f t="shared" si="0"/>
        <v>0.83333333333333337</v>
      </c>
      <c r="J10" s="125">
        <f t="shared" si="1"/>
        <v>0.83333333333333337</v>
      </c>
    </row>
    <row r="11" spans="1:10" ht="28.5" customHeight="1">
      <c r="A11" s="52">
        <v>7</v>
      </c>
      <c r="B11" s="122" t="s">
        <v>433</v>
      </c>
      <c r="C11" s="122"/>
      <c r="D11" s="122"/>
      <c r="E11" s="123"/>
      <c r="F11" s="123" t="s">
        <v>63</v>
      </c>
      <c r="G11" s="55"/>
      <c r="H11" s="27">
        <v>6</v>
      </c>
      <c r="I11" s="124">
        <f t="shared" si="0"/>
        <v>0.5</v>
      </c>
      <c r="J11" s="125">
        <f t="shared" si="1"/>
        <v>0.5</v>
      </c>
    </row>
    <row r="12" spans="1:10" ht="42.75" customHeight="1">
      <c r="A12" s="52">
        <v>8</v>
      </c>
      <c r="B12" s="122" t="s">
        <v>434</v>
      </c>
      <c r="C12" s="122"/>
      <c r="D12" s="122"/>
      <c r="E12" s="123" t="s">
        <v>63</v>
      </c>
      <c r="F12" s="123"/>
      <c r="G12" s="55"/>
      <c r="H12" s="27">
        <v>2</v>
      </c>
      <c r="I12" s="124">
        <f t="shared" si="0"/>
        <v>0.16666666666666666</v>
      </c>
      <c r="J12" s="125">
        <f t="shared" si="1"/>
        <v>0</v>
      </c>
    </row>
    <row r="13" spans="1:10" ht="42.75" customHeight="1">
      <c r="A13" s="52">
        <v>9</v>
      </c>
      <c r="B13" s="122" t="s">
        <v>435</v>
      </c>
      <c r="C13" s="122"/>
      <c r="D13" s="122"/>
      <c r="E13" s="123" t="s">
        <v>63</v>
      </c>
      <c r="F13" s="123"/>
      <c r="G13" s="55"/>
      <c r="H13" s="27">
        <v>10</v>
      </c>
      <c r="I13" s="124">
        <f t="shared" si="0"/>
        <v>0.83333333333333337</v>
      </c>
      <c r="J13" s="125">
        <f t="shared" si="1"/>
        <v>0</v>
      </c>
    </row>
    <row r="14" spans="1:10" ht="42.75" customHeight="1">
      <c r="A14" s="52">
        <v>10</v>
      </c>
      <c r="B14" s="122" t="s">
        <v>215</v>
      </c>
      <c r="C14" s="122"/>
      <c r="D14" s="122"/>
      <c r="E14" s="123"/>
      <c r="F14" s="123" t="s">
        <v>63</v>
      </c>
      <c r="G14" s="55"/>
      <c r="H14" s="27">
        <v>10</v>
      </c>
      <c r="I14" s="124">
        <f t="shared" si="0"/>
        <v>0.83333333333333337</v>
      </c>
      <c r="J14" s="125">
        <f t="shared" si="1"/>
        <v>0.83333333333333337</v>
      </c>
    </row>
    <row r="15" spans="1:10" ht="42.75" customHeight="1">
      <c r="A15" s="52">
        <v>11</v>
      </c>
      <c r="B15" s="122" t="s">
        <v>436</v>
      </c>
      <c r="C15" s="122"/>
      <c r="D15" s="122"/>
      <c r="E15" s="123" t="s">
        <v>63</v>
      </c>
      <c r="F15" s="123"/>
      <c r="G15" s="55"/>
      <c r="H15" s="27">
        <v>10</v>
      </c>
      <c r="I15" s="124">
        <f t="shared" si="0"/>
        <v>0.83333333333333337</v>
      </c>
      <c r="J15" s="125">
        <f t="shared" si="1"/>
        <v>0</v>
      </c>
    </row>
    <row r="16" spans="1:10" ht="42.75" customHeight="1">
      <c r="A16" s="52">
        <v>12</v>
      </c>
      <c r="B16" s="122" t="s">
        <v>437</v>
      </c>
      <c r="C16" s="122"/>
      <c r="D16" s="122"/>
      <c r="E16" s="123"/>
      <c r="F16" s="123" t="s">
        <v>63</v>
      </c>
      <c r="G16" s="55"/>
      <c r="H16" s="27">
        <v>10</v>
      </c>
      <c r="I16" s="124">
        <f t="shared" si="0"/>
        <v>0.83333333333333337</v>
      </c>
      <c r="J16" s="125">
        <f t="shared" si="1"/>
        <v>0.83333333333333337</v>
      </c>
    </row>
    <row r="17" spans="1:10" ht="42.75" customHeight="1">
      <c r="A17" s="52">
        <v>13</v>
      </c>
      <c r="B17" s="122" t="s">
        <v>438</v>
      </c>
      <c r="C17" s="122"/>
      <c r="D17" s="122"/>
      <c r="E17" s="123"/>
      <c r="F17" s="123" t="s">
        <v>63</v>
      </c>
      <c r="G17" s="55"/>
      <c r="H17" s="27">
        <v>10</v>
      </c>
      <c r="I17" s="124">
        <f t="shared" si="0"/>
        <v>0.83333333333333337</v>
      </c>
      <c r="J17" s="125">
        <f t="shared" si="1"/>
        <v>0.83333333333333337</v>
      </c>
    </row>
    <row r="18" spans="1:10" ht="42.75" customHeight="1">
      <c r="A18" s="52">
        <v>14</v>
      </c>
      <c r="B18" s="122" t="s">
        <v>439</v>
      </c>
      <c r="C18" s="122"/>
      <c r="D18" s="122"/>
      <c r="E18" s="123"/>
      <c r="F18" s="123" t="s">
        <v>63</v>
      </c>
      <c r="G18" s="55"/>
      <c r="H18" s="27">
        <v>10</v>
      </c>
      <c r="I18" s="124">
        <f t="shared" si="0"/>
        <v>0.83333333333333337</v>
      </c>
      <c r="J18" s="125">
        <f t="shared" si="1"/>
        <v>0.83333333333333337</v>
      </c>
    </row>
    <row r="19" spans="1:10">
      <c r="A19" s="112" t="s">
        <v>71</v>
      </c>
      <c r="B19" s="112"/>
      <c r="C19" s="112"/>
      <c r="D19" s="112"/>
      <c r="E19" s="112"/>
      <c r="F19" s="112"/>
      <c r="G19" s="112"/>
      <c r="H19" s="112"/>
      <c r="I19" s="37">
        <f>SUM(I5:I18)</f>
        <v>10.000000000000002</v>
      </c>
      <c r="J19" s="36">
        <f>SUM(J5:J18)</f>
        <v>8.1666666666666661</v>
      </c>
    </row>
  </sheetData>
  <mergeCells count="22">
    <mergeCell ref="A19:H19"/>
    <mergeCell ref="B8:D8"/>
    <mergeCell ref="B9:D9"/>
    <mergeCell ref="B10:D10"/>
    <mergeCell ref="B11:D11"/>
    <mergeCell ref="B12:D12"/>
    <mergeCell ref="B13:D13"/>
    <mergeCell ref="B14:D14"/>
    <mergeCell ref="B15:D15"/>
    <mergeCell ref="B16:D16"/>
    <mergeCell ref="B17:D17"/>
    <mergeCell ref="B18:D18"/>
    <mergeCell ref="A1:B1"/>
    <mergeCell ref="A2:B2"/>
    <mergeCell ref="C1:J1"/>
    <mergeCell ref="C2:J2"/>
    <mergeCell ref="B7:D7"/>
    <mergeCell ref="A3:B3"/>
    <mergeCell ref="E3:J3"/>
    <mergeCell ref="B4:D4"/>
    <mergeCell ref="B5:D5"/>
    <mergeCell ref="B6:D6"/>
  </mergeCells>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BBA42-62BB-43D9-9B4C-67193663F6BF}">
  <sheetPr>
    <tabColor rgb="FF00FFFF"/>
  </sheetPr>
  <dimension ref="A1:I15"/>
  <sheetViews>
    <sheetView workbookViewId="0">
      <pane xSplit="3" ySplit="4" topLeftCell="D5" activePane="bottomRight" state="frozen"/>
      <selection pane="bottomRight" activeCell="B9" sqref="A1:I15"/>
      <selection pane="bottomLeft" activeCell="C2" sqref="C2:J2"/>
      <selection pane="topRight" activeCell="C2" sqref="C2:J2"/>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339</v>
      </c>
      <c r="D1" s="120"/>
      <c r="E1" s="120"/>
      <c r="F1" s="120"/>
      <c r="G1" s="120"/>
      <c r="H1" s="120"/>
      <c r="I1" s="121"/>
    </row>
    <row r="2" spans="1:9" ht="15">
      <c r="A2" s="70" t="s">
        <v>0</v>
      </c>
      <c r="B2" s="70"/>
      <c r="C2" s="84" t="s">
        <v>469</v>
      </c>
      <c r="D2" s="120"/>
      <c r="E2" s="120"/>
      <c r="F2" s="120"/>
      <c r="G2" s="120"/>
      <c r="H2" s="120"/>
      <c r="I2" s="121"/>
    </row>
    <row r="3" spans="1:9" ht="15">
      <c r="A3" s="70" t="s">
        <v>218</v>
      </c>
      <c r="B3" s="70"/>
      <c r="C3" s="55" t="s">
        <v>219</v>
      </c>
      <c r="D3" s="122">
        <v>130</v>
      </c>
      <c r="E3" s="122"/>
      <c r="F3" s="122"/>
      <c r="G3" s="122"/>
      <c r="H3" s="122"/>
      <c r="I3" s="122"/>
    </row>
    <row r="4" spans="1:9" ht="60">
      <c r="A4" s="52" t="s">
        <v>55</v>
      </c>
      <c r="B4" s="70" t="s">
        <v>56</v>
      </c>
      <c r="C4" s="70"/>
      <c r="D4" s="52" t="s">
        <v>24</v>
      </c>
      <c r="E4" s="52" t="s">
        <v>57</v>
      </c>
      <c r="F4" s="52" t="s">
        <v>58</v>
      </c>
      <c r="G4" s="52" t="s">
        <v>59</v>
      </c>
      <c r="H4" s="52" t="s">
        <v>60</v>
      </c>
      <c r="I4" s="52" t="s">
        <v>61</v>
      </c>
    </row>
    <row r="5" spans="1:9" ht="47.25" customHeight="1">
      <c r="A5" s="52">
        <v>1</v>
      </c>
      <c r="B5" s="122" t="s">
        <v>220</v>
      </c>
      <c r="C5" s="122"/>
      <c r="D5" s="123"/>
      <c r="E5" s="123" t="s">
        <v>63</v>
      </c>
      <c r="F5" s="123"/>
      <c r="G5" s="123">
        <v>10</v>
      </c>
      <c r="H5" s="124">
        <f>(G5*10)/SUM($G$5:$G$14)</f>
        <v>1.7857142857142858</v>
      </c>
      <c r="I5" s="125">
        <f>IF(E5="X",((G5*10)/SUM($G$5:$G$14)),0)</f>
        <v>1.7857142857142858</v>
      </c>
    </row>
    <row r="6" spans="1:9" ht="47.25" customHeight="1">
      <c r="A6" s="52">
        <v>2</v>
      </c>
      <c r="B6" s="122" t="s">
        <v>221</v>
      </c>
      <c r="C6" s="122"/>
      <c r="D6" s="123"/>
      <c r="E6" s="123" t="s">
        <v>63</v>
      </c>
      <c r="F6" s="123"/>
      <c r="G6" s="123">
        <v>2</v>
      </c>
      <c r="H6" s="124">
        <f t="shared" ref="H6:H14" si="0">(G6*10)/SUM($G$5:$G$14)</f>
        <v>0.35714285714285715</v>
      </c>
      <c r="I6" s="125">
        <f t="shared" ref="I6:I14" si="1">IF(E6="X",((G6*10)/SUM($G$5:$G$14)),0)</f>
        <v>0.35714285714285715</v>
      </c>
    </row>
    <row r="7" spans="1:9" ht="31.5" customHeight="1">
      <c r="A7" s="52">
        <v>3</v>
      </c>
      <c r="B7" s="122" t="s">
        <v>222</v>
      </c>
      <c r="C7" s="122"/>
      <c r="D7" s="123"/>
      <c r="E7" s="123" t="s">
        <v>63</v>
      </c>
      <c r="F7" s="123"/>
      <c r="G7" s="123">
        <v>6</v>
      </c>
      <c r="H7" s="124">
        <f t="shared" si="0"/>
        <v>1.0714285714285714</v>
      </c>
      <c r="I7" s="125">
        <f t="shared" si="1"/>
        <v>1.0714285714285714</v>
      </c>
    </row>
    <row r="8" spans="1:9" ht="59.25" customHeight="1">
      <c r="A8" s="52">
        <v>4</v>
      </c>
      <c r="B8" s="122" t="s">
        <v>223</v>
      </c>
      <c r="C8" s="122"/>
      <c r="D8" s="123"/>
      <c r="E8" s="123" t="s">
        <v>63</v>
      </c>
      <c r="F8" s="123"/>
      <c r="G8" s="123">
        <v>10</v>
      </c>
      <c r="H8" s="124">
        <f t="shared" si="0"/>
        <v>1.7857142857142858</v>
      </c>
      <c r="I8" s="125">
        <f t="shared" si="1"/>
        <v>1.7857142857142858</v>
      </c>
    </row>
    <row r="9" spans="1:9" ht="43.5" customHeight="1">
      <c r="A9" s="52">
        <v>5</v>
      </c>
      <c r="B9" s="122" t="s">
        <v>224</v>
      </c>
      <c r="C9" s="122"/>
      <c r="D9" s="123" t="s">
        <v>63</v>
      </c>
      <c r="E9" s="123"/>
      <c r="F9" s="123"/>
      <c r="G9" s="123">
        <v>6</v>
      </c>
      <c r="H9" s="124">
        <f t="shared" si="0"/>
        <v>1.0714285714285714</v>
      </c>
      <c r="I9" s="125">
        <f t="shared" si="1"/>
        <v>0</v>
      </c>
    </row>
    <row r="10" spans="1:9" ht="58.5" customHeight="1">
      <c r="A10" s="52">
        <v>6</v>
      </c>
      <c r="B10" s="122" t="s">
        <v>225</v>
      </c>
      <c r="C10" s="122"/>
      <c r="D10" s="123"/>
      <c r="E10" s="123" t="s">
        <v>63</v>
      </c>
      <c r="F10" s="123"/>
      <c r="G10" s="123">
        <v>6</v>
      </c>
      <c r="H10" s="124">
        <f t="shared" si="0"/>
        <v>1.0714285714285714</v>
      </c>
      <c r="I10" s="125">
        <f t="shared" si="1"/>
        <v>1.0714285714285714</v>
      </c>
    </row>
    <row r="11" spans="1:9" ht="47.25" customHeight="1">
      <c r="A11" s="52">
        <v>7</v>
      </c>
      <c r="B11" s="122" t="s">
        <v>226</v>
      </c>
      <c r="C11" s="122"/>
      <c r="D11" s="123"/>
      <c r="E11" s="123" t="s">
        <v>63</v>
      </c>
      <c r="F11" s="123"/>
      <c r="G11" s="123">
        <v>6</v>
      </c>
      <c r="H11" s="124">
        <f t="shared" si="0"/>
        <v>1.0714285714285714</v>
      </c>
      <c r="I11" s="125">
        <f t="shared" si="1"/>
        <v>1.0714285714285714</v>
      </c>
    </row>
    <row r="12" spans="1:9" ht="47.25" customHeight="1">
      <c r="A12" s="52">
        <v>8</v>
      </c>
      <c r="B12" s="122" t="s">
        <v>227</v>
      </c>
      <c r="C12" s="122"/>
      <c r="D12" s="123"/>
      <c r="E12" s="123" t="s">
        <v>63</v>
      </c>
      <c r="F12" s="123"/>
      <c r="G12" s="123">
        <v>6</v>
      </c>
      <c r="H12" s="124">
        <f t="shared" si="0"/>
        <v>1.0714285714285714</v>
      </c>
      <c r="I12" s="125">
        <f t="shared" si="1"/>
        <v>1.0714285714285714</v>
      </c>
    </row>
    <row r="13" spans="1:9" ht="47.25" customHeight="1">
      <c r="A13" s="52">
        <v>9</v>
      </c>
      <c r="B13" s="122" t="s">
        <v>228</v>
      </c>
      <c r="C13" s="122"/>
      <c r="D13" s="123"/>
      <c r="E13" s="123" t="s">
        <v>63</v>
      </c>
      <c r="F13" s="123"/>
      <c r="G13" s="123">
        <v>2</v>
      </c>
      <c r="H13" s="124">
        <f t="shared" si="0"/>
        <v>0.35714285714285715</v>
      </c>
      <c r="I13" s="125">
        <f t="shared" si="1"/>
        <v>0.35714285714285715</v>
      </c>
    </row>
    <row r="14" spans="1:9" ht="63" customHeight="1">
      <c r="A14" s="52">
        <v>10</v>
      </c>
      <c r="B14" s="122" t="s">
        <v>229</v>
      </c>
      <c r="C14" s="122"/>
      <c r="D14" s="123"/>
      <c r="E14" s="123" t="s">
        <v>63</v>
      </c>
      <c r="F14" s="123"/>
      <c r="G14" s="123">
        <v>2</v>
      </c>
      <c r="H14" s="124">
        <f t="shared" si="0"/>
        <v>0.35714285714285715</v>
      </c>
      <c r="I14" s="125">
        <f t="shared" si="1"/>
        <v>0.35714285714285715</v>
      </c>
    </row>
    <row r="15" spans="1:9" ht="15.75" customHeight="1">
      <c r="A15" s="83" t="s">
        <v>71</v>
      </c>
      <c r="B15" s="83"/>
      <c r="C15" s="83"/>
      <c r="D15" s="83"/>
      <c r="E15" s="83"/>
      <c r="F15" s="83"/>
      <c r="G15" s="83"/>
      <c r="H15" s="28">
        <f>SUM(H5:H14)</f>
        <v>10</v>
      </c>
      <c r="I15" s="20">
        <f>SUM(I5:I14)</f>
        <v>8.9285714285714288</v>
      </c>
    </row>
  </sheetData>
  <mergeCells count="18">
    <mergeCell ref="B14:C14"/>
    <mergeCell ref="A15:G15"/>
    <mergeCell ref="B8:C8"/>
    <mergeCell ref="B9:C9"/>
    <mergeCell ref="B10:C10"/>
    <mergeCell ref="B11:C11"/>
    <mergeCell ref="B12:C12"/>
    <mergeCell ref="B13:C13"/>
    <mergeCell ref="A1:B1"/>
    <mergeCell ref="A2:B2"/>
    <mergeCell ref="C2:I2"/>
    <mergeCell ref="C1:I1"/>
    <mergeCell ref="B7:C7"/>
    <mergeCell ref="A3:B3"/>
    <mergeCell ref="D3:I3"/>
    <mergeCell ref="B4:C4"/>
    <mergeCell ref="B5:C5"/>
    <mergeCell ref="B6:C6"/>
  </mergeCells>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0229D-7C44-4D79-9344-78E684AC8EFD}">
  <sheetPr>
    <tabColor rgb="FFFFCC66"/>
  </sheetPr>
  <dimension ref="A1:I13"/>
  <sheetViews>
    <sheetView workbookViewId="0">
      <pane xSplit="3" ySplit="4" topLeftCell="D5" activePane="bottomRight" state="frozen"/>
      <selection pane="bottomRight" activeCell="B6" sqref="A1:I13"/>
      <selection pane="bottomLeft" activeCell="A51" sqref="A51:A68"/>
      <selection pane="topRight" activeCell="A51" sqref="A51:A68"/>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9" width="12" style="21" customWidth="1"/>
    <col min="10" max="16384" width="11.42578125" style="21"/>
  </cols>
  <sheetData>
    <row r="1" spans="1:9" ht="15">
      <c r="A1" s="70" t="s">
        <v>51</v>
      </c>
      <c r="B1" s="70"/>
      <c r="C1" s="84" t="s">
        <v>339</v>
      </c>
      <c r="D1" s="120"/>
      <c r="E1" s="120"/>
      <c r="F1" s="120"/>
      <c r="G1" s="120"/>
      <c r="H1" s="120"/>
      <c r="I1" s="121"/>
    </row>
    <row r="2" spans="1:9" ht="15">
      <c r="A2" s="70" t="s">
        <v>0</v>
      </c>
      <c r="B2" s="70"/>
      <c r="C2" s="84" t="s">
        <v>496</v>
      </c>
      <c r="D2" s="120"/>
      <c r="E2" s="120"/>
      <c r="F2" s="120"/>
      <c r="G2" s="120"/>
      <c r="H2" s="120"/>
      <c r="I2" s="121"/>
    </row>
    <row r="3" spans="1:9" ht="15">
      <c r="A3" s="70" t="s">
        <v>53</v>
      </c>
      <c r="B3" s="70"/>
      <c r="C3" s="55" t="s">
        <v>54</v>
      </c>
      <c r="D3" s="122">
        <v>330</v>
      </c>
      <c r="E3" s="122"/>
      <c r="F3" s="122"/>
      <c r="G3" s="122"/>
      <c r="H3" s="122"/>
      <c r="I3" s="122"/>
    </row>
    <row r="4" spans="1:9" ht="60">
      <c r="A4" s="52" t="s">
        <v>55</v>
      </c>
      <c r="B4" s="70" t="s">
        <v>56</v>
      </c>
      <c r="C4" s="70"/>
      <c r="D4" s="52" t="s">
        <v>24</v>
      </c>
      <c r="E4" s="52" t="s">
        <v>57</v>
      </c>
      <c r="F4" s="52" t="s">
        <v>58</v>
      </c>
      <c r="G4" s="52" t="s">
        <v>59</v>
      </c>
      <c r="H4" s="52" t="s">
        <v>60</v>
      </c>
      <c r="I4" s="52" t="s">
        <v>61</v>
      </c>
    </row>
    <row r="5" spans="1:9" ht="46.5" customHeight="1">
      <c r="A5" s="52">
        <v>1</v>
      </c>
      <c r="B5" s="122" t="s">
        <v>62</v>
      </c>
      <c r="C5" s="122"/>
      <c r="D5" s="123"/>
      <c r="E5" s="123" t="s">
        <v>63</v>
      </c>
      <c r="F5" s="123"/>
      <c r="G5" s="123">
        <v>10</v>
      </c>
      <c r="H5" s="124">
        <f>(G5*10)/SUM($G$5:$G$12)</f>
        <v>1.5625</v>
      </c>
      <c r="I5" s="124">
        <f t="shared" ref="I5:I12" si="0">IF(E5="X",((G5*10)/SUM($G$5:$G$12)),0)</f>
        <v>1.5625</v>
      </c>
    </row>
    <row r="6" spans="1:9" ht="60" customHeight="1">
      <c r="A6" s="52">
        <v>2</v>
      </c>
      <c r="B6" s="122" t="s">
        <v>64</v>
      </c>
      <c r="C6" s="122"/>
      <c r="D6" s="123"/>
      <c r="E6" s="123" t="s">
        <v>63</v>
      </c>
      <c r="F6" s="123"/>
      <c r="G6" s="123">
        <v>6</v>
      </c>
      <c r="H6" s="124">
        <f t="shared" ref="H6:H12" si="1">(G6*10)/SUM($G$5:$G$12)</f>
        <v>0.9375</v>
      </c>
      <c r="I6" s="124">
        <f t="shared" si="0"/>
        <v>0.9375</v>
      </c>
    </row>
    <row r="7" spans="1:9" ht="47.25" customHeight="1">
      <c r="A7" s="52">
        <v>3</v>
      </c>
      <c r="B7" s="122" t="s">
        <v>65</v>
      </c>
      <c r="C7" s="122"/>
      <c r="D7" s="123"/>
      <c r="E7" s="123" t="s">
        <v>63</v>
      </c>
      <c r="F7" s="123"/>
      <c r="G7" s="123">
        <v>10</v>
      </c>
      <c r="H7" s="124">
        <f t="shared" si="1"/>
        <v>1.5625</v>
      </c>
      <c r="I7" s="124">
        <f t="shared" si="0"/>
        <v>1.5625</v>
      </c>
    </row>
    <row r="8" spans="1:9" ht="47.25" customHeight="1">
      <c r="A8" s="52">
        <v>4</v>
      </c>
      <c r="B8" s="122" t="s">
        <v>66</v>
      </c>
      <c r="C8" s="122"/>
      <c r="D8" s="123"/>
      <c r="E8" s="123" t="s">
        <v>63</v>
      </c>
      <c r="F8" s="123"/>
      <c r="G8" s="123">
        <v>2</v>
      </c>
      <c r="H8" s="124">
        <f t="shared" si="1"/>
        <v>0.3125</v>
      </c>
      <c r="I8" s="124">
        <f t="shared" si="0"/>
        <v>0.3125</v>
      </c>
    </row>
    <row r="9" spans="1:9" ht="75.75" customHeight="1">
      <c r="A9" s="52">
        <v>5</v>
      </c>
      <c r="B9" s="122" t="s">
        <v>67</v>
      </c>
      <c r="C9" s="122"/>
      <c r="D9" s="123" t="s">
        <v>63</v>
      </c>
      <c r="E9" s="123"/>
      <c r="F9" s="123"/>
      <c r="G9" s="123">
        <v>10</v>
      </c>
      <c r="H9" s="124">
        <f t="shared" si="1"/>
        <v>1.5625</v>
      </c>
      <c r="I9" s="124">
        <f t="shared" si="0"/>
        <v>0</v>
      </c>
    </row>
    <row r="10" spans="1:9" ht="46.5" customHeight="1">
      <c r="A10" s="52">
        <v>6</v>
      </c>
      <c r="B10" s="122" t="s">
        <v>68</v>
      </c>
      <c r="C10" s="122"/>
      <c r="D10" s="123"/>
      <c r="E10" s="123" t="s">
        <v>63</v>
      </c>
      <c r="F10" s="123"/>
      <c r="G10" s="123">
        <v>6</v>
      </c>
      <c r="H10" s="124">
        <f t="shared" si="1"/>
        <v>0.9375</v>
      </c>
      <c r="I10" s="124">
        <f t="shared" si="0"/>
        <v>0.9375</v>
      </c>
    </row>
    <row r="11" spans="1:9" ht="50.25" customHeight="1">
      <c r="A11" s="52">
        <v>7</v>
      </c>
      <c r="B11" s="122" t="s">
        <v>69</v>
      </c>
      <c r="C11" s="122"/>
      <c r="D11" s="123"/>
      <c r="E11" s="123" t="s">
        <v>63</v>
      </c>
      <c r="F11" s="123"/>
      <c r="G11" s="123">
        <v>10</v>
      </c>
      <c r="H11" s="124">
        <f t="shared" si="1"/>
        <v>1.5625</v>
      </c>
      <c r="I11" s="124">
        <f t="shared" si="0"/>
        <v>1.5625</v>
      </c>
    </row>
    <row r="12" spans="1:9" ht="61.5" customHeight="1">
      <c r="A12" s="52">
        <v>8</v>
      </c>
      <c r="B12" s="122" t="s">
        <v>70</v>
      </c>
      <c r="C12" s="122"/>
      <c r="D12" s="123"/>
      <c r="E12" s="123" t="s">
        <v>63</v>
      </c>
      <c r="F12" s="123"/>
      <c r="G12" s="123">
        <v>10</v>
      </c>
      <c r="H12" s="124">
        <f t="shared" si="1"/>
        <v>1.5625</v>
      </c>
      <c r="I12" s="124">
        <f t="shared" si="0"/>
        <v>1.5625</v>
      </c>
    </row>
    <row r="13" spans="1:9" ht="15.75" customHeight="1">
      <c r="A13" s="71" t="s">
        <v>71</v>
      </c>
      <c r="B13" s="72"/>
      <c r="C13" s="72"/>
      <c r="D13" s="72"/>
      <c r="E13" s="72"/>
      <c r="F13" s="72"/>
      <c r="G13" s="72"/>
      <c r="H13" s="28">
        <f>SUM(H5:H12)</f>
        <v>10</v>
      </c>
      <c r="I13" s="20">
        <f>SUM(I5:I12)</f>
        <v>8.4375</v>
      </c>
    </row>
  </sheetData>
  <mergeCells count="16">
    <mergeCell ref="A1:B1"/>
    <mergeCell ref="A2:B2"/>
    <mergeCell ref="C2:I2"/>
    <mergeCell ref="C1:I1"/>
    <mergeCell ref="A13:G13"/>
    <mergeCell ref="A3:B3"/>
    <mergeCell ref="D3:I3"/>
    <mergeCell ref="B4:C4"/>
    <mergeCell ref="B5:C5"/>
    <mergeCell ref="B6:C6"/>
    <mergeCell ref="B7:C7"/>
    <mergeCell ref="B8:C8"/>
    <mergeCell ref="B9:C9"/>
    <mergeCell ref="B10:C10"/>
    <mergeCell ref="B11:C11"/>
    <mergeCell ref="B12:C12"/>
  </mergeCells>
  <pageMargins left="0.7" right="0.7" top="0.75" bottom="0.75" header="0.3" footer="0.3"/>
  <pageSetup orientation="portrait" r:id="rId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718D7-7D2E-4F4A-B3F6-B3E66255850E}">
  <sheetPr>
    <tabColor rgb="FFFFCC66"/>
  </sheetPr>
  <dimension ref="A1:I13"/>
  <sheetViews>
    <sheetView workbookViewId="0">
      <pane xSplit="3" ySplit="4" topLeftCell="D5" activePane="bottomRight" state="frozen"/>
      <selection pane="bottomRight" activeCell="B8" sqref="A1:I13"/>
      <selection pane="bottomLeft" activeCell="A51" sqref="A51:A68"/>
      <selection pane="topRight" activeCell="A51" sqref="A51:A68"/>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339</v>
      </c>
      <c r="D1" s="120"/>
      <c r="E1" s="120"/>
      <c r="F1" s="120"/>
      <c r="G1" s="120"/>
      <c r="H1" s="120"/>
      <c r="I1" s="121"/>
    </row>
    <row r="2" spans="1:9" ht="15">
      <c r="A2" s="70" t="s">
        <v>0</v>
      </c>
      <c r="B2" s="70"/>
      <c r="C2" s="84" t="s">
        <v>496</v>
      </c>
      <c r="D2" s="120"/>
      <c r="E2" s="120"/>
      <c r="F2" s="120"/>
      <c r="G2" s="120"/>
      <c r="H2" s="120"/>
      <c r="I2" s="121"/>
    </row>
    <row r="3" spans="1:9" ht="15">
      <c r="A3" s="70" t="s">
        <v>53</v>
      </c>
      <c r="B3" s="70"/>
      <c r="C3" s="55" t="s">
        <v>230</v>
      </c>
      <c r="D3" s="122">
        <v>340</v>
      </c>
      <c r="E3" s="122"/>
      <c r="F3" s="122"/>
      <c r="G3" s="122"/>
      <c r="H3" s="122"/>
      <c r="I3" s="122"/>
    </row>
    <row r="4" spans="1:9" ht="60">
      <c r="A4" s="52" t="s">
        <v>55</v>
      </c>
      <c r="B4" s="70" t="s">
        <v>56</v>
      </c>
      <c r="C4" s="70"/>
      <c r="D4" s="52" t="s">
        <v>24</v>
      </c>
      <c r="E4" s="52" t="s">
        <v>57</v>
      </c>
      <c r="F4" s="52" t="s">
        <v>58</v>
      </c>
      <c r="G4" s="52" t="s">
        <v>59</v>
      </c>
      <c r="H4" s="52" t="s">
        <v>60</v>
      </c>
      <c r="I4" s="52" t="s">
        <v>61</v>
      </c>
    </row>
    <row r="5" spans="1:9" ht="57.75" customHeight="1">
      <c r="A5" s="52">
        <v>1</v>
      </c>
      <c r="B5" s="122" t="s">
        <v>231</v>
      </c>
      <c r="C5" s="122"/>
      <c r="D5" s="123"/>
      <c r="E5" s="123" t="s">
        <v>63</v>
      </c>
      <c r="F5" s="123"/>
      <c r="G5" s="123">
        <v>6</v>
      </c>
      <c r="H5" s="124">
        <f>(G5*10)/SUM($G$5:$G$12)</f>
        <v>1</v>
      </c>
      <c r="I5" s="125">
        <f>IF(E5="X",((G5*10)/SUM($G$5:$G$12)),0)</f>
        <v>1</v>
      </c>
    </row>
    <row r="6" spans="1:9" ht="47.25" customHeight="1">
      <c r="A6" s="52">
        <v>2</v>
      </c>
      <c r="B6" s="122" t="s">
        <v>232</v>
      </c>
      <c r="C6" s="122"/>
      <c r="D6" s="123"/>
      <c r="E6" s="123" t="s">
        <v>63</v>
      </c>
      <c r="F6" s="123"/>
      <c r="G6" s="123">
        <v>6</v>
      </c>
      <c r="H6" s="124">
        <f t="shared" ref="H6:H12" si="0">(G6*10)/SUM($G$5:$G$12)</f>
        <v>1</v>
      </c>
      <c r="I6" s="125">
        <f t="shared" ref="I6:I12" si="1">IF(E6="X",((G6*10)/SUM($G$5:$G$12)),0)</f>
        <v>1</v>
      </c>
    </row>
    <row r="7" spans="1:9" ht="41.25" customHeight="1">
      <c r="A7" s="52">
        <v>3</v>
      </c>
      <c r="B7" s="122" t="s">
        <v>233</v>
      </c>
      <c r="C7" s="122"/>
      <c r="D7" s="123"/>
      <c r="E7" s="123" t="s">
        <v>63</v>
      </c>
      <c r="F7" s="123"/>
      <c r="G7" s="123">
        <v>2</v>
      </c>
      <c r="H7" s="124">
        <f t="shared" si="0"/>
        <v>0.33333333333333331</v>
      </c>
      <c r="I7" s="125">
        <f t="shared" si="1"/>
        <v>0.33333333333333331</v>
      </c>
    </row>
    <row r="8" spans="1:9" ht="74.25" customHeight="1">
      <c r="A8" s="52">
        <v>4</v>
      </c>
      <c r="B8" s="122" t="s">
        <v>234</v>
      </c>
      <c r="C8" s="122"/>
      <c r="D8" s="123"/>
      <c r="E8" s="123" t="s">
        <v>63</v>
      </c>
      <c r="F8" s="123"/>
      <c r="G8" s="123">
        <v>6</v>
      </c>
      <c r="H8" s="124">
        <f t="shared" si="0"/>
        <v>1</v>
      </c>
      <c r="I8" s="125">
        <f t="shared" si="1"/>
        <v>1</v>
      </c>
    </row>
    <row r="9" spans="1:9" ht="45" customHeight="1">
      <c r="A9" s="52">
        <v>5</v>
      </c>
      <c r="B9" s="122" t="s">
        <v>235</v>
      </c>
      <c r="C9" s="122"/>
      <c r="D9" s="123"/>
      <c r="E9" s="123" t="s">
        <v>63</v>
      </c>
      <c r="F9" s="123"/>
      <c r="G9" s="123">
        <v>10</v>
      </c>
      <c r="H9" s="124">
        <f t="shared" si="0"/>
        <v>1.6666666666666667</v>
      </c>
      <c r="I9" s="125">
        <f t="shared" si="1"/>
        <v>1.6666666666666667</v>
      </c>
    </row>
    <row r="10" spans="1:9" ht="47.25" customHeight="1">
      <c r="A10" s="52">
        <v>6</v>
      </c>
      <c r="B10" s="122" t="s">
        <v>236</v>
      </c>
      <c r="C10" s="122"/>
      <c r="D10" s="123"/>
      <c r="E10" s="123" t="s">
        <v>63</v>
      </c>
      <c r="F10" s="123"/>
      <c r="G10" s="123">
        <v>10</v>
      </c>
      <c r="H10" s="124">
        <f t="shared" si="0"/>
        <v>1.6666666666666667</v>
      </c>
      <c r="I10" s="125">
        <f t="shared" si="1"/>
        <v>1.6666666666666667</v>
      </c>
    </row>
    <row r="11" spans="1:9" ht="60" customHeight="1">
      <c r="A11" s="52">
        <v>7</v>
      </c>
      <c r="B11" s="122" t="s">
        <v>237</v>
      </c>
      <c r="C11" s="122"/>
      <c r="D11" s="123"/>
      <c r="E11" s="123" t="s">
        <v>63</v>
      </c>
      <c r="F11" s="123"/>
      <c r="G11" s="123">
        <v>10</v>
      </c>
      <c r="H11" s="124">
        <f t="shared" si="0"/>
        <v>1.6666666666666667</v>
      </c>
      <c r="I11" s="125">
        <f t="shared" si="1"/>
        <v>1.6666666666666667</v>
      </c>
    </row>
    <row r="12" spans="1:9" ht="63" customHeight="1">
      <c r="A12" s="52">
        <v>8</v>
      </c>
      <c r="B12" s="122" t="s">
        <v>238</v>
      </c>
      <c r="C12" s="122"/>
      <c r="D12" s="123"/>
      <c r="E12" s="123" t="s">
        <v>63</v>
      </c>
      <c r="F12" s="123"/>
      <c r="G12" s="123">
        <v>10</v>
      </c>
      <c r="H12" s="124">
        <f t="shared" si="0"/>
        <v>1.6666666666666667</v>
      </c>
      <c r="I12" s="125">
        <f t="shared" si="1"/>
        <v>1.6666666666666667</v>
      </c>
    </row>
    <row r="13" spans="1:9" ht="15.75" customHeight="1">
      <c r="A13" s="83" t="s">
        <v>71</v>
      </c>
      <c r="B13" s="83"/>
      <c r="C13" s="83"/>
      <c r="D13" s="83"/>
      <c r="E13" s="83"/>
      <c r="F13" s="83"/>
      <c r="G13" s="83"/>
      <c r="H13" s="28">
        <f>SUM(H5:H12)</f>
        <v>10</v>
      </c>
      <c r="I13" s="20">
        <f>SUM(I5:I12)</f>
        <v>10</v>
      </c>
    </row>
  </sheetData>
  <mergeCells count="16">
    <mergeCell ref="A1:B1"/>
    <mergeCell ref="A2:B2"/>
    <mergeCell ref="C2:I2"/>
    <mergeCell ref="C1:I1"/>
    <mergeCell ref="A13:G13"/>
    <mergeCell ref="A3:B3"/>
    <mergeCell ref="D3:I3"/>
    <mergeCell ref="B4:C4"/>
    <mergeCell ref="B5:C5"/>
    <mergeCell ref="B6:C6"/>
    <mergeCell ref="B7:C7"/>
    <mergeCell ref="B8:C8"/>
    <mergeCell ref="B9:C9"/>
    <mergeCell ref="B10:C10"/>
    <mergeCell ref="B11:C11"/>
    <mergeCell ref="B12:C12"/>
  </mergeCells>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F0964-4DD1-41BF-8D48-C61C0301220C}">
  <sheetPr>
    <tabColor rgb="FFFFCC66"/>
  </sheetPr>
  <dimension ref="A1:I19"/>
  <sheetViews>
    <sheetView workbookViewId="0">
      <pane xSplit="3" ySplit="4" topLeftCell="D5" activePane="bottomRight" state="frozen"/>
      <selection pane="bottomRight" activeCell="B7" sqref="A1:I19"/>
      <selection pane="bottomLeft" activeCell="A51" sqref="A51:A68"/>
      <selection pane="topRight" activeCell="A51" sqref="A51:A68"/>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339</v>
      </c>
      <c r="D1" s="120"/>
      <c r="E1" s="120"/>
      <c r="F1" s="120"/>
      <c r="G1" s="120"/>
      <c r="H1" s="120"/>
      <c r="I1" s="121"/>
    </row>
    <row r="2" spans="1:9" ht="15">
      <c r="A2" s="70" t="s">
        <v>0</v>
      </c>
      <c r="B2" s="70"/>
      <c r="C2" s="84" t="s">
        <v>496</v>
      </c>
      <c r="D2" s="120"/>
      <c r="E2" s="120"/>
      <c r="F2" s="120"/>
      <c r="G2" s="120"/>
      <c r="H2" s="120"/>
      <c r="I2" s="121"/>
    </row>
    <row r="3" spans="1:9" ht="30">
      <c r="A3" s="70" t="s">
        <v>270</v>
      </c>
      <c r="B3" s="70"/>
      <c r="C3" s="55" t="s">
        <v>470</v>
      </c>
      <c r="D3" s="122">
        <v>360</v>
      </c>
      <c r="E3" s="122"/>
      <c r="F3" s="122"/>
      <c r="G3" s="122"/>
      <c r="H3" s="122"/>
      <c r="I3" s="122"/>
    </row>
    <row r="4" spans="1:9" ht="60">
      <c r="A4" s="52" t="s">
        <v>55</v>
      </c>
      <c r="B4" s="70" t="s">
        <v>56</v>
      </c>
      <c r="C4" s="70"/>
      <c r="D4" s="52" t="s">
        <v>24</v>
      </c>
      <c r="E4" s="52" t="s">
        <v>57</v>
      </c>
      <c r="F4" s="52" t="s">
        <v>58</v>
      </c>
      <c r="G4" s="52" t="s">
        <v>59</v>
      </c>
      <c r="H4" s="52" t="s">
        <v>60</v>
      </c>
      <c r="I4" s="52" t="s">
        <v>61</v>
      </c>
    </row>
    <row r="5" spans="1:9" ht="48" customHeight="1">
      <c r="A5" s="52">
        <v>1</v>
      </c>
      <c r="B5" s="122" t="s">
        <v>471</v>
      </c>
      <c r="C5" s="122"/>
      <c r="D5" s="123"/>
      <c r="E5" s="123" t="s">
        <v>63</v>
      </c>
      <c r="F5" s="123"/>
      <c r="G5" s="27">
        <v>10</v>
      </c>
      <c r="H5" s="34">
        <f t="shared" ref="H5:H18" si="0">(G5*10)/SUM($G$5:$G$18)</f>
        <v>0.96153846153846156</v>
      </c>
      <c r="I5" s="125">
        <f>IF(E5="X",((G5*10)/SUM($G$5:$G$18)),0)</f>
        <v>0.96153846153846156</v>
      </c>
    </row>
    <row r="6" spans="1:9" ht="71.25" customHeight="1">
      <c r="A6" s="52">
        <v>2</v>
      </c>
      <c r="B6" s="122" t="s">
        <v>472</v>
      </c>
      <c r="C6" s="122"/>
      <c r="D6" s="123"/>
      <c r="E6" s="123" t="s">
        <v>63</v>
      </c>
      <c r="F6" s="123"/>
      <c r="G6" s="27">
        <v>10</v>
      </c>
      <c r="H6" s="34">
        <f t="shared" si="0"/>
        <v>0.96153846153846156</v>
      </c>
      <c r="I6" s="125">
        <f t="shared" ref="I6:I18" si="1">IF(E6="X",((G6*10)/SUM($G$5:$G$18)),0)</f>
        <v>0.96153846153846156</v>
      </c>
    </row>
    <row r="7" spans="1:9" ht="71.25" customHeight="1">
      <c r="A7" s="52">
        <v>3</v>
      </c>
      <c r="B7" s="122" t="s">
        <v>473</v>
      </c>
      <c r="C7" s="122"/>
      <c r="D7" s="123"/>
      <c r="E7" s="123" t="s">
        <v>63</v>
      </c>
      <c r="F7" s="123"/>
      <c r="G7" s="27">
        <v>10</v>
      </c>
      <c r="H7" s="34">
        <f t="shared" si="0"/>
        <v>0.96153846153846156</v>
      </c>
      <c r="I7" s="125">
        <f t="shared" si="1"/>
        <v>0.96153846153846156</v>
      </c>
    </row>
    <row r="8" spans="1:9" ht="48.75" customHeight="1">
      <c r="A8" s="52">
        <v>4</v>
      </c>
      <c r="B8" s="122" t="s">
        <v>474</v>
      </c>
      <c r="C8" s="122"/>
      <c r="D8" s="123"/>
      <c r="E8" s="123" t="s">
        <v>63</v>
      </c>
      <c r="F8" s="123"/>
      <c r="G8" s="27">
        <v>10</v>
      </c>
      <c r="H8" s="34">
        <f t="shared" si="0"/>
        <v>0.96153846153846156</v>
      </c>
      <c r="I8" s="125">
        <f t="shared" si="1"/>
        <v>0.96153846153846156</v>
      </c>
    </row>
    <row r="9" spans="1:9" ht="42.75" customHeight="1">
      <c r="A9" s="52">
        <v>5</v>
      </c>
      <c r="B9" s="122" t="s">
        <v>475</v>
      </c>
      <c r="C9" s="122"/>
      <c r="D9" s="123" t="s">
        <v>63</v>
      </c>
      <c r="E9" s="123"/>
      <c r="F9" s="123"/>
      <c r="G9" s="27">
        <v>10</v>
      </c>
      <c r="H9" s="34">
        <f t="shared" si="0"/>
        <v>0.96153846153846156</v>
      </c>
      <c r="I9" s="125">
        <f t="shared" si="1"/>
        <v>0</v>
      </c>
    </row>
    <row r="10" spans="1:9" ht="57" customHeight="1">
      <c r="A10" s="52">
        <v>6</v>
      </c>
      <c r="B10" s="122" t="s">
        <v>476</v>
      </c>
      <c r="C10" s="122"/>
      <c r="D10" s="123"/>
      <c r="E10" s="123" t="s">
        <v>63</v>
      </c>
      <c r="F10" s="123"/>
      <c r="G10" s="27">
        <v>6</v>
      </c>
      <c r="H10" s="34">
        <f t="shared" si="0"/>
        <v>0.57692307692307687</v>
      </c>
      <c r="I10" s="125">
        <f t="shared" si="1"/>
        <v>0.57692307692307687</v>
      </c>
    </row>
    <row r="11" spans="1:9" ht="42.75" customHeight="1">
      <c r="A11" s="52">
        <v>7</v>
      </c>
      <c r="B11" s="122" t="s">
        <v>477</v>
      </c>
      <c r="C11" s="122"/>
      <c r="D11" s="123"/>
      <c r="E11" s="123" t="s">
        <v>63</v>
      </c>
      <c r="F11" s="123"/>
      <c r="G11" s="27">
        <v>6</v>
      </c>
      <c r="H11" s="34">
        <f t="shared" si="0"/>
        <v>0.57692307692307687</v>
      </c>
      <c r="I11" s="125">
        <f t="shared" si="1"/>
        <v>0.57692307692307687</v>
      </c>
    </row>
    <row r="12" spans="1:9" ht="42.75" customHeight="1">
      <c r="A12" s="52">
        <v>8</v>
      </c>
      <c r="B12" s="122" t="s">
        <v>478</v>
      </c>
      <c r="C12" s="122"/>
      <c r="D12" s="123"/>
      <c r="E12" s="123" t="s">
        <v>63</v>
      </c>
      <c r="F12" s="123"/>
      <c r="G12" s="27">
        <v>2</v>
      </c>
      <c r="H12" s="34">
        <f t="shared" si="0"/>
        <v>0.19230769230769232</v>
      </c>
      <c r="I12" s="125">
        <f t="shared" si="1"/>
        <v>0.19230769230769232</v>
      </c>
    </row>
    <row r="13" spans="1:9" ht="72" customHeight="1">
      <c r="A13" s="52">
        <v>9</v>
      </c>
      <c r="B13" s="122" t="s">
        <v>497</v>
      </c>
      <c r="C13" s="122"/>
      <c r="D13" s="123"/>
      <c r="E13" s="123" t="s">
        <v>63</v>
      </c>
      <c r="F13" s="123"/>
      <c r="G13" s="27">
        <v>6</v>
      </c>
      <c r="H13" s="34">
        <f t="shared" si="0"/>
        <v>0.57692307692307687</v>
      </c>
      <c r="I13" s="125">
        <f t="shared" si="1"/>
        <v>0.57692307692307687</v>
      </c>
    </row>
    <row r="14" spans="1:9" ht="42.75" customHeight="1">
      <c r="A14" s="52">
        <v>10</v>
      </c>
      <c r="B14" s="122" t="s">
        <v>480</v>
      </c>
      <c r="C14" s="122"/>
      <c r="D14" s="123"/>
      <c r="E14" s="123" t="s">
        <v>63</v>
      </c>
      <c r="F14" s="123"/>
      <c r="G14" s="27">
        <v>6</v>
      </c>
      <c r="H14" s="34">
        <f t="shared" si="0"/>
        <v>0.57692307692307687</v>
      </c>
      <c r="I14" s="125">
        <f t="shared" si="1"/>
        <v>0.57692307692307687</v>
      </c>
    </row>
    <row r="15" spans="1:9" ht="33" customHeight="1">
      <c r="A15" s="52">
        <v>11</v>
      </c>
      <c r="B15" s="122" t="s">
        <v>481</v>
      </c>
      <c r="C15" s="122"/>
      <c r="D15" s="123"/>
      <c r="E15" s="123" t="s">
        <v>63</v>
      </c>
      <c r="F15" s="123"/>
      <c r="G15" s="27">
        <v>6</v>
      </c>
      <c r="H15" s="34">
        <f t="shared" si="0"/>
        <v>0.57692307692307687</v>
      </c>
      <c r="I15" s="125">
        <f t="shared" si="1"/>
        <v>0.57692307692307687</v>
      </c>
    </row>
    <row r="16" spans="1:9" ht="57" customHeight="1">
      <c r="A16" s="52">
        <v>12</v>
      </c>
      <c r="B16" s="122" t="s">
        <v>482</v>
      </c>
      <c r="C16" s="122"/>
      <c r="D16" s="123"/>
      <c r="E16" s="123" t="s">
        <v>63</v>
      </c>
      <c r="F16" s="123"/>
      <c r="G16" s="27">
        <v>10</v>
      </c>
      <c r="H16" s="34">
        <f t="shared" si="0"/>
        <v>0.96153846153846156</v>
      </c>
      <c r="I16" s="125">
        <f t="shared" si="1"/>
        <v>0.96153846153846156</v>
      </c>
    </row>
    <row r="17" spans="1:9" ht="48.75" customHeight="1">
      <c r="A17" s="52">
        <v>13</v>
      </c>
      <c r="B17" s="122" t="s">
        <v>483</v>
      </c>
      <c r="C17" s="122"/>
      <c r="D17" s="123" t="s">
        <v>63</v>
      </c>
      <c r="E17" s="123"/>
      <c r="F17" s="123"/>
      <c r="G17" s="27">
        <v>6</v>
      </c>
      <c r="H17" s="34">
        <f t="shared" si="0"/>
        <v>0.57692307692307687</v>
      </c>
      <c r="I17" s="125">
        <f t="shared" si="1"/>
        <v>0</v>
      </c>
    </row>
    <row r="18" spans="1:9" ht="57" customHeight="1">
      <c r="A18" s="52">
        <v>14</v>
      </c>
      <c r="B18" s="122" t="s">
        <v>484</v>
      </c>
      <c r="C18" s="122"/>
      <c r="D18" s="123" t="s">
        <v>63</v>
      </c>
      <c r="E18" s="123"/>
      <c r="F18" s="123"/>
      <c r="G18" s="27">
        <v>6</v>
      </c>
      <c r="H18" s="34">
        <f t="shared" si="0"/>
        <v>0.57692307692307687</v>
      </c>
      <c r="I18" s="125">
        <f t="shared" si="1"/>
        <v>0</v>
      </c>
    </row>
    <row r="19" spans="1:9" ht="15">
      <c r="A19" s="70" t="s">
        <v>71</v>
      </c>
      <c r="B19" s="70"/>
      <c r="C19" s="70"/>
      <c r="D19" s="70"/>
      <c r="E19" s="70"/>
      <c r="F19" s="70"/>
      <c r="G19" s="70"/>
      <c r="H19" s="35">
        <f>SUM(H5:H18)</f>
        <v>9.9999999999999982</v>
      </c>
      <c r="I19" s="19">
        <f>SUM(I5:I18)</f>
        <v>7.8846153846153841</v>
      </c>
    </row>
  </sheetData>
  <mergeCells count="22">
    <mergeCell ref="A19:G19"/>
    <mergeCell ref="B8:C8"/>
    <mergeCell ref="B9:C9"/>
    <mergeCell ref="B10:C10"/>
    <mergeCell ref="B11:C11"/>
    <mergeCell ref="B12:C12"/>
    <mergeCell ref="B13:C13"/>
    <mergeCell ref="B14:C14"/>
    <mergeCell ref="B15:C15"/>
    <mergeCell ref="B16:C16"/>
    <mergeCell ref="B17:C17"/>
    <mergeCell ref="B18:C18"/>
    <mergeCell ref="A1:B1"/>
    <mergeCell ref="A2:B2"/>
    <mergeCell ref="C2:I2"/>
    <mergeCell ref="C1:I1"/>
    <mergeCell ref="B7:C7"/>
    <mergeCell ref="A3:B3"/>
    <mergeCell ref="D3:I3"/>
    <mergeCell ref="B4:C4"/>
    <mergeCell ref="B5:C5"/>
    <mergeCell ref="B6:C6"/>
  </mergeCells>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CABE3-AA26-4519-A95A-4873F3124F47}">
  <sheetPr>
    <tabColor rgb="FFFFCC66"/>
  </sheetPr>
  <dimension ref="A1:I12"/>
  <sheetViews>
    <sheetView workbookViewId="0">
      <pane xSplit="3" ySplit="4" topLeftCell="D5" activePane="bottomRight" state="frozen"/>
      <selection pane="bottomRight" activeCell="B8" sqref="A1:I12"/>
      <selection pane="bottomLeft" activeCell="A51" sqref="A51:A68"/>
      <selection pane="topRight" activeCell="A51" sqref="A51:A68"/>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339</v>
      </c>
      <c r="D1" s="120"/>
      <c r="E1" s="120"/>
      <c r="F1" s="120"/>
      <c r="G1" s="120"/>
      <c r="H1" s="120"/>
      <c r="I1" s="121"/>
    </row>
    <row r="2" spans="1:9" ht="15">
      <c r="A2" s="70" t="s">
        <v>0</v>
      </c>
      <c r="B2" s="70"/>
      <c r="C2" s="84" t="s">
        <v>496</v>
      </c>
      <c r="D2" s="120"/>
      <c r="E2" s="120"/>
      <c r="F2" s="120"/>
      <c r="G2" s="120"/>
      <c r="H2" s="120"/>
      <c r="I2" s="121"/>
    </row>
    <row r="3" spans="1:9" ht="15">
      <c r="A3" s="70" t="s">
        <v>72</v>
      </c>
      <c r="B3" s="70"/>
      <c r="C3" s="55" t="s">
        <v>73</v>
      </c>
      <c r="D3" s="122">
        <v>380</v>
      </c>
      <c r="E3" s="122"/>
      <c r="F3" s="122"/>
      <c r="G3" s="122"/>
      <c r="H3" s="122"/>
      <c r="I3" s="122"/>
    </row>
    <row r="4" spans="1:9" ht="60">
      <c r="A4" s="52" t="s">
        <v>55</v>
      </c>
      <c r="B4" s="70" t="s">
        <v>56</v>
      </c>
      <c r="C4" s="70"/>
      <c r="D4" s="52" t="s">
        <v>24</v>
      </c>
      <c r="E4" s="52" t="s">
        <v>57</v>
      </c>
      <c r="F4" s="52" t="s">
        <v>58</v>
      </c>
      <c r="G4" s="52" t="s">
        <v>59</v>
      </c>
      <c r="H4" s="52" t="s">
        <v>60</v>
      </c>
      <c r="I4" s="52" t="s">
        <v>61</v>
      </c>
    </row>
    <row r="5" spans="1:9" ht="63" customHeight="1">
      <c r="A5" s="52">
        <v>1</v>
      </c>
      <c r="B5" s="122" t="s">
        <v>74</v>
      </c>
      <c r="C5" s="122"/>
      <c r="D5" s="123" t="s">
        <v>63</v>
      </c>
      <c r="E5" s="123"/>
      <c r="F5" s="123"/>
      <c r="G5" s="123">
        <v>2</v>
      </c>
      <c r="H5" s="124">
        <f>(G5*10)/SUM($G$5:$G$11)</f>
        <v>0.52631578947368418</v>
      </c>
      <c r="I5" s="125">
        <f>IF(E5="X",((G5*10)/SUM($G$5:$G$11)),0)</f>
        <v>0</v>
      </c>
    </row>
    <row r="6" spans="1:9" ht="69" customHeight="1">
      <c r="A6" s="52">
        <v>2</v>
      </c>
      <c r="B6" s="122" t="s">
        <v>75</v>
      </c>
      <c r="C6" s="122"/>
      <c r="D6" s="123" t="s">
        <v>63</v>
      </c>
      <c r="E6" s="123"/>
      <c r="F6" s="123"/>
      <c r="G6" s="123">
        <v>6</v>
      </c>
      <c r="H6" s="124">
        <f t="shared" ref="H6:H11" si="0">(G6*10)/SUM($G$5:$G$11)</f>
        <v>1.5789473684210527</v>
      </c>
      <c r="I6" s="125">
        <f t="shared" ref="I6:I11" si="1">IF(E6="X",((G6*10)/SUM($G$5:$G$11)),0)</f>
        <v>0</v>
      </c>
    </row>
    <row r="7" spans="1:9" ht="31.5" customHeight="1">
      <c r="A7" s="52">
        <v>3</v>
      </c>
      <c r="B7" s="122" t="s">
        <v>76</v>
      </c>
      <c r="C7" s="122"/>
      <c r="D7" s="123"/>
      <c r="E7" s="123" t="s">
        <v>63</v>
      </c>
      <c r="F7" s="123"/>
      <c r="G7" s="123">
        <v>10</v>
      </c>
      <c r="H7" s="124">
        <f t="shared" si="0"/>
        <v>2.6315789473684212</v>
      </c>
      <c r="I7" s="125">
        <f t="shared" si="1"/>
        <v>2.6315789473684212</v>
      </c>
    </row>
    <row r="8" spans="1:9" ht="47.25" customHeight="1">
      <c r="A8" s="52">
        <v>4</v>
      </c>
      <c r="B8" s="122" t="s">
        <v>77</v>
      </c>
      <c r="C8" s="122"/>
      <c r="D8" s="123"/>
      <c r="E8" s="123" t="s">
        <v>63</v>
      </c>
      <c r="F8" s="123"/>
      <c r="G8" s="123">
        <v>10</v>
      </c>
      <c r="H8" s="124">
        <f t="shared" si="0"/>
        <v>2.6315789473684212</v>
      </c>
      <c r="I8" s="125">
        <f t="shared" si="1"/>
        <v>2.6315789473684212</v>
      </c>
    </row>
    <row r="9" spans="1:9" ht="47.25" customHeight="1">
      <c r="A9" s="52">
        <v>5</v>
      </c>
      <c r="B9" s="122" t="s">
        <v>78</v>
      </c>
      <c r="C9" s="122"/>
      <c r="D9" s="123"/>
      <c r="E9" s="123" t="s">
        <v>63</v>
      </c>
      <c r="F9" s="123"/>
      <c r="G9" s="123">
        <v>6</v>
      </c>
      <c r="H9" s="124">
        <f t="shared" si="0"/>
        <v>1.5789473684210527</v>
      </c>
      <c r="I9" s="125">
        <f t="shared" si="1"/>
        <v>1.5789473684210527</v>
      </c>
    </row>
    <row r="10" spans="1:9" ht="35.25" customHeight="1">
      <c r="A10" s="52">
        <v>6</v>
      </c>
      <c r="B10" s="122" t="s">
        <v>79</v>
      </c>
      <c r="C10" s="122"/>
      <c r="D10" s="123" t="s">
        <v>63</v>
      </c>
      <c r="E10" s="123"/>
      <c r="F10" s="123"/>
      <c r="G10" s="123">
        <v>2</v>
      </c>
      <c r="H10" s="124">
        <f t="shared" si="0"/>
        <v>0.52631578947368418</v>
      </c>
      <c r="I10" s="125">
        <f t="shared" si="1"/>
        <v>0</v>
      </c>
    </row>
    <row r="11" spans="1:9" ht="44.25" customHeight="1">
      <c r="A11" s="52">
        <v>7</v>
      </c>
      <c r="B11" s="122" t="s">
        <v>80</v>
      </c>
      <c r="C11" s="122"/>
      <c r="D11" s="123" t="s">
        <v>63</v>
      </c>
      <c r="E11" s="123"/>
      <c r="F11" s="123"/>
      <c r="G11" s="123">
        <v>2</v>
      </c>
      <c r="H11" s="124">
        <f t="shared" si="0"/>
        <v>0.52631578947368418</v>
      </c>
      <c r="I11" s="125">
        <f t="shared" si="1"/>
        <v>0</v>
      </c>
    </row>
    <row r="12" spans="1:9" ht="15.75" customHeight="1">
      <c r="A12" s="71" t="s">
        <v>71</v>
      </c>
      <c r="B12" s="72"/>
      <c r="C12" s="72"/>
      <c r="D12" s="72"/>
      <c r="E12" s="72"/>
      <c r="F12" s="72"/>
      <c r="G12" s="72"/>
      <c r="H12" s="28">
        <f>SUM(H5:H11)</f>
        <v>10.000000000000002</v>
      </c>
      <c r="I12" s="20">
        <f>SUM(I5:I11)</f>
        <v>6.8421052631578956</v>
      </c>
    </row>
  </sheetData>
  <mergeCells count="15">
    <mergeCell ref="B8:C8"/>
    <mergeCell ref="B9:C9"/>
    <mergeCell ref="B10:C10"/>
    <mergeCell ref="B11:C11"/>
    <mergeCell ref="A12:G12"/>
    <mergeCell ref="A1:B1"/>
    <mergeCell ref="A2:B2"/>
    <mergeCell ref="C2:I2"/>
    <mergeCell ref="C1:I1"/>
    <mergeCell ref="B7:C7"/>
    <mergeCell ref="A3:B3"/>
    <mergeCell ref="D3:I3"/>
    <mergeCell ref="B4:C4"/>
    <mergeCell ref="B5:C5"/>
    <mergeCell ref="B6:C6"/>
  </mergeCells>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E1DDE-EB4A-4780-A1EF-CDCDA50E4638}">
  <sheetPr>
    <tabColor rgb="FFFFCC66"/>
  </sheetPr>
  <dimension ref="A1:J14"/>
  <sheetViews>
    <sheetView workbookViewId="0">
      <pane xSplit="4" ySplit="4" topLeftCell="E5" activePane="bottomRight" state="frozen"/>
      <selection pane="bottomRight" activeCell="B9" sqref="A1:J14"/>
      <selection pane="bottomLeft" activeCell="A3" sqref="A3:A15"/>
      <selection pane="topRight" activeCell="A3" sqref="A3:A15"/>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339</v>
      </c>
      <c r="D1" s="74"/>
      <c r="E1" s="74"/>
      <c r="F1" s="74"/>
      <c r="G1" s="74"/>
      <c r="H1" s="74"/>
      <c r="I1" s="74"/>
      <c r="J1" s="75"/>
    </row>
    <row r="2" spans="1:10" ht="15">
      <c r="A2" s="70" t="s">
        <v>0</v>
      </c>
      <c r="B2" s="70"/>
      <c r="C2" s="73" t="s">
        <v>496</v>
      </c>
      <c r="D2" s="74"/>
      <c r="E2" s="74"/>
      <c r="F2" s="74"/>
      <c r="G2" s="74"/>
      <c r="H2" s="74"/>
      <c r="I2" s="74"/>
      <c r="J2" s="75"/>
    </row>
    <row r="3" spans="1:10" ht="45">
      <c r="A3" s="70" t="s">
        <v>81</v>
      </c>
      <c r="B3" s="70"/>
      <c r="C3" s="18" t="s">
        <v>82</v>
      </c>
      <c r="D3" s="55" t="s">
        <v>83</v>
      </c>
      <c r="E3" s="122">
        <v>570</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34.5" customHeight="1">
      <c r="A5" s="52">
        <v>1</v>
      </c>
      <c r="B5" s="122" t="s">
        <v>84</v>
      </c>
      <c r="C5" s="122"/>
      <c r="D5" s="122"/>
      <c r="E5" s="123"/>
      <c r="F5" s="123" t="s">
        <v>63</v>
      </c>
      <c r="G5" s="123"/>
      <c r="H5" s="123">
        <v>10</v>
      </c>
      <c r="I5" s="124">
        <f>(H5*10)/SUM($H$5:$H$13)</f>
        <v>1.3513513513513513</v>
      </c>
      <c r="J5" s="125">
        <f>IF(F5="X",((H5*10)/SUM($H$5:$H$13)),0)</f>
        <v>1.3513513513513513</v>
      </c>
    </row>
    <row r="6" spans="1:10" ht="21" customHeight="1">
      <c r="A6" s="52">
        <v>2</v>
      </c>
      <c r="B6" s="122" t="s">
        <v>85</v>
      </c>
      <c r="C6" s="122"/>
      <c r="D6" s="122"/>
      <c r="E6" s="123"/>
      <c r="F6" s="123" t="s">
        <v>63</v>
      </c>
      <c r="G6" s="123"/>
      <c r="H6" s="123">
        <v>10</v>
      </c>
      <c r="I6" s="124">
        <f t="shared" ref="I6:I13" si="0">(H6*10)/SUM($H$5:$H$13)</f>
        <v>1.3513513513513513</v>
      </c>
      <c r="J6" s="125">
        <f t="shared" ref="J6:J13" si="1">IF(F6="X",((H6*10)/SUM($H$5:$H$13)),0)</f>
        <v>1.3513513513513513</v>
      </c>
    </row>
    <row r="7" spans="1:10" ht="33" customHeight="1">
      <c r="A7" s="52">
        <v>3</v>
      </c>
      <c r="B7" s="122" t="s">
        <v>86</v>
      </c>
      <c r="C7" s="122"/>
      <c r="D7" s="122"/>
      <c r="E7" s="123" t="s">
        <v>63</v>
      </c>
      <c r="F7" s="123"/>
      <c r="G7" s="123"/>
      <c r="H7" s="123">
        <v>6</v>
      </c>
      <c r="I7" s="124">
        <f t="shared" si="0"/>
        <v>0.81081081081081086</v>
      </c>
      <c r="J7" s="125">
        <f t="shared" si="1"/>
        <v>0</v>
      </c>
    </row>
    <row r="8" spans="1:10" ht="60" customHeight="1">
      <c r="A8" s="52">
        <v>4</v>
      </c>
      <c r="B8" s="122" t="s">
        <v>87</v>
      </c>
      <c r="C8" s="122"/>
      <c r="D8" s="122"/>
      <c r="E8" s="123"/>
      <c r="F8" s="123" t="s">
        <v>63</v>
      </c>
      <c r="G8" s="123"/>
      <c r="H8" s="123">
        <v>10</v>
      </c>
      <c r="I8" s="124">
        <f t="shared" si="0"/>
        <v>1.3513513513513513</v>
      </c>
      <c r="J8" s="125">
        <f t="shared" si="1"/>
        <v>1.3513513513513513</v>
      </c>
    </row>
    <row r="9" spans="1:10" ht="33" customHeight="1">
      <c r="A9" s="52">
        <v>5</v>
      </c>
      <c r="B9" s="122" t="s">
        <v>88</v>
      </c>
      <c r="C9" s="122"/>
      <c r="D9" s="122"/>
      <c r="E9" s="123"/>
      <c r="F9" s="123" t="s">
        <v>63</v>
      </c>
      <c r="G9" s="123"/>
      <c r="H9" s="123">
        <v>6</v>
      </c>
      <c r="I9" s="124">
        <f t="shared" si="0"/>
        <v>0.81081081081081086</v>
      </c>
      <c r="J9" s="125">
        <f t="shared" si="1"/>
        <v>0.81081081081081086</v>
      </c>
    </row>
    <row r="10" spans="1:10" ht="34.5" customHeight="1">
      <c r="A10" s="52">
        <v>6</v>
      </c>
      <c r="B10" s="122" t="s">
        <v>89</v>
      </c>
      <c r="C10" s="122"/>
      <c r="D10" s="122"/>
      <c r="E10" s="123"/>
      <c r="F10" s="123" t="s">
        <v>63</v>
      </c>
      <c r="G10" s="123"/>
      <c r="H10" s="123">
        <v>6</v>
      </c>
      <c r="I10" s="124">
        <f t="shared" si="0"/>
        <v>0.81081081081081086</v>
      </c>
      <c r="J10" s="125">
        <f t="shared" si="1"/>
        <v>0.81081081081081086</v>
      </c>
    </row>
    <row r="11" spans="1:10" ht="74.25" customHeight="1">
      <c r="A11" s="52">
        <v>7</v>
      </c>
      <c r="B11" s="122" t="s">
        <v>90</v>
      </c>
      <c r="C11" s="122"/>
      <c r="D11" s="122"/>
      <c r="E11" s="123" t="s">
        <v>63</v>
      </c>
      <c r="F11" s="123"/>
      <c r="G11" s="123"/>
      <c r="H11" s="123">
        <v>10</v>
      </c>
      <c r="I11" s="124">
        <f t="shared" si="0"/>
        <v>1.3513513513513513</v>
      </c>
      <c r="J11" s="125">
        <f>IF(F11="X",((H11*10)/SUM($H$5:$H$13)),0)</f>
        <v>0</v>
      </c>
    </row>
    <row r="12" spans="1:10" ht="32.25" customHeight="1">
      <c r="A12" s="52">
        <v>8</v>
      </c>
      <c r="B12" s="122" t="s">
        <v>91</v>
      </c>
      <c r="C12" s="122"/>
      <c r="D12" s="122"/>
      <c r="E12" s="123"/>
      <c r="F12" s="123" t="s">
        <v>63</v>
      </c>
      <c r="G12" s="123"/>
      <c r="H12" s="123">
        <v>10</v>
      </c>
      <c r="I12" s="124">
        <f t="shared" si="0"/>
        <v>1.3513513513513513</v>
      </c>
      <c r="J12" s="125">
        <f t="shared" si="1"/>
        <v>1.3513513513513513</v>
      </c>
    </row>
    <row r="13" spans="1:10" ht="51" customHeight="1">
      <c r="A13" s="52">
        <v>9</v>
      </c>
      <c r="B13" s="122" t="s">
        <v>92</v>
      </c>
      <c r="C13" s="122"/>
      <c r="D13" s="122"/>
      <c r="E13" s="123" t="s">
        <v>63</v>
      </c>
      <c r="F13" s="123"/>
      <c r="G13" s="123"/>
      <c r="H13" s="123">
        <v>6</v>
      </c>
      <c r="I13" s="124">
        <f t="shared" si="0"/>
        <v>0.81081081081081086</v>
      </c>
      <c r="J13" s="125">
        <f t="shared" si="1"/>
        <v>0</v>
      </c>
    </row>
    <row r="14" spans="1:10" ht="15" customHeight="1">
      <c r="A14" s="71" t="s">
        <v>71</v>
      </c>
      <c r="B14" s="72"/>
      <c r="C14" s="72"/>
      <c r="D14" s="72"/>
      <c r="E14" s="72"/>
      <c r="F14" s="72"/>
      <c r="G14" s="72"/>
      <c r="H14" s="72"/>
      <c r="I14" s="28">
        <f>SUM(I5:I13)</f>
        <v>9.9999999999999982</v>
      </c>
      <c r="J14" s="19">
        <f>SUM(J5:J13)</f>
        <v>7.0270270270270263</v>
      </c>
    </row>
  </sheetData>
  <mergeCells count="17">
    <mergeCell ref="A14:H14"/>
    <mergeCell ref="B8:D8"/>
    <mergeCell ref="B9:D9"/>
    <mergeCell ref="B10:D10"/>
    <mergeCell ref="B11:D11"/>
    <mergeCell ref="B12:D12"/>
    <mergeCell ref="B13:D13"/>
    <mergeCell ref="A1:B1"/>
    <mergeCell ref="A2:B2"/>
    <mergeCell ref="C1:J1"/>
    <mergeCell ref="C2:J2"/>
    <mergeCell ref="B7:D7"/>
    <mergeCell ref="A3:B3"/>
    <mergeCell ref="E3:J3"/>
    <mergeCell ref="B4:D4"/>
    <mergeCell ref="B5:D5"/>
    <mergeCell ref="B6:D6"/>
  </mergeCells>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73386-F469-4BAA-8BA4-CE9EB05C0E09}">
  <sheetPr>
    <tabColor rgb="FFFFCC66"/>
  </sheetPr>
  <dimension ref="A1:J14"/>
  <sheetViews>
    <sheetView workbookViewId="0">
      <pane xSplit="4" ySplit="4" topLeftCell="E5" activePane="bottomRight" state="frozen"/>
      <selection pane="bottomRight" activeCell="B9" sqref="A1:J14"/>
      <selection pane="bottomLeft" activeCell="C3" sqref="C3"/>
      <selection pane="topRight" activeCell="C3" sqref="C3"/>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496</v>
      </c>
      <c r="D2" s="74"/>
      <c r="E2" s="74"/>
      <c r="F2" s="74"/>
      <c r="G2" s="74"/>
      <c r="H2" s="74"/>
      <c r="I2" s="74"/>
      <c r="J2" s="75"/>
    </row>
    <row r="3" spans="1:10" ht="45">
      <c r="A3" s="70" t="s">
        <v>81</v>
      </c>
      <c r="B3" s="70"/>
      <c r="C3" s="18" t="s">
        <v>93</v>
      </c>
      <c r="D3" s="55" t="s">
        <v>239</v>
      </c>
      <c r="E3" s="122" t="s">
        <v>440</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2.75" customHeight="1">
      <c r="A5" s="52">
        <v>1</v>
      </c>
      <c r="B5" s="122" t="s">
        <v>441</v>
      </c>
      <c r="C5" s="122"/>
      <c r="D5" s="122"/>
      <c r="E5" s="123"/>
      <c r="F5" s="123" t="s">
        <v>63</v>
      </c>
      <c r="G5" s="55"/>
      <c r="H5" s="27">
        <v>10</v>
      </c>
      <c r="I5" s="124">
        <f>IF(H5="","",((H5*10)/SUM($H$5:$H$13)))</f>
        <v>1.6129032258064515</v>
      </c>
      <c r="J5" s="125">
        <f>IF(F5="X",((H5*10)/SUM($H$5:$H$13)),0)</f>
        <v>1.6129032258064515</v>
      </c>
    </row>
    <row r="6" spans="1:10" ht="42.75" customHeight="1">
      <c r="A6" s="52">
        <v>2</v>
      </c>
      <c r="B6" s="122" t="s">
        <v>442</v>
      </c>
      <c r="C6" s="122"/>
      <c r="D6" s="122"/>
      <c r="E6" s="123"/>
      <c r="F6" s="123" t="s">
        <v>63</v>
      </c>
      <c r="G6" s="55"/>
      <c r="H6" s="27">
        <v>10</v>
      </c>
      <c r="I6" s="124">
        <f t="shared" ref="I6:I13" si="0">IF(H6="","",((H6*10)/SUM($H$5:$H$13)))</f>
        <v>1.6129032258064515</v>
      </c>
      <c r="J6" s="125">
        <f t="shared" ref="J6:J13" si="1">IF(F6="X",((H6*10)/SUM($H$5:$H$13)),0)</f>
        <v>1.6129032258064515</v>
      </c>
    </row>
    <row r="7" spans="1:10" ht="28.5" customHeight="1">
      <c r="A7" s="52">
        <v>3</v>
      </c>
      <c r="B7" s="122" t="s">
        <v>272</v>
      </c>
      <c r="C7" s="122"/>
      <c r="D7" s="122"/>
      <c r="E7" s="123" t="s">
        <v>63</v>
      </c>
      <c r="F7" s="123"/>
      <c r="G7" s="55"/>
      <c r="H7" s="27">
        <v>10</v>
      </c>
      <c r="I7" s="124">
        <f t="shared" si="0"/>
        <v>1.6129032258064515</v>
      </c>
      <c r="J7" s="125">
        <f t="shared" si="1"/>
        <v>0</v>
      </c>
    </row>
    <row r="8" spans="1:10" ht="42.75" customHeight="1">
      <c r="A8" s="52">
        <v>4</v>
      </c>
      <c r="B8" s="122" t="s">
        <v>443</v>
      </c>
      <c r="C8" s="122"/>
      <c r="D8" s="122"/>
      <c r="E8" s="123"/>
      <c r="F8" s="123" t="s">
        <v>63</v>
      </c>
      <c r="G8" s="55"/>
      <c r="H8" s="27">
        <v>6</v>
      </c>
      <c r="I8" s="124">
        <f t="shared" si="0"/>
        <v>0.967741935483871</v>
      </c>
      <c r="J8" s="125">
        <f t="shared" si="1"/>
        <v>0.967741935483871</v>
      </c>
    </row>
    <row r="9" spans="1:10" ht="28.5" customHeight="1">
      <c r="A9" s="52">
        <v>5</v>
      </c>
      <c r="B9" s="122" t="s">
        <v>444</v>
      </c>
      <c r="C9" s="122"/>
      <c r="D9" s="122"/>
      <c r="E9" s="123"/>
      <c r="F9" s="123" t="s">
        <v>63</v>
      </c>
      <c r="G9" s="55"/>
      <c r="H9" s="27">
        <v>6</v>
      </c>
      <c r="I9" s="124">
        <f t="shared" si="0"/>
        <v>0.967741935483871</v>
      </c>
      <c r="J9" s="125">
        <f t="shared" si="1"/>
        <v>0.967741935483871</v>
      </c>
    </row>
    <row r="10" spans="1:10" ht="42.75" customHeight="1">
      <c r="A10" s="52">
        <v>6</v>
      </c>
      <c r="B10" s="122" t="s">
        <v>445</v>
      </c>
      <c r="C10" s="122"/>
      <c r="D10" s="122"/>
      <c r="E10" s="123"/>
      <c r="F10" s="123" t="s">
        <v>63</v>
      </c>
      <c r="G10" s="55"/>
      <c r="H10" s="27">
        <v>6</v>
      </c>
      <c r="I10" s="124">
        <f t="shared" si="0"/>
        <v>0.967741935483871</v>
      </c>
      <c r="J10" s="125">
        <f t="shared" si="1"/>
        <v>0.967741935483871</v>
      </c>
    </row>
    <row r="11" spans="1:10" ht="28.5" customHeight="1">
      <c r="A11" s="52">
        <v>7</v>
      </c>
      <c r="B11" s="122" t="s">
        <v>446</v>
      </c>
      <c r="C11" s="122"/>
      <c r="D11" s="122"/>
      <c r="E11" s="123"/>
      <c r="F11" s="123" t="s">
        <v>63</v>
      </c>
      <c r="G11" s="55"/>
      <c r="H11" s="27">
        <v>2</v>
      </c>
      <c r="I11" s="124">
        <f t="shared" si="0"/>
        <v>0.32258064516129031</v>
      </c>
      <c r="J11" s="125">
        <f t="shared" si="1"/>
        <v>0.32258064516129031</v>
      </c>
    </row>
    <row r="12" spans="1:10" ht="28.5" customHeight="1">
      <c r="A12" s="52">
        <v>8</v>
      </c>
      <c r="B12" s="122" t="s">
        <v>447</v>
      </c>
      <c r="C12" s="122"/>
      <c r="D12" s="122"/>
      <c r="E12" s="123"/>
      <c r="F12" s="123" t="s">
        <v>63</v>
      </c>
      <c r="G12" s="55"/>
      <c r="H12" s="27">
        <v>6</v>
      </c>
      <c r="I12" s="124">
        <f t="shared" si="0"/>
        <v>0.967741935483871</v>
      </c>
      <c r="J12" s="125">
        <f t="shared" si="1"/>
        <v>0.967741935483871</v>
      </c>
    </row>
    <row r="13" spans="1:10" ht="57" customHeight="1">
      <c r="A13" s="52">
        <v>9</v>
      </c>
      <c r="B13" s="122" t="s">
        <v>448</v>
      </c>
      <c r="C13" s="122"/>
      <c r="D13" s="122"/>
      <c r="E13" s="123" t="s">
        <v>63</v>
      </c>
      <c r="F13" s="123"/>
      <c r="G13" s="55"/>
      <c r="H13" s="27">
        <v>6</v>
      </c>
      <c r="I13" s="124">
        <f t="shared" si="0"/>
        <v>0.967741935483871</v>
      </c>
      <c r="J13" s="125">
        <f t="shared" si="1"/>
        <v>0</v>
      </c>
    </row>
    <row r="14" spans="1:10">
      <c r="A14" s="112" t="s">
        <v>71</v>
      </c>
      <c r="B14" s="112"/>
      <c r="C14" s="112"/>
      <c r="D14" s="112"/>
      <c r="E14" s="112"/>
      <c r="F14" s="112"/>
      <c r="G14" s="112"/>
      <c r="H14" s="112"/>
      <c r="I14" s="37">
        <f>SUM(I5:I13)</f>
        <v>10</v>
      </c>
      <c r="J14" s="36">
        <f>SUM(J5:J13)</f>
        <v>7.419354838709677</v>
      </c>
    </row>
  </sheetData>
  <mergeCells count="17">
    <mergeCell ref="A14:H14"/>
    <mergeCell ref="B8:D8"/>
    <mergeCell ref="B9:D9"/>
    <mergeCell ref="B10:D10"/>
    <mergeCell ref="B11:D11"/>
    <mergeCell ref="B12:D12"/>
    <mergeCell ref="B13:D13"/>
    <mergeCell ref="A1:B1"/>
    <mergeCell ref="A2:B2"/>
    <mergeCell ref="C1:J1"/>
    <mergeCell ref="C2:J2"/>
    <mergeCell ref="B7:D7"/>
    <mergeCell ref="A3:B3"/>
    <mergeCell ref="E3:J3"/>
    <mergeCell ref="B4:D4"/>
    <mergeCell ref="B5:D5"/>
    <mergeCell ref="B6:D6"/>
  </mergeCells>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40057-A63D-4EB1-B17D-1401243B66FA}">
  <sheetPr>
    <tabColor rgb="FFFFCC66"/>
  </sheetPr>
  <dimension ref="A1:J15"/>
  <sheetViews>
    <sheetView workbookViewId="0">
      <pane xSplit="4" ySplit="4" topLeftCell="E5" activePane="bottomRight" state="frozen"/>
      <selection pane="bottomRight" activeCell="B9" sqref="A1:J15"/>
      <selection pane="bottomLeft" activeCell="C3" sqref="C3"/>
      <selection pane="topRight" activeCell="C3" sqref="C3"/>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496</v>
      </c>
      <c r="D2" s="74"/>
      <c r="E2" s="74"/>
      <c r="F2" s="74"/>
      <c r="G2" s="74"/>
      <c r="H2" s="74"/>
      <c r="I2" s="74"/>
      <c r="J2" s="75"/>
    </row>
    <row r="3" spans="1:10" ht="45">
      <c r="A3" s="70" t="s">
        <v>81</v>
      </c>
      <c r="B3" s="70"/>
      <c r="C3" s="18" t="s">
        <v>93</v>
      </c>
      <c r="D3" s="55" t="s">
        <v>94</v>
      </c>
      <c r="E3" s="122" t="s">
        <v>340</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28.5" customHeight="1">
      <c r="A5" s="52">
        <v>1</v>
      </c>
      <c r="B5" s="122" t="s">
        <v>341</v>
      </c>
      <c r="C5" s="122"/>
      <c r="D5" s="122"/>
      <c r="E5" s="123"/>
      <c r="F5" s="123" t="s">
        <v>63</v>
      </c>
      <c r="G5" s="55"/>
      <c r="H5" s="123">
        <v>10</v>
      </c>
      <c r="I5" s="124">
        <f>IF(H5="","",((H5*10)/SUM($H$5:$H$14)))</f>
        <v>1.5625</v>
      </c>
      <c r="J5" s="125">
        <f>IF(F5="X",((H5*10)/SUM($H$5:$H$14)),0)</f>
        <v>1.5625</v>
      </c>
    </row>
    <row r="6" spans="1:10" ht="42.75" customHeight="1">
      <c r="A6" s="52">
        <v>2</v>
      </c>
      <c r="B6" s="122" t="s">
        <v>342</v>
      </c>
      <c r="C6" s="122"/>
      <c r="D6" s="122"/>
      <c r="E6" s="123"/>
      <c r="F6" s="123" t="s">
        <v>63</v>
      </c>
      <c r="G6" s="55"/>
      <c r="H6" s="123">
        <v>10</v>
      </c>
      <c r="I6" s="124">
        <f t="shared" ref="I6:I14" si="0">IF(H6="","",((H6*10)/SUM($H$5:$H$14)))</f>
        <v>1.5625</v>
      </c>
      <c r="J6" s="125">
        <f t="shared" ref="J6:J14" si="1">IF(F6="X",((H6*10)/SUM($H$5:$H$14)),0)</f>
        <v>1.5625</v>
      </c>
    </row>
    <row r="7" spans="1:10" ht="28.5" customHeight="1">
      <c r="A7" s="52">
        <v>3</v>
      </c>
      <c r="B7" s="122" t="s">
        <v>272</v>
      </c>
      <c r="C7" s="122"/>
      <c r="D7" s="122"/>
      <c r="E7" s="123" t="s">
        <v>63</v>
      </c>
      <c r="F7" s="123"/>
      <c r="G7" s="55"/>
      <c r="H7" s="123">
        <v>10</v>
      </c>
      <c r="I7" s="124">
        <f t="shared" si="0"/>
        <v>1.5625</v>
      </c>
      <c r="J7" s="125">
        <f t="shared" si="1"/>
        <v>0</v>
      </c>
    </row>
    <row r="8" spans="1:10" ht="28.5" customHeight="1">
      <c r="A8" s="52">
        <v>4</v>
      </c>
      <c r="B8" s="122" t="s">
        <v>343</v>
      </c>
      <c r="C8" s="122"/>
      <c r="D8" s="122"/>
      <c r="E8" s="123" t="s">
        <v>63</v>
      </c>
      <c r="F8" s="123"/>
      <c r="G8" s="55"/>
      <c r="H8" s="123">
        <v>6</v>
      </c>
      <c r="I8" s="124">
        <f t="shared" si="0"/>
        <v>0.9375</v>
      </c>
      <c r="J8" s="125">
        <f t="shared" si="1"/>
        <v>0</v>
      </c>
    </row>
    <row r="9" spans="1:10" ht="42.75" customHeight="1">
      <c r="A9" s="52">
        <v>5</v>
      </c>
      <c r="B9" s="122" t="s">
        <v>344</v>
      </c>
      <c r="C9" s="122"/>
      <c r="D9" s="122"/>
      <c r="E9" s="123"/>
      <c r="F9" s="123" t="s">
        <v>63</v>
      </c>
      <c r="G9" s="55"/>
      <c r="H9" s="123">
        <v>10</v>
      </c>
      <c r="I9" s="124">
        <f t="shared" si="0"/>
        <v>1.5625</v>
      </c>
      <c r="J9" s="125">
        <f t="shared" si="1"/>
        <v>1.5625</v>
      </c>
    </row>
    <row r="10" spans="1:10" ht="42.75" customHeight="1">
      <c r="A10" s="52">
        <v>6</v>
      </c>
      <c r="B10" s="122" t="s">
        <v>345</v>
      </c>
      <c r="C10" s="122"/>
      <c r="D10" s="122"/>
      <c r="E10" s="123"/>
      <c r="F10" s="123" t="s">
        <v>63</v>
      </c>
      <c r="G10" s="55"/>
      <c r="H10" s="123">
        <v>6</v>
      </c>
      <c r="I10" s="124">
        <f t="shared" si="0"/>
        <v>0.9375</v>
      </c>
      <c r="J10" s="125">
        <f t="shared" si="1"/>
        <v>0.9375</v>
      </c>
    </row>
    <row r="11" spans="1:10" ht="57" customHeight="1">
      <c r="A11" s="52">
        <v>7</v>
      </c>
      <c r="B11" s="122" t="s">
        <v>346</v>
      </c>
      <c r="C11" s="122"/>
      <c r="D11" s="122"/>
      <c r="E11" s="123"/>
      <c r="F11" s="123" t="s">
        <v>63</v>
      </c>
      <c r="G11" s="55"/>
      <c r="H11" s="123">
        <v>6</v>
      </c>
      <c r="I11" s="124">
        <f t="shared" si="0"/>
        <v>0.9375</v>
      </c>
      <c r="J11" s="125">
        <f t="shared" si="1"/>
        <v>0.9375</v>
      </c>
    </row>
    <row r="12" spans="1:10" ht="42.75" customHeight="1">
      <c r="A12" s="52">
        <v>8</v>
      </c>
      <c r="B12" s="122" t="s">
        <v>347</v>
      </c>
      <c r="C12" s="122"/>
      <c r="D12" s="122"/>
      <c r="E12" s="123"/>
      <c r="F12" s="123" t="s">
        <v>63</v>
      </c>
      <c r="G12" s="55"/>
      <c r="H12" s="123">
        <v>2</v>
      </c>
      <c r="I12" s="124">
        <f t="shared" si="0"/>
        <v>0.3125</v>
      </c>
      <c r="J12" s="125">
        <f t="shared" si="1"/>
        <v>0.3125</v>
      </c>
    </row>
    <row r="13" spans="1:10" ht="27" customHeight="1">
      <c r="A13" s="52">
        <v>9</v>
      </c>
      <c r="B13" s="122" t="s">
        <v>348</v>
      </c>
      <c r="C13" s="122"/>
      <c r="D13" s="122"/>
      <c r="E13" s="123"/>
      <c r="F13" s="123" t="s">
        <v>63</v>
      </c>
      <c r="G13" s="55"/>
      <c r="H13" s="123">
        <v>2</v>
      </c>
      <c r="I13" s="124">
        <f t="shared" si="0"/>
        <v>0.3125</v>
      </c>
      <c r="J13" s="125">
        <f t="shared" si="1"/>
        <v>0.3125</v>
      </c>
    </row>
    <row r="14" spans="1:10" ht="28.5" customHeight="1">
      <c r="A14" s="52">
        <v>10</v>
      </c>
      <c r="B14" s="122" t="s">
        <v>349</v>
      </c>
      <c r="C14" s="122"/>
      <c r="D14" s="122"/>
      <c r="E14" s="123"/>
      <c r="F14" s="123" t="s">
        <v>63</v>
      </c>
      <c r="G14" s="55"/>
      <c r="H14" s="123">
        <v>2</v>
      </c>
      <c r="I14" s="124">
        <f t="shared" si="0"/>
        <v>0.3125</v>
      </c>
      <c r="J14" s="125">
        <f t="shared" si="1"/>
        <v>0.3125</v>
      </c>
    </row>
    <row r="15" spans="1:10">
      <c r="A15" s="112" t="s">
        <v>71</v>
      </c>
      <c r="B15" s="112"/>
      <c r="C15" s="112"/>
      <c r="D15" s="112"/>
      <c r="E15" s="112"/>
      <c r="F15" s="112"/>
      <c r="G15" s="112"/>
      <c r="H15" s="112"/>
      <c r="I15" s="37">
        <f>SUM(I5:I14)</f>
        <v>10</v>
      </c>
      <c r="J15" s="36">
        <f>SUM(J5:J14)</f>
        <v>7.5</v>
      </c>
    </row>
  </sheetData>
  <mergeCells count="18">
    <mergeCell ref="B14:D14"/>
    <mergeCell ref="A15:H15"/>
    <mergeCell ref="B8:D8"/>
    <mergeCell ref="B9:D9"/>
    <mergeCell ref="B10:D10"/>
    <mergeCell ref="B11:D11"/>
    <mergeCell ref="B12:D12"/>
    <mergeCell ref="B13:D13"/>
    <mergeCell ref="A1:B1"/>
    <mergeCell ref="A2:B2"/>
    <mergeCell ref="C1:J1"/>
    <mergeCell ref="C2:J2"/>
    <mergeCell ref="B7:D7"/>
    <mergeCell ref="A3:B3"/>
    <mergeCell ref="E3:J3"/>
    <mergeCell ref="B4:D4"/>
    <mergeCell ref="B5:D5"/>
    <mergeCell ref="B6:D6"/>
  </mergeCells>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66FD4-7A52-486F-B3B4-9AA37230A97F}">
  <sheetPr>
    <tabColor rgb="FFFFCC66"/>
  </sheetPr>
  <dimension ref="A1:J14"/>
  <sheetViews>
    <sheetView workbookViewId="0">
      <pane xSplit="4" ySplit="4" topLeftCell="E5" activePane="bottomRight" state="frozen"/>
      <selection pane="bottomRight" activeCell="B8" sqref="A1:J14"/>
      <selection pane="bottomLeft" activeCell="C3" sqref="C3"/>
      <selection pane="topRight" activeCell="C3" sqref="C3"/>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496</v>
      </c>
      <c r="D2" s="74"/>
      <c r="E2" s="74"/>
      <c r="F2" s="74"/>
      <c r="G2" s="74"/>
      <c r="H2" s="74"/>
      <c r="I2" s="74"/>
      <c r="J2" s="75"/>
    </row>
    <row r="3" spans="1:10" ht="45">
      <c r="A3" s="70" t="s">
        <v>81</v>
      </c>
      <c r="B3" s="70"/>
      <c r="C3" s="18" t="s">
        <v>93</v>
      </c>
      <c r="D3" s="55" t="s">
        <v>256</v>
      </c>
      <c r="E3" s="122" t="s">
        <v>449</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28.5" customHeight="1">
      <c r="A5" s="52">
        <v>1</v>
      </c>
      <c r="B5" s="122" t="s">
        <v>272</v>
      </c>
      <c r="C5" s="122"/>
      <c r="D5" s="122"/>
      <c r="E5" s="123" t="s">
        <v>63</v>
      </c>
      <c r="F5" s="123"/>
      <c r="G5" s="55"/>
      <c r="H5" s="123">
        <v>10</v>
      </c>
      <c r="I5" s="124">
        <f>IF(H5="","",((H5*10)/SUM($H$5:$H$13)))</f>
        <v>1.3513513513513513</v>
      </c>
      <c r="J5" s="125">
        <f>IF(F5="X",((H5*10)/SUM($H$5:$H$13)),0)</f>
        <v>0</v>
      </c>
    </row>
    <row r="6" spans="1:10" ht="57" customHeight="1">
      <c r="A6" s="52">
        <v>2</v>
      </c>
      <c r="B6" s="122" t="s">
        <v>450</v>
      </c>
      <c r="C6" s="122"/>
      <c r="D6" s="122"/>
      <c r="E6" s="123"/>
      <c r="F6" s="123" t="s">
        <v>63</v>
      </c>
      <c r="G6" s="55"/>
      <c r="H6" s="123">
        <v>6</v>
      </c>
      <c r="I6" s="124">
        <f t="shared" ref="I6:I13" si="0">IF(H6="","",((H6*10)/SUM($H$5:$H$13)))</f>
        <v>0.81081081081081086</v>
      </c>
      <c r="J6" s="125">
        <f t="shared" ref="J6:J13" si="1">IF(F6="X",((H6*10)/SUM($H$5:$H$13)),0)</f>
        <v>0.81081081081081086</v>
      </c>
    </row>
    <row r="7" spans="1:10" ht="57" customHeight="1">
      <c r="A7" s="52">
        <v>3</v>
      </c>
      <c r="B7" s="122" t="s">
        <v>451</v>
      </c>
      <c r="C7" s="122"/>
      <c r="D7" s="122"/>
      <c r="E7" s="123"/>
      <c r="F7" s="123" t="s">
        <v>63</v>
      </c>
      <c r="G7" s="55"/>
      <c r="H7" s="123">
        <v>10</v>
      </c>
      <c r="I7" s="124">
        <f t="shared" si="0"/>
        <v>1.3513513513513513</v>
      </c>
      <c r="J7" s="125">
        <f t="shared" si="1"/>
        <v>1.3513513513513513</v>
      </c>
    </row>
    <row r="8" spans="1:10" ht="42.75" customHeight="1">
      <c r="A8" s="52">
        <v>4</v>
      </c>
      <c r="B8" s="122" t="s">
        <v>452</v>
      </c>
      <c r="C8" s="122"/>
      <c r="D8" s="122"/>
      <c r="E8" s="123"/>
      <c r="F8" s="123" t="s">
        <v>63</v>
      </c>
      <c r="G8" s="55"/>
      <c r="H8" s="123">
        <v>10</v>
      </c>
      <c r="I8" s="124">
        <f t="shared" si="0"/>
        <v>1.3513513513513513</v>
      </c>
      <c r="J8" s="125">
        <f t="shared" si="1"/>
        <v>1.3513513513513513</v>
      </c>
    </row>
    <row r="9" spans="1:10" ht="57" customHeight="1">
      <c r="A9" s="52">
        <v>5</v>
      </c>
      <c r="B9" s="122" t="s">
        <v>389</v>
      </c>
      <c r="C9" s="122"/>
      <c r="D9" s="122"/>
      <c r="E9" s="123"/>
      <c r="F9" s="123" t="s">
        <v>63</v>
      </c>
      <c r="G9" s="55"/>
      <c r="H9" s="123">
        <v>10</v>
      </c>
      <c r="I9" s="124">
        <f t="shared" si="0"/>
        <v>1.3513513513513513</v>
      </c>
      <c r="J9" s="125">
        <f t="shared" si="1"/>
        <v>1.3513513513513513</v>
      </c>
    </row>
    <row r="10" spans="1:10" ht="42.75" customHeight="1">
      <c r="A10" s="52">
        <v>6</v>
      </c>
      <c r="B10" s="122" t="s">
        <v>453</v>
      </c>
      <c r="C10" s="122"/>
      <c r="D10" s="122"/>
      <c r="E10" s="123" t="s">
        <v>63</v>
      </c>
      <c r="F10" s="123"/>
      <c r="G10" s="55"/>
      <c r="H10" s="123">
        <v>10</v>
      </c>
      <c r="I10" s="124">
        <f t="shared" si="0"/>
        <v>1.3513513513513513</v>
      </c>
      <c r="J10" s="125">
        <f t="shared" si="1"/>
        <v>0</v>
      </c>
    </row>
    <row r="11" spans="1:10" ht="57" customHeight="1">
      <c r="A11" s="52">
        <v>7</v>
      </c>
      <c r="B11" s="122" t="s">
        <v>454</v>
      </c>
      <c r="C11" s="122"/>
      <c r="D11" s="122"/>
      <c r="E11" s="123"/>
      <c r="F11" s="123" t="s">
        <v>63</v>
      </c>
      <c r="G11" s="55"/>
      <c r="H11" s="123">
        <v>6</v>
      </c>
      <c r="I11" s="124">
        <f t="shared" si="0"/>
        <v>0.81081081081081086</v>
      </c>
      <c r="J11" s="125">
        <f t="shared" si="1"/>
        <v>0.81081081081081086</v>
      </c>
    </row>
    <row r="12" spans="1:10" ht="57" customHeight="1">
      <c r="A12" s="52">
        <v>8</v>
      </c>
      <c r="B12" s="122" t="s">
        <v>394</v>
      </c>
      <c r="C12" s="122"/>
      <c r="D12" s="122"/>
      <c r="E12" s="123" t="s">
        <v>63</v>
      </c>
      <c r="F12" s="123"/>
      <c r="G12" s="55"/>
      <c r="H12" s="123">
        <v>6</v>
      </c>
      <c r="I12" s="124">
        <f t="shared" si="0"/>
        <v>0.81081081081081086</v>
      </c>
      <c r="J12" s="125">
        <f t="shared" si="1"/>
        <v>0</v>
      </c>
    </row>
    <row r="13" spans="1:10" ht="57" customHeight="1">
      <c r="A13" s="52">
        <v>9</v>
      </c>
      <c r="B13" s="122" t="s">
        <v>455</v>
      </c>
      <c r="C13" s="122"/>
      <c r="D13" s="122"/>
      <c r="E13" s="123"/>
      <c r="F13" s="123" t="s">
        <v>63</v>
      </c>
      <c r="G13" s="55"/>
      <c r="H13" s="123">
        <v>6</v>
      </c>
      <c r="I13" s="124">
        <f t="shared" si="0"/>
        <v>0.81081081081081086</v>
      </c>
      <c r="J13" s="125">
        <f t="shared" si="1"/>
        <v>0.81081081081081086</v>
      </c>
    </row>
    <row r="14" spans="1:10">
      <c r="A14" s="112" t="s">
        <v>71</v>
      </c>
      <c r="B14" s="112"/>
      <c r="C14" s="112"/>
      <c r="D14" s="112"/>
      <c r="E14" s="112"/>
      <c r="F14" s="112"/>
      <c r="G14" s="112"/>
      <c r="H14" s="112"/>
      <c r="I14" s="37">
        <f>SUM(I5:I13)</f>
        <v>9.9999999999999982</v>
      </c>
      <c r="J14" s="36">
        <f>SUM(J5:J13)</f>
        <v>6.486486486486486</v>
      </c>
    </row>
  </sheetData>
  <mergeCells count="17">
    <mergeCell ref="A14:H14"/>
    <mergeCell ref="B8:D8"/>
    <mergeCell ref="B9:D9"/>
    <mergeCell ref="B10:D10"/>
    <mergeCell ref="B11:D11"/>
    <mergeCell ref="B12:D12"/>
    <mergeCell ref="B13:D13"/>
    <mergeCell ref="A1:B1"/>
    <mergeCell ref="A2:B2"/>
    <mergeCell ref="C1:J1"/>
    <mergeCell ref="C2:J2"/>
    <mergeCell ref="B7:D7"/>
    <mergeCell ref="A3:B3"/>
    <mergeCell ref="E3:J3"/>
    <mergeCell ref="B4:D4"/>
    <mergeCell ref="B5:D5"/>
    <mergeCell ref="B6:D6"/>
  </mergeCells>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43114-0DC4-4751-A527-81D2C6CD827E}">
  <sheetPr>
    <tabColor rgb="FFFFCC66"/>
  </sheetPr>
  <dimension ref="A1:J16"/>
  <sheetViews>
    <sheetView workbookViewId="0">
      <pane xSplit="4" ySplit="4" topLeftCell="E5" activePane="bottomRight" state="frozen"/>
      <selection pane="bottomRight" activeCell="B8" sqref="A1:J16"/>
      <selection pane="bottomLeft" activeCell="C3" sqref="C3"/>
      <selection pane="topRight" activeCell="C3" sqref="C3"/>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496</v>
      </c>
      <c r="D2" s="74"/>
      <c r="E2" s="74"/>
      <c r="F2" s="74"/>
      <c r="G2" s="74"/>
      <c r="H2" s="74"/>
      <c r="I2" s="74"/>
      <c r="J2" s="75"/>
    </row>
    <row r="3" spans="1:10" ht="45">
      <c r="A3" s="70" t="s">
        <v>81</v>
      </c>
      <c r="B3" s="70"/>
      <c r="C3" s="18" t="s">
        <v>93</v>
      </c>
      <c r="D3" s="55" t="s">
        <v>107</v>
      </c>
      <c r="E3" s="122" t="s">
        <v>350</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2.75" customHeight="1">
      <c r="A5" s="52">
        <v>1</v>
      </c>
      <c r="B5" s="122" t="s">
        <v>351</v>
      </c>
      <c r="C5" s="122"/>
      <c r="D5" s="122"/>
      <c r="E5" s="123" t="s">
        <v>63</v>
      </c>
      <c r="F5" s="123"/>
      <c r="G5" s="55"/>
      <c r="H5" s="123">
        <v>6</v>
      </c>
      <c r="I5" s="124">
        <f>IF(H5="","",((H5*10)/SUM($H$5:$H$15)))</f>
        <v>0.8571428571428571</v>
      </c>
      <c r="J5" s="125">
        <f>IF(F5="X",((H5*10)/SUM($H$5:$H$15)),0)</f>
        <v>0</v>
      </c>
    </row>
    <row r="6" spans="1:10" ht="28.5" customHeight="1">
      <c r="A6" s="52">
        <v>2</v>
      </c>
      <c r="B6" s="122" t="s">
        <v>272</v>
      </c>
      <c r="C6" s="122"/>
      <c r="D6" s="122"/>
      <c r="E6" s="123" t="s">
        <v>63</v>
      </c>
      <c r="F6" s="123"/>
      <c r="G6" s="55"/>
      <c r="H6" s="123">
        <v>10</v>
      </c>
      <c r="I6" s="124">
        <f t="shared" ref="I6:I15" si="0">IF(H6="","",((H6*10)/SUM($H$5:$H$15)))</f>
        <v>1.4285714285714286</v>
      </c>
      <c r="J6" s="125">
        <f t="shared" ref="J6:J15" si="1">IF(F6="X",((H6*10)/SUM($H$5:$H$15)),0)</f>
        <v>0</v>
      </c>
    </row>
    <row r="7" spans="1:10" ht="42.75" customHeight="1">
      <c r="A7" s="52">
        <v>3</v>
      </c>
      <c r="B7" s="122" t="s">
        <v>352</v>
      </c>
      <c r="C7" s="122"/>
      <c r="D7" s="122"/>
      <c r="E7" s="123"/>
      <c r="F7" s="123" t="s">
        <v>63</v>
      </c>
      <c r="G7" s="55"/>
      <c r="H7" s="123">
        <v>10</v>
      </c>
      <c r="I7" s="124">
        <f t="shared" si="0"/>
        <v>1.4285714285714286</v>
      </c>
      <c r="J7" s="125">
        <f t="shared" si="1"/>
        <v>1.4285714285714286</v>
      </c>
    </row>
    <row r="8" spans="1:10" ht="28.5" customHeight="1">
      <c r="A8" s="52">
        <v>4</v>
      </c>
      <c r="B8" s="122" t="s">
        <v>353</v>
      </c>
      <c r="C8" s="122"/>
      <c r="D8" s="122"/>
      <c r="E8" s="123"/>
      <c r="F8" s="123" t="s">
        <v>63</v>
      </c>
      <c r="G8" s="55"/>
      <c r="H8" s="123">
        <v>10</v>
      </c>
      <c r="I8" s="124">
        <f t="shared" si="0"/>
        <v>1.4285714285714286</v>
      </c>
      <c r="J8" s="125">
        <f t="shared" si="1"/>
        <v>1.4285714285714286</v>
      </c>
    </row>
    <row r="9" spans="1:10" ht="42.75" customHeight="1">
      <c r="A9" s="52">
        <v>5</v>
      </c>
      <c r="B9" s="122" t="s">
        <v>354</v>
      </c>
      <c r="C9" s="122"/>
      <c r="D9" s="122"/>
      <c r="E9" s="123"/>
      <c r="F9" s="123" t="s">
        <v>63</v>
      </c>
      <c r="G9" s="55"/>
      <c r="H9" s="123">
        <v>6</v>
      </c>
      <c r="I9" s="124">
        <f t="shared" si="0"/>
        <v>0.8571428571428571</v>
      </c>
      <c r="J9" s="125">
        <f t="shared" si="1"/>
        <v>0.8571428571428571</v>
      </c>
    </row>
    <row r="10" spans="1:10" ht="28.5" customHeight="1">
      <c r="A10" s="52">
        <v>6</v>
      </c>
      <c r="B10" s="122" t="s">
        <v>355</v>
      </c>
      <c r="C10" s="122"/>
      <c r="D10" s="122"/>
      <c r="E10" s="123"/>
      <c r="F10" s="123" t="s">
        <v>63</v>
      </c>
      <c r="G10" s="55"/>
      <c r="H10" s="123">
        <v>6</v>
      </c>
      <c r="I10" s="124">
        <f t="shared" si="0"/>
        <v>0.8571428571428571</v>
      </c>
      <c r="J10" s="125">
        <f t="shared" si="1"/>
        <v>0.8571428571428571</v>
      </c>
    </row>
    <row r="11" spans="1:10" ht="42.75" customHeight="1">
      <c r="A11" s="52">
        <v>7</v>
      </c>
      <c r="B11" s="122" t="s">
        <v>356</v>
      </c>
      <c r="C11" s="122"/>
      <c r="D11" s="122"/>
      <c r="E11" s="123"/>
      <c r="F11" s="123" t="s">
        <v>63</v>
      </c>
      <c r="G11" s="55"/>
      <c r="H11" s="123">
        <v>6</v>
      </c>
      <c r="I11" s="124">
        <f t="shared" si="0"/>
        <v>0.8571428571428571</v>
      </c>
      <c r="J11" s="125">
        <f t="shared" si="1"/>
        <v>0.8571428571428571</v>
      </c>
    </row>
    <row r="12" spans="1:10" ht="42.75" customHeight="1">
      <c r="A12" s="52">
        <v>8</v>
      </c>
      <c r="B12" s="122" t="s">
        <v>357</v>
      </c>
      <c r="C12" s="122"/>
      <c r="D12" s="122"/>
      <c r="E12" s="123"/>
      <c r="F12" s="123" t="s">
        <v>63</v>
      </c>
      <c r="G12" s="55"/>
      <c r="H12" s="123">
        <v>2</v>
      </c>
      <c r="I12" s="124">
        <f t="shared" si="0"/>
        <v>0.2857142857142857</v>
      </c>
      <c r="J12" s="125">
        <f t="shared" si="1"/>
        <v>0.2857142857142857</v>
      </c>
    </row>
    <row r="13" spans="1:10" ht="42.75" customHeight="1">
      <c r="A13" s="52">
        <v>9</v>
      </c>
      <c r="B13" s="122" t="s">
        <v>358</v>
      </c>
      <c r="C13" s="122"/>
      <c r="D13" s="122"/>
      <c r="E13" s="123" t="s">
        <v>63</v>
      </c>
      <c r="F13" s="123"/>
      <c r="G13" s="55"/>
      <c r="H13" s="123">
        <v>6</v>
      </c>
      <c r="I13" s="124">
        <f t="shared" si="0"/>
        <v>0.8571428571428571</v>
      </c>
      <c r="J13" s="125">
        <f t="shared" si="1"/>
        <v>0</v>
      </c>
    </row>
    <row r="14" spans="1:10" ht="42.75" customHeight="1">
      <c r="A14" s="52">
        <v>10</v>
      </c>
      <c r="B14" s="122" t="s">
        <v>359</v>
      </c>
      <c r="C14" s="122"/>
      <c r="D14" s="122"/>
      <c r="E14" s="123"/>
      <c r="F14" s="123" t="s">
        <v>63</v>
      </c>
      <c r="G14" s="55"/>
      <c r="H14" s="123">
        <v>6</v>
      </c>
      <c r="I14" s="124">
        <f t="shared" si="0"/>
        <v>0.8571428571428571</v>
      </c>
      <c r="J14" s="125">
        <f t="shared" si="1"/>
        <v>0.8571428571428571</v>
      </c>
    </row>
    <row r="15" spans="1:10" ht="57" customHeight="1">
      <c r="A15" s="52">
        <v>11</v>
      </c>
      <c r="B15" s="122" t="s">
        <v>360</v>
      </c>
      <c r="C15" s="122"/>
      <c r="D15" s="122"/>
      <c r="E15" s="123"/>
      <c r="F15" s="123" t="s">
        <v>63</v>
      </c>
      <c r="G15" s="55"/>
      <c r="H15" s="123">
        <v>2</v>
      </c>
      <c r="I15" s="124">
        <f t="shared" si="0"/>
        <v>0.2857142857142857</v>
      </c>
      <c r="J15" s="125">
        <f t="shared" si="1"/>
        <v>0.2857142857142857</v>
      </c>
    </row>
    <row r="16" spans="1:10">
      <c r="A16" s="112" t="s">
        <v>71</v>
      </c>
      <c r="B16" s="112"/>
      <c r="C16" s="112"/>
      <c r="D16" s="112"/>
      <c r="E16" s="112"/>
      <c r="F16" s="112"/>
      <c r="G16" s="112"/>
      <c r="H16" s="112"/>
      <c r="I16" s="37">
        <f>SUM(I5:I15)</f>
        <v>10</v>
      </c>
      <c r="J16" s="36">
        <f>SUM(J5:J15)</f>
        <v>6.8571428571428559</v>
      </c>
    </row>
  </sheetData>
  <mergeCells count="19">
    <mergeCell ref="B14:D14"/>
    <mergeCell ref="B15:D15"/>
    <mergeCell ref="A16:H16"/>
    <mergeCell ref="B8:D8"/>
    <mergeCell ref="B9:D9"/>
    <mergeCell ref="B10:D10"/>
    <mergeCell ref="B11:D11"/>
    <mergeCell ref="B12:D12"/>
    <mergeCell ref="B13:D13"/>
    <mergeCell ref="A1:B1"/>
    <mergeCell ref="A2:B2"/>
    <mergeCell ref="C1:J1"/>
    <mergeCell ref="C2:J2"/>
    <mergeCell ref="B7:D7"/>
    <mergeCell ref="A3:B3"/>
    <mergeCell ref="E3:J3"/>
    <mergeCell ref="B4:D4"/>
    <mergeCell ref="B5:D5"/>
    <mergeCell ref="B6:D6"/>
  </mergeCells>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56C34-92F2-442E-A24A-57B605ED9034}">
  <sheetPr>
    <tabColor rgb="FFFFCC66"/>
  </sheetPr>
  <dimension ref="A1:J19"/>
  <sheetViews>
    <sheetView workbookViewId="0">
      <pane xSplit="4" ySplit="4" topLeftCell="E5" activePane="bottomRight" state="frozen"/>
      <selection pane="bottomRight" activeCell="B10" sqref="A1:J19"/>
      <selection pane="bottomLeft" activeCell="C3" sqref="C3"/>
      <selection pane="topRight" activeCell="C3" sqref="C3"/>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496</v>
      </c>
      <c r="D2" s="74"/>
      <c r="E2" s="74"/>
      <c r="F2" s="74"/>
      <c r="G2" s="74"/>
      <c r="H2" s="74"/>
      <c r="I2" s="74"/>
      <c r="J2" s="75"/>
    </row>
    <row r="3" spans="1:10" ht="45">
      <c r="A3" s="70" t="s">
        <v>81</v>
      </c>
      <c r="B3" s="70"/>
      <c r="C3" s="18" t="s">
        <v>93</v>
      </c>
      <c r="D3" s="55" t="s">
        <v>121</v>
      </c>
      <c r="E3" s="122" t="s">
        <v>361</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28.5" customHeight="1">
      <c r="A5" s="52">
        <v>1</v>
      </c>
      <c r="B5" s="122" t="s">
        <v>272</v>
      </c>
      <c r="C5" s="122"/>
      <c r="D5" s="122"/>
      <c r="E5" s="123"/>
      <c r="F5" s="123" t="s">
        <v>63</v>
      </c>
      <c r="G5" s="55"/>
      <c r="H5" s="123">
        <v>10</v>
      </c>
      <c r="I5" s="124">
        <f>IF(H5="","",((H5*10)/SUM($H$5:$H$18)))</f>
        <v>1.0416666666666667</v>
      </c>
      <c r="J5" s="125">
        <f>IF(F5="X",((H5*10)/SUM($H$5:$H$18)),0)</f>
        <v>1.0416666666666667</v>
      </c>
    </row>
    <row r="6" spans="1:10" ht="28.5" customHeight="1">
      <c r="A6" s="52">
        <v>2</v>
      </c>
      <c r="B6" s="122" t="s">
        <v>362</v>
      </c>
      <c r="C6" s="122"/>
      <c r="D6" s="122"/>
      <c r="E6" s="123" t="s">
        <v>63</v>
      </c>
      <c r="F6" s="123"/>
      <c r="G6" s="55"/>
      <c r="H6" s="123">
        <v>6</v>
      </c>
      <c r="I6" s="124">
        <f t="shared" ref="I6:I18" si="0">IF(H6="","",((H6*10)/SUM($H$5:$H$18)))</f>
        <v>0.625</v>
      </c>
      <c r="J6" s="125">
        <f t="shared" ref="J6:J18" si="1">IF(F6="X",((H6*10)/SUM($H$5:$H$18)),0)</f>
        <v>0</v>
      </c>
    </row>
    <row r="7" spans="1:10" ht="28.5" customHeight="1">
      <c r="A7" s="57">
        <v>3</v>
      </c>
      <c r="B7" s="122" t="s">
        <v>363</v>
      </c>
      <c r="C7" s="122"/>
      <c r="D7" s="122"/>
      <c r="E7" s="27"/>
      <c r="F7" s="27" t="s">
        <v>63</v>
      </c>
      <c r="G7" s="33"/>
      <c r="H7" s="27">
        <v>6</v>
      </c>
      <c r="I7" s="124">
        <f t="shared" si="0"/>
        <v>0.625</v>
      </c>
      <c r="J7" s="125">
        <f t="shared" si="1"/>
        <v>0.625</v>
      </c>
    </row>
    <row r="8" spans="1:10" ht="42.75" customHeight="1">
      <c r="A8" s="52">
        <v>4</v>
      </c>
      <c r="B8" s="122" t="s">
        <v>364</v>
      </c>
      <c r="C8" s="122"/>
      <c r="D8" s="122"/>
      <c r="E8" s="123"/>
      <c r="F8" s="123" t="s">
        <v>63</v>
      </c>
      <c r="G8" s="55"/>
      <c r="H8" s="123">
        <v>10</v>
      </c>
      <c r="I8" s="124">
        <f t="shared" si="0"/>
        <v>1.0416666666666667</v>
      </c>
      <c r="J8" s="125">
        <f t="shared" si="1"/>
        <v>1.0416666666666667</v>
      </c>
    </row>
    <row r="9" spans="1:10" ht="28.5" customHeight="1">
      <c r="A9" s="52">
        <v>5</v>
      </c>
      <c r="B9" s="122" t="s">
        <v>365</v>
      </c>
      <c r="C9" s="122"/>
      <c r="D9" s="122"/>
      <c r="E9" s="123"/>
      <c r="F9" s="123" t="s">
        <v>63</v>
      </c>
      <c r="G9" s="55"/>
      <c r="H9" s="123">
        <v>10</v>
      </c>
      <c r="I9" s="124">
        <f t="shared" si="0"/>
        <v>1.0416666666666667</v>
      </c>
      <c r="J9" s="125">
        <f t="shared" si="1"/>
        <v>1.0416666666666667</v>
      </c>
    </row>
    <row r="10" spans="1:10" ht="42.75" customHeight="1">
      <c r="A10" s="52">
        <v>6</v>
      </c>
      <c r="B10" s="122" t="s">
        <v>366</v>
      </c>
      <c r="C10" s="122"/>
      <c r="D10" s="122"/>
      <c r="E10" s="123" t="s">
        <v>63</v>
      </c>
      <c r="F10" s="123"/>
      <c r="G10" s="55"/>
      <c r="H10" s="123">
        <v>6</v>
      </c>
      <c r="I10" s="124">
        <f t="shared" si="0"/>
        <v>0.625</v>
      </c>
      <c r="J10" s="125">
        <f t="shared" si="1"/>
        <v>0</v>
      </c>
    </row>
    <row r="11" spans="1:10" ht="28.5" customHeight="1">
      <c r="A11" s="52">
        <v>7</v>
      </c>
      <c r="B11" s="122" t="s">
        <v>367</v>
      </c>
      <c r="C11" s="122"/>
      <c r="D11" s="122"/>
      <c r="E11" s="123"/>
      <c r="F11" s="123" t="s">
        <v>63</v>
      </c>
      <c r="G11" s="55"/>
      <c r="H11" s="123">
        <v>10</v>
      </c>
      <c r="I11" s="124">
        <f t="shared" si="0"/>
        <v>1.0416666666666667</v>
      </c>
      <c r="J11" s="125">
        <f t="shared" si="1"/>
        <v>1.0416666666666667</v>
      </c>
    </row>
    <row r="12" spans="1:10" ht="28.5" customHeight="1">
      <c r="A12" s="52">
        <v>8</v>
      </c>
      <c r="B12" s="122" t="s">
        <v>368</v>
      </c>
      <c r="C12" s="122"/>
      <c r="D12" s="122"/>
      <c r="E12" s="123"/>
      <c r="F12" s="123" t="s">
        <v>63</v>
      </c>
      <c r="G12" s="55"/>
      <c r="H12" s="123">
        <v>6</v>
      </c>
      <c r="I12" s="124">
        <f t="shared" si="0"/>
        <v>0.625</v>
      </c>
      <c r="J12" s="125">
        <f t="shared" si="1"/>
        <v>0.625</v>
      </c>
    </row>
    <row r="13" spans="1:10" ht="28.5" customHeight="1">
      <c r="A13" s="52">
        <v>9</v>
      </c>
      <c r="B13" s="122" t="s">
        <v>369</v>
      </c>
      <c r="C13" s="122"/>
      <c r="D13" s="122"/>
      <c r="E13" s="123" t="s">
        <v>63</v>
      </c>
      <c r="F13" s="123"/>
      <c r="G13" s="55"/>
      <c r="H13" s="123">
        <v>6</v>
      </c>
      <c r="I13" s="124">
        <f t="shared" si="0"/>
        <v>0.625</v>
      </c>
      <c r="J13" s="125">
        <f t="shared" si="1"/>
        <v>0</v>
      </c>
    </row>
    <row r="14" spans="1:10" ht="42.75" customHeight="1">
      <c r="A14" s="52">
        <v>10</v>
      </c>
      <c r="B14" s="122" t="s">
        <v>191</v>
      </c>
      <c r="C14" s="122"/>
      <c r="D14" s="122"/>
      <c r="E14" s="123" t="s">
        <v>63</v>
      </c>
      <c r="F14" s="123"/>
      <c r="G14" s="55"/>
      <c r="H14" s="123">
        <v>6</v>
      </c>
      <c r="I14" s="124">
        <f t="shared" si="0"/>
        <v>0.625</v>
      </c>
      <c r="J14" s="125">
        <f t="shared" si="1"/>
        <v>0</v>
      </c>
    </row>
    <row r="15" spans="1:10" ht="57" customHeight="1">
      <c r="A15" s="52">
        <v>11</v>
      </c>
      <c r="B15" s="122" t="s">
        <v>370</v>
      </c>
      <c r="C15" s="122"/>
      <c r="D15" s="122"/>
      <c r="E15" s="123"/>
      <c r="F15" s="123" t="s">
        <v>63</v>
      </c>
      <c r="G15" s="55"/>
      <c r="H15" s="123">
        <v>6</v>
      </c>
      <c r="I15" s="124">
        <f t="shared" si="0"/>
        <v>0.625</v>
      </c>
      <c r="J15" s="125">
        <f t="shared" si="1"/>
        <v>0.625</v>
      </c>
    </row>
    <row r="16" spans="1:10" ht="57" customHeight="1">
      <c r="A16" s="52">
        <v>12</v>
      </c>
      <c r="B16" s="122" t="s">
        <v>371</v>
      </c>
      <c r="C16" s="122"/>
      <c r="D16" s="122"/>
      <c r="E16" s="123" t="s">
        <v>63</v>
      </c>
      <c r="F16" s="123"/>
      <c r="G16" s="55"/>
      <c r="H16" s="123">
        <v>6</v>
      </c>
      <c r="I16" s="124">
        <f t="shared" si="0"/>
        <v>0.625</v>
      </c>
      <c r="J16" s="125">
        <f t="shared" si="1"/>
        <v>0</v>
      </c>
    </row>
    <row r="17" spans="1:10" ht="28.5" customHeight="1">
      <c r="A17" s="52">
        <v>13</v>
      </c>
      <c r="B17" s="122" t="s">
        <v>372</v>
      </c>
      <c r="C17" s="122"/>
      <c r="D17" s="122"/>
      <c r="E17" s="123"/>
      <c r="F17" s="123" t="s">
        <v>63</v>
      </c>
      <c r="G17" s="55"/>
      <c r="H17" s="123">
        <v>2</v>
      </c>
      <c r="I17" s="124">
        <f t="shared" si="0"/>
        <v>0.20833333333333334</v>
      </c>
      <c r="J17" s="125">
        <f t="shared" si="1"/>
        <v>0.20833333333333334</v>
      </c>
    </row>
    <row r="18" spans="1:10" ht="28.5" customHeight="1">
      <c r="A18" s="52">
        <v>14</v>
      </c>
      <c r="B18" s="122" t="s">
        <v>373</v>
      </c>
      <c r="C18" s="122"/>
      <c r="D18" s="122"/>
      <c r="E18" s="123"/>
      <c r="F18" s="123" t="s">
        <v>63</v>
      </c>
      <c r="G18" s="55"/>
      <c r="H18" s="123">
        <v>6</v>
      </c>
      <c r="I18" s="124">
        <f t="shared" si="0"/>
        <v>0.625</v>
      </c>
      <c r="J18" s="125">
        <f t="shared" si="1"/>
        <v>0.625</v>
      </c>
    </row>
    <row r="19" spans="1:10">
      <c r="A19" s="112" t="s">
        <v>71</v>
      </c>
      <c r="B19" s="112"/>
      <c r="C19" s="112"/>
      <c r="D19" s="112"/>
      <c r="E19" s="112"/>
      <c r="F19" s="112"/>
      <c r="G19" s="112"/>
      <c r="H19" s="112"/>
      <c r="I19" s="37">
        <f>SUM(I5:I18)</f>
        <v>10.000000000000002</v>
      </c>
      <c r="J19" s="36">
        <f>SUM(J5:J18)</f>
        <v>6.875</v>
      </c>
    </row>
  </sheetData>
  <mergeCells count="22">
    <mergeCell ref="A19:H19"/>
    <mergeCell ref="B8:D8"/>
    <mergeCell ref="B9:D9"/>
    <mergeCell ref="B10:D10"/>
    <mergeCell ref="B11:D11"/>
    <mergeCell ref="B12:D12"/>
    <mergeCell ref="B13:D13"/>
    <mergeCell ref="B14:D14"/>
    <mergeCell ref="B15:D15"/>
    <mergeCell ref="B16:D16"/>
    <mergeCell ref="B17:D17"/>
    <mergeCell ref="B18:D18"/>
    <mergeCell ref="A1:B1"/>
    <mergeCell ref="A2:B2"/>
    <mergeCell ref="C1:J1"/>
    <mergeCell ref="C2:J2"/>
    <mergeCell ref="B7:D7"/>
    <mergeCell ref="A3:B3"/>
    <mergeCell ref="E3:J3"/>
    <mergeCell ref="B4:D4"/>
    <mergeCell ref="B5:D5"/>
    <mergeCell ref="B6:D6"/>
  </mergeCells>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92CE6-77FA-4FAB-B845-8E6B3CCB5C92}">
  <sheetPr>
    <tabColor rgb="FFFFCC66"/>
  </sheetPr>
  <dimension ref="A1:J14"/>
  <sheetViews>
    <sheetView workbookViewId="0">
      <pane xSplit="4" ySplit="4" topLeftCell="E5" activePane="bottomRight" state="frozen"/>
      <selection pane="bottomRight" activeCell="B8" sqref="A1:J14"/>
      <selection pane="bottomLeft" activeCell="C3" sqref="C3"/>
      <selection pane="topRight" activeCell="C3" sqref="C3"/>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496</v>
      </c>
      <c r="D2" s="74"/>
      <c r="E2" s="74"/>
      <c r="F2" s="74"/>
      <c r="G2" s="74"/>
      <c r="H2" s="74"/>
      <c r="I2" s="74"/>
      <c r="J2" s="75"/>
    </row>
    <row r="3" spans="1:10" ht="45">
      <c r="A3" s="70" t="s">
        <v>81</v>
      </c>
      <c r="B3" s="70"/>
      <c r="C3" s="18" t="s">
        <v>93</v>
      </c>
      <c r="D3" s="55" t="s">
        <v>136</v>
      </c>
      <c r="E3" s="122" t="s">
        <v>374</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28.5" customHeight="1">
      <c r="A5" s="52">
        <v>1</v>
      </c>
      <c r="B5" s="122" t="s">
        <v>272</v>
      </c>
      <c r="C5" s="122"/>
      <c r="D5" s="122"/>
      <c r="E5" s="123"/>
      <c r="F5" s="123" t="s">
        <v>63</v>
      </c>
      <c r="G5" s="55"/>
      <c r="H5" s="123">
        <v>10</v>
      </c>
      <c r="I5" s="124">
        <f>IF(H5="","",((H5*10)/SUM($H$5:$H$13)))</f>
        <v>1.6129032258064515</v>
      </c>
      <c r="J5" s="125">
        <f>IF(F5="X",((H5*10)/SUM($H$5:$H$13)),0)</f>
        <v>1.6129032258064515</v>
      </c>
    </row>
    <row r="6" spans="1:10" ht="42.75" customHeight="1">
      <c r="A6" s="52">
        <v>2</v>
      </c>
      <c r="B6" s="122" t="s">
        <v>375</v>
      </c>
      <c r="C6" s="122"/>
      <c r="D6" s="122"/>
      <c r="E6" s="123"/>
      <c r="F6" s="123" t="s">
        <v>63</v>
      </c>
      <c r="G6" s="55"/>
      <c r="H6" s="123">
        <v>6</v>
      </c>
      <c r="I6" s="124">
        <f t="shared" ref="I6:I13" si="0">IF(H6="","",((H6*10)/SUM($H$5:$H$13)))</f>
        <v>0.967741935483871</v>
      </c>
      <c r="J6" s="125">
        <f t="shared" ref="J6:J13" si="1">IF(F6="X",((H6*10)/SUM($H$5:$H$13)),0)</f>
        <v>0.967741935483871</v>
      </c>
    </row>
    <row r="7" spans="1:10" ht="57" customHeight="1">
      <c r="A7" s="52">
        <v>3</v>
      </c>
      <c r="B7" s="122" t="s">
        <v>376</v>
      </c>
      <c r="C7" s="122"/>
      <c r="D7" s="122"/>
      <c r="E7" s="123"/>
      <c r="F7" s="123" t="s">
        <v>63</v>
      </c>
      <c r="G7" s="55"/>
      <c r="H7" s="123">
        <v>6</v>
      </c>
      <c r="I7" s="124">
        <f t="shared" si="0"/>
        <v>0.967741935483871</v>
      </c>
      <c r="J7" s="125">
        <f t="shared" si="1"/>
        <v>0.967741935483871</v>
      </c>
    </row>
    <row r="8" spans="1:10" ht="57" customHeight="1">
      <c r="A8" s="52">
        <v>4</v>
      </c>
      <c r="B8" s="122" t="s">
        <v>377</v>
      </c>
      <c r="C8" s="122"/>
      <c r="D8" s="122"/>
      <c r="E8" s="123"/>
      <c r="F8" s="123" t="s">
        <v>63</v>
      </c>
      <c r="G8" s="55"/>
      <c r="H8" s="123">
        <v>10</v>
      </c>
      <c r="I8" s="124">
        <f t="shared" si="0"/>
        <v>1.6129032258064515</v>
      </c>
      <c r="J8" s="125">
        <f t="shared" si="1"/>
        <v>1.6129032258064515</v>
      </c>
    </row>
    <row r="9" spans="1:10" ht="42.75" customHeight="1">
      <c r="A9" s="52">
        <v>5</v>
      </c>
      <c r="B9" s="122" t="s">
        <v>378</v>
      </c>
      <c r="C9" s="122"/>
      <c r="D9" s="122"/>
      <c r="E9" s="123"/>
      <c r="F9" s="123" t="s">
        <v>63</v>
      </c>
      <c r="G9" s="55"/>
      <c r="H9" s="123">
        <v>10</v>
      </c>
      <c r="I9" s="124">
        <f t="shared" si="0"/>
        <v>1.6129032258064515</v>
      </c>
      <c r="J9" s="125">
        <f t="shared" si="1"/>
        <v>1.6129032258064515</v>
      </c>
    </row>
    <row r="10" spans="1:10" ht="28.5" customHeight="1">
      <c r="A10" s="52">
        <v>6</v>
      </c>
      <c r="B10" s="122" t="s">
        <v>379</v>
      </c>
      <c r="C10" s="122"/>
      <c r="D10" s="122"/>
      <c r="E10" s="123" t="s">
        <v>63</v>
      </c>
      <c r="F10" s="123"/>
      <c r="G10" s="55"/>
      <c r="H10" s="123">
        <v>10</v>
      </c>
      <c r="I10" s="124">
        <f t="shared" si="0"/>
        <v>1.6129032258064515</v>
      </c>
      <c r="J10" s="125">
        <f t="shared" si="1"/>
        <v>0</v>
      </c>
    </row>
    <row r="11" spans="1:10" ht="28.5" customHeight="1">
      <c r="A11" s="52">
        <v>7</v>
      </c>
      <c r="B11" s="122" t="s">
        <v>380</v>
      </c>
      <c r="C11" s="122"/>
      <c r="D11" s="122"/>
      <c r="E11" s="123"/>
      <c r="F11" s="123" t="s">
        <v>63</v>
      </c>
      <c r="G11" s="55"/>
      <c r="H11" s="123">
        <v>6</v>
      </c>
      <c r="I11" s="124">
        <f t="shared" si="0"/>
        <v>0.967741935483871</v>
      </c>
      <c r="J11" s="125">
        <f t="shared" si="1"/>
        <v>0.967741935483871</v>
      </c>
    </row>
    <row r="12" spans="1:10" ht="28.5" customHeight="1">
      <c r="A12" s="52">
        <v>8</v>
      </c>
      <c r="B12" s="122" t="s">
        <v>381</v>
      </c>
      <c r="C12" s="122"/>
      <c r="D12" s="122"/>
      <c r="E12" s="123" t="s">
        <v>63</v>
      </c>
      <c r="F12" s="123"/>
      <c r="G12" s="55"/>
      <c r="H12" s="123">
        <v>2</v>
      </c>
      <c r="I12" s="124">
        <f t="shared" si="0"/>
        <v>0.32258064516129031</v>
      </c>
      <c r="J12" s="125">
        <f t="shared" si="1"/>
        <v>0</v>
      </c>
    </row>
    <row r="13" spans="1:10" ht="28.5" customHeight="1">
      <c r="A13" s="52">
        <v>9</v>
      </c>
      <c r="B13" s="122" t="s">
        <v>382</v>
      </c>
      <c r="C13" s="122"/>
      <c r="D13" s="122"/>
      <c r="E13" s="123" t="s">
        <v>63</v>
      </c>
      <c r="F13" s="123"/>
      <c r="G13" s="55"/>
      <c r="H13" s="123">
        <v>2</v>
      </c>
      <c r="I13" s="124">
        <f t="shared" si="0"/>
        <v>0.32258064516129031</v>
      </c>
      <c r="J13" s="125">
        <f t="shared" si="1"/>
        <v>0</v>
      </c>
    </row>
    <row r="14" spans="1:10">
      <c r="A14" s="112" t="s">
        <v>71</v>
      </c>
      <c r="B14" s="112"/>
      <c r="C14" s="112"/>
      <c r="D14" s="112"/>
      <c r="E14" s="112"/>
      <c r="F14" s="112"/>
      <c r="G14" s="112"/>
      <c r="H14" s="112"/>
      <c r="I14" s="37">
        <f>SUM(I5:I13)</f>
        <v>10</v>
      </c>
      <c r="J14" s="36">
        <f>SUM(J5:J13)</f>
        <v>7.7419354838709671</v>
      </c>
    </row>
  </sheetData>
  <mergeCells count="17">
    <mergeCell ref="A14:H14"/>
    <mergeCell ref="B8:D8"/>
    <mergeCell ref="B9:D9"/>
    <mergeCell ref="B10:D10"/>
    <mergeCell ref="B11:D11"/>
    <mergeCell ref="B12:D12"/>
    <mergeCell ref="B13:D13"/>
    <mergeCell ref="A1:B1"/>
    <mergeCell ref="A2:B2"/>
    <mergeCell ref="C1:J1"/>
    <mergeCell ref="C2:J2"/>
    <mergeCell ref="B7:D7"/>
    <mergeCell ref="A3:B3"/>
    <mergeCell ref="E3:J3"/>
    <mergeCell ref="B4:D4"/>
    <mergeCell ref="B5:D5"/>
    <mergeCell ref="B6:D6"/>
  </mergeCells>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29F1C-3D0C-4D80-BA1F-C01E53DB20EC}">
  <sheetPr>
    <tabColor rgb="FFFFCC66"/>
  </sheetPr>
  <dimension ref="A1:J17"/>
  <sheetViews>
    <sheetView workbookViewId="0">
      <pane xSplit="4" ySplit="4" topLeftCell="E5" activePane="bottomRight" state="frozen"/>
      <selection pane="bottomRight" activeCell="B10" sqref="A1:J17"/>
      <selection pane="bottomLeft" activeCell="C3" sqref="C3"/>
      <selection pane="topRight" activeCell="C3" sqref="C3"/>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496</v>
      </c>
      <c r="D2" s="74"/>
      <c r="E2" s="74"/>
      <c r="F2" s="74"/>
      <c r="G2" s="74"/>
      <c r="H2" s="74"/>
      <c r="I2" s="74"/>
      <c r="J2" s="75"/>
    </row>
    <row r="3" spans="1:10" ht="45">
      <c r="A3" s="70" t="s">
        <v>81</v>
      </c>
      <c r="B3" s="70"/>
      <c r="C3" s="18" t="s">
        <v>93</v>
      </c>
      <c r="D3" s="55" t="s">
        <v>146</v>
      </c>
      <c r="E3" s="122" t="s">
        <v>383</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28.5" customHeight="1">
      <c r="A5" s="52">
        <v>1</v>
      </c>
      <c r="B5" s="122" t="s">
        <v>272</v>
      </c>
      <c r="C5" s="122"/>
      <c r="D5" s="122"/>
      <c r="E5" s="123"/>
      <c r="F5" s="123" t="s">
        <v>63</v>
      </c>
      <c r="G5" s="55"/>
      <c r="H5" s="123">
        <v>10</v>
      </c>
      <c r="I5" s="124">
        <f>IF(H5="","",((H5*10)/SUM($H$5:$H$16)))</f>
        <v>1.0416666666666667</v>
      </c>
      <c r="J5" s="125">
        <f>IF(F5="X",((H5*10)/SUM($H$5:$H$16)),0)</f>
        <v>1.0416666666666667</v>
      </c>
    </row>
    <row r="6" spans="1:10" ht="28.5" customHeight="1">
      <c r="A6" s="52">
        <v>2</v>
      </c>
      <c r="B6" s="122" t="s">
        <v>384</v>
      </c>
      <c r="C6" s="122"/>
      <c r="D6" s="122"/>
      <c r="E6" s="123"/>
      <c r="F6" s="123" t="s">
        <v>63</v>
      </c>
      <c r="G6" s="55"/>
      <c r="H6" s="123">
        <v>10</v>
      </c>
      <c r="I6" s="124">
        <f t="shared" ref="I6:I16" si="0">IF(H6="","",((H6*10)/SUM($H$5:$H$16)))</f>
        <v>1.0416666666666667</v>
      </c>
      <c r="J6" s="125">
        <f t="shared" ref="J6:J16" si="1">IF(F6="X",((H6*10)/SUM($H$5:$H$16)),0)</f>
        <v>1.0416666666666667</v>
      </c>
    </row>
    <row r="7" spans="1:10" ht="28.5" customHeight="1">
      <c r="A7" s="52">
        <v>3</v>
      </c>
      <c r="B7" s="122" t="s">
        <v>385</v>
      </c>
      <c r="C7" s="122"/>
      <c r="D7" s="122"/>
      <c r="E7" s="123"/>
      <c r="F7" s="123" t="s">
        <v>63</v>
      </c>
      <c r="G7" s="55"/>
      <c r="H7" s="123">
        <v>6</v>
      </c>
      <c r="I7" s="124">
        <f t="shared" si="0"/>
        <v>0.625</v>
      </c>
      <c r="J7" s="125">
        <f t="shared" si="1"/>
        <v>0.625</v>
      </c>
    </row>
    <row r="8" spans="1:10" ht="28.5" customHeight="1">
      <c r="A8" s="52">
        <v>4</v>
      </c>
      <c r="B8" s="122" t="s">
        <v>386</v>
      </c>
      <c r="C8" s="122"/>
      <c r="D8" s="122"/>
      <c r="E8" s="123"/>
      <c r="F8" s="123" t="s">
        <v>63</v>
      </c>
      <c r="G8" s="55"/>
      <c r="H8" s="123">
        <v>6</v>
      </c>
      <c r="I8" s="124">
        <f t="shared" si="0"/>
        <v>0.625</v>
      </c>
      <c r="J8" s="125">
        <f t="shared" si="1"/>
        <v>0.625</v>
      </c>
    </row>
    <row r="9" spans="1:10" ht="28.5" customHeight="1">
      <c r="A9" s="52">
        <v>5</v>
      </c>
      <c r="B9" s="122" t="s">
        <v>387</v>
      </c>
      <c r="C9" s="122"/>
      <c r="D9" s="122"/>
      <c r="E9" s="123"/>
      <c r="F9" s="123" t="s">
        <v>63</v>
      </c>
      <c r="G9" s="55"/>
      <c r="H9" s="123">
        <v>10</v>
      </c>
      <c r="I9" s="124">
        <f t="shared" si="0"/>
        <v>1.0416666666666667</v>
      </c>
      <c r="J9" s="125">
        <f t="shared" si="1"/>
        <v>1.0416666666666667</v>
      </c>
    </row>
    <row r="10" spans="1:10" ht="42.75" customHeight="1">
      <c r="A10" s="52">
        <v>6</v>
      </c>
      <c r="B10" s="122" t="s">
        <v>388</v>
      </c>
      <c r="C10" s="122"/>
      <c r="D10" s="122"/>
      <c r="E10" s="123"/>
      <c r="F10" s="123" t="s">
        <v>63</v>
      </c>
      <c r="G10" s="55"/>
      <c r="H10" s="123">
        <v>10</v>
      </c>
      <c r="I10" s="124">
        <f t="shared" si="0"/>
        <v>1.0416666666666667</v>
      </c>
      <c r="J10" s="125">
        <f t="shared" si="1"/>
        <v>1.0416666666666667</v>
      </c>
    </row>
    <row r="11" spans="1:10" ht="57" customHeight="1">
      <c r="A11" s="52">
        <v>7</v>
      </c>
      <c r="B11" s="122" t="s">
        <v>389</v>
      </c>
      <c r="C11" s="122"/>
      <c r="D11" s="122"/>
      <c r="E11" s="123" t="s">
        <v>63</v>
      </c>
      <c r="F11" s="123"/>
      <c r="G11" s="55"/>
      <c r="H11" s="123">
        <v>10</v>
      </c>
      <c r="I11" s="124">
        <f t="shared" si="0"/>
        <v>1.0416666666666667</v>
      </c>
      <c r="J11" s="125">
        <f t="shared" si="1"/>
        <v>0</v>
      </c>
    </row>
    <row r="12" spans="1:10" ht="28.5" customHeight="1">
      <c r="A12" s="52">
        <v>8</v>
      </c>
      <c r="B12" s="122" t="s">
        <v>390</v>
      </c>
      <c r="C12" s="122"/>
      <c r="D12" s="122"/>
      <c r="E12" s="123" t="s">
        <v>63</v>
      </c>
      <c r="F12" s="123"/>
      <c r="G12" s="55"/>
      <c r="H12" s="123">
        <v>6</v>
      </c>
      <c r="I12" s="124">
        <f t="shared" si="0"/>
        <v>0.625</v>
      </c>
      <c r="J12" s="125">
        <f t="shared" si="1"/>
        <v>0</v>
      </c>
    </row>
    <row r="13" spans="1:10" ht="28.5" customHeight="1">
      <c r="A13" s="52">
        <v>9</v>
      </c>
      <c r="B13" s="122" t="s">
        <v>391</v>
      </c>
      <c r="C13" s="122"/>
      <c r="D13" s="122"/>
      <c r="E13" s="123" t="s">
        <v>63</v>
      </c>
      <c r="F13" s="123"/>
      <c r="G13" s="55"/>
      <c r="H13" s="123">
        <v>6</v>
      </c>
      <c r="I13" s="124">
        <f t="shared" si="0"/>
        <v>0.625</v>
      </c>
      <c r="J13" s="125">
        <f t="shared" si="1"/>
        <v>0</v>
      </c>
    </row>
    <row r="14" spans="1:10" ht="42.75" customHeight="1">
      <c r="A14" s="52">
        <v>10</v>
      </c>
      <c r="B14" s="122" t="s">
        <v>392</v>
      </c>
      <c r="C14" s="122"/>
      <c r="D14" s="122"/>
      <c r="E14" s="123"/>
      <c r="F14" s="123" t="s">
        <v>63</v>
      </c>
      <c r="G14" s="55"/>
      <c r="H14" s="123">
        <v>10</v>
      </c>
      <c r="I14" s="124">
        <f t="shared" si="0"/>
        <v>1.0416666666666667</v>
      </c>
      <c r="J14" s="125">
        <f t="shared" si="1"/>
        <v>1.0416666666666667</v>
      </c>
    </row>
    <row r="15" spans="1:10" ht="57" customHeight="1">
      <c r="A15" s="52">
        <v>11</v>
      </c>
      <c r="B15" s="122" t="s">
        <v>393</v>
      </c>
      <c r="C15" s="122"/>
      <c r="D15" s="122"/>
      <c r="E15" s="123"/>
      <c r="F15" s="123" t="s">
        <v>63</v>
      </c>
      <c r="G15" s="55"/>
      <c r="H15" s="123">
        <v>6</v>
      </c>
      <c r="I15" s="124">
        <f t="shared" si="0"/>
        <v>0.625</v>
      </c>
      <c r="J15" s="125">
        <f t="shared" si="1"/>
        <v>0.625</v>
      </c>
    </row>
    <row r="16" spans="1:10" ht="57" customHeight="1">
      <c r="A16" s="52">
        <v>12</v>
      </c>
      <c r="B16" s="122" t="s">
        <v>394</v>
      </c>
      <c r="C16" s="122"/>
      <c r="D16" s="122"/>
      <c r="E16" s="123"/>
      <c r="F16" s="123" t="s">
        <v>63</v>
      </c>
      <c r="G16" s="55"/>
      <c r="H16" s="123">
        <v>6</v>
      </c>
      <c r="I16" s="124">
        <f t="shared" si="0"/>
        <v>0.625</v>
      </c>
      <c r="J16" s="125">
        <f t="shared" si="1"/>
        <v>0.625</v>
      </c>
    </row>
    <row r="17" spans="1:10">
      <c r="A17" s="112" t="s">
        <v>71</v>
      </c>
      <c r="B17" s="112"/>
      <c r="C17" s="112"/>
      <c r="D17" s="112"/>
      <c r="E17" s="112"/>
      <c r="F17" s="112"/>
      <c r="G17" s="112"/>
      <c r="H17" s="112"/>
      <c r="I17" s="37">
        <f>SUM(I5:I16)</f>
        <v>10</v>
      </c>
      <c r="J17" s="36">
        <f>SUM(J5:J16)</f>
        <v>7.7083333333333339</v>
      </c>
    </row>
  </sheetData>
  <mergeCells count="20">
    <mergeCell ref="B14:D14"/>
    <mergeCell ref="B15:D15"/>
    <mergeCell ref="B16:D16"/>
    <mergeCell ref="A17:H17"/>
    <mergeCell ref="B8:D8"/>
    <mergeCell ref="B9:D9"/>
    <mergeCell ref="B10:D10"/>
    <mergeCell ref="B11:D11"/>
    <mergeCell ref="B12:D12"/>
    <mergeCell ref="B13:D13"/>
    <mergeCell ref="A1:B1"/>
    <mergeCell ref="A2:B2"/>
    <mergeCell ref="C1:J1"/>
    <mergeCell ref="C2:J2"/>
    <mergeCell ref="B7:D7"/>
    <mergeCell ref="A3:B3"/>
    <mergeCell ref="E3:J3"/>
    <mergeCell ref="B4:D4"/>
    <mergeCell ref="B5:D5"/>
    <mergeCell ref="B6:D6"/>
  </mergeCells>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F8C7E-5313-46CF-A916-2985E397EEB2}">
  <sheetPr>
    <tabColor rgb="FFFFCC66"/>
  </sheetPr>
  <dimension ref="A1:J16"/>
  <sheetViews>
    <sheetView workbookViewId="0">
      <pane xSplit="4" ySplit="4" topLeftCell="E5" activePane="bottomRight" state="frozen"/>
      <selection pane="bottomRight" activeCell="B8" sqref="A1:J16"/>
      <selection pane="bottomLeft" activeCell="C3" sqref="C3"/>
      <selection pane="topRight" activeCell="C3" sqref="C3"/>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496</v>
      </c>
      <c r="D2" s="74"/>
      <c r="E2" s="74"/>
      <c r="F2" s="74"/>
      <c r="G2" s="74"/>
      <c r="H2" s="74"/>
      <c r="I2" s="74"/>
      <c r="J2" s="75"/>
    </row>
    <row r="3" spans="1:10" ht="45">
      <c r="A3" s="70" t="s">
        <v>81</v>
      </c>
      <c r="B3" s="70"/>
      <c r="C3" s="18" t="s">
        <v>93</v>
      </c>
      <c r="D3" s="55" t="s">
        <v>160</v>
      </c>
      <c r="E3" s="122" t="s">
        <v>395</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28.5" customHeight="1">
      <c r="A5" s="52">
        <v>1</v>
      </c>
      <c r="B5" s="122" t="s">
        <v>272</v>
      </c>
      <c r="C5" s="122"/>
      <c r="D5" s="122"/>
      <c r="E5" s="123"/>
      <c r="F5" s="123" t="s">
        <v>63</v>
      </c>
      <c r="G5" s="123"/>
      <c r="H5" s="123">
        <v>10</v>
      </c>
      <c r="I5" s="124">
        <f>IF(H5="","",((H5*10)/SUM($H$5:$H$15)))</f>
        <v>1.5151515151515151</v>
      </c>
      <c r="J5" s="125">
        <f>IF(F5="X",((H5*10)/SUM($H$5:$H$15)),0)</f>
        <v>1.5151515151515151</v>
      </c>
    </row>
    <row r="6" spans="1:10" ht="42.75" customHeight="1">
      <c r="A6" s="52">
        <v>2</v>
      </c>
      <c r="B6" s="122" t="s">
        <v>396</v>
      </c>
      <c r="C6" s="122"/>
      <c r="D6" s="122"/>
      <c r="E6" s="123"/>
      <c r="F6" s="123" t="s">
        <v>63</v>
      </c>
      <c r="G6" s="123"/>
      <c r="H6" s="123">
        <v>6</v>
      </c>
      <c r="I6" s="124">
        <f t="shared" ref="I6:I15" si="0">IF(H6="","",((H6*10)/SUM($H$5:$H$15)))</f>
        <v>0.90909090909090906</v>
      </c>
      <c r="J6" s="125">
        <f t="shared" ref="J6:J15" si="1">IF(F6="X",((H6*10)/SUM($H$5:$H$15)),0)</f>
        <v>0.90909090909090906</v>
      </c>
    </row>
    <row r="7" spans="1:10" ht="42.75" customHeight="1">
      <c r="A7" s="52">
        <v>3</v>
      </c>
      <c r="B7" s="122" t="s">
        <v>397</v>
      </c>
      <c r="C7" s="122"/>
      <c r="D7" s="122"/>
      <c r="E7" s="123"/>
      <c r="F7" s="123" t="s">
        <v>63</v>
      </c>
      <c r="G7" s="123"/>
      <c r="H7" s="123">
        <v>2</v>
      </c>
      <c r="I7" s="124">
        <f t="shared" si="0"/>
        <v>0.30303030303030304</v>
      </c>
      <c r="J7" s="125">
        <f t="shared" si="1"/>
        <v>0.30303030303030304</v>
      </c>
    </row>
    <row r="8" spans="1:10" ht="42.75" customHeight="1">
      <c r="A8" s="52">
        <v>4</v>
      </c>
      <c r="B8" s="122" t="s">
        <v>398</v>
      </c>
      <c r="C8" s="122"/>
      <c r="D8" s="122"/>
      <c r="E8" s="123"/>
      <c r="F8" s="123" t="s">
        <v>63</v>
      </c>
      <c r="G8" s="123"/>
      <c r="H8" s="123">
        <v>2</v>
      </c>
      <c r="I8" s="124">
        <f t="shared" si="0"/>
        <v>0.30303030303030304</v>
      </c>
      <c r="J8" s="125">
        <f t="shared" si="1"/>
        <v>0.30303030303030304</v>
      </c>
    </row>
    <row r="9" spans="1:10" ht="28.5" customHeight="1">
      <c r="A9" s="52">
        <v>5</v>
      </c>
      <c r="B9" s="122" t="s">
        <v>399</v>
      </c>
      <c r="C9" s="122"/>
      <c r="D9" s="122"/>
      <c r="E9" s="123" t="s">
        <v>63</v>
      </c>
      <c r="F9" s="123"/>
      <c r="G9" s="123"/>
      <c r="H9" s="123">
        <v>6</v>
      </c>
      <c r="I9" s="124">
        <f t="shared" si="0"/>
        <v>0.90909090909090906</v>
      </c>
      <c r="J9" s="125">
        <f t="shared" si="1"/>
        <v>0</v>
      </c>
    </row>
    <row r="10" spans="1:10" ht="28.5" customHeight="1">
      <c r="A10" s="52">
        <v>6</v>
      </c>
      <c r="B10" s="122" t="s">
        <v>400</v>
      </c>
      <c r="C10" s="122"/>
      <c r="D10" s="122"/>
      <c r="E10" s="123"/>
      <c r="F10" s="123" t="s">
        <v>63</v>
      </c>
      <c r="G10" s="123"/>
      <c r="H10" s="123">
        <v>10</v>
      </c>
      <c r="I10" s="124">
        <f t="shared" si="0"/>
        <v>1.5151515151515151</v>
      </c>
      <c r="J10" s="125">
        <f t="shared" si="1"/>
        <v>1.5151515151515151</v>
      </c>
    </row>
    <row r="11" spans="1:10" ht="28.5" customHeight="1">
      <c r="A11" s="52">
        <v>7</v>
      </c>
      <c r="B11" s="122" t="s">
        <v>168</v>
      </c>
      <c r="C11" s="122"/>
      <c r="D11" s="122"/>
      <c r="E11" s="123" t="s">
        <v>63</v>
      </c>
      <c r="F11" s="123"/>
      <c r="G11" s="123"/>
      <c r="H11" s="123">
        <v>10</v>
      </c>
      <c r="I11" s="124">
        <f t="shared" si="0"/>
        <v>1.5151515151515151</v>
      </c>
      <c r="J11" s="125">
        <f t="shared" si="1"/>
        <v>0</v>
      </c>
    </row>
    <row r="12" spans="1:10" ht="28.5" customHeight="1">
      <c r="A12" s="52">
        <v>8</v>
      </c>
      <c r="B12" s="122" t="s">
        <v>401</v>
      </c>
      <c r="C12" s="122"/>
      <c r="D12" s="122"/>
      <c r="E12" s="123" t="s">
        <v>63</v>
      </c>
      <c r="F12" s="123"/>
      <c r="G12" s="123"/>
      <c r="H12" s="123">
        <v>6</v>
      </c>
      <c r="I12" s="124">
        <f t="shared" si="0"/>
        <v>0.90909090909090906</v>
      </c>
      <c r="J12" s="125">
        <f t="shared" si="1"/>
        <v>0</v>
      </c>
    </row>
    <row r="13" spans="1:10" ht="42.75" customHeight="1">
      <c r="A13" s="52">
        <v>9</v>
      </c>
      <c r="B13" s="122" t="s">
        <v>402</v>
      </c>
      <c r="C13" s="122"/>
      <c r="D13" s="122"/>
      <c r="E13" s="123"/>
      <c r="F13" s="123" t="s">
        <v>63</v>
      </c>
      <c r="G13" s="123"/>
      <c r="H13" s="123">
        <v>2</v>
      </c>
      <c r="I13" s="124">
        <f t="shared" si="0"/>
        <v>0.30303030303030304</v>
      </c>
      <c r="J13" s="125">
        <f t="shared" si="1"/>
        <v>0.30303030303030304</v>
      </c>
    </row>
    <row r="14" spans="1:10" ht="28.5" customHeight="1">
      <c r="A14" s="52">
        <v>10</v>
      </c>
      <c r="B14" s="122" t="s">
        <v>403</v>
      </c>
      <c r="C14" s="122"/>
      <c r="D14" s="122"/>
      <c r="E14" s="123"/>
      <c r="F14" s="123" t="s">
        <v>63</v>
      </c>
      <c r="G14" s="123"/>
      <c r="H14" s="123">
        <v>6</v>
      </c>
      <c r="I14" s="124">
        <f t="shared" si="0"/>
        <v>0.90909090909090906</v>
      </c>
      <c r="J14" s="125">
        <f t="shared" si="1"/>
        <v>0.90909090909090906</v>
      </c>
    </row>
    <row r="15" spans="1:10">
      <c r="A15" s="52">
        <v>11</v>
      </c>
      <c r="B15" s="122" t="s">
        <v>172</v>
      </c>
      <c r="C15" s="122"/>
      <c r="D15" s="122"/>
      <c r="E15" s="123"/>
      <c r="F15" s="123" t="s">
        <v>63</v>
      </c>
      <c r="G15" s="123"/>
      <c r="H15" s="123">
        <v>6</v>
      </c>
      <c r="I15" s="124">
        <f t="shared" si="0"/>
        <v>0.90909090909090906</v>
      </c>
      <c r="J15" s="125">
        <f t="shared" si="1"/>
        <v>0.90909090909090906</v>
      </c>
    </row>
    <row r="16" spans="1:10">
      <c r="A16" s="112" t="s">
        <v>71</v>
      </c>
      <c r="B16" s="112"/>
      <c r="C16" s="112"/>
      <c r="D16" s="112"/>
      <c r="E16" s="112"/>
      <c r="F16" s="112"/>
      <c r="G16" s="112"/>
      <c r="H16" s="112"/>
      <c r="I16" s="37">
        <f>SUM(I5:I15)</f>
        <v>10</v>
      </c>
      <c r="J16" s="36">
        <f>SUM(J5:J15)</f>
        <v>6.666666666666667</v>
      </c>
    </row>
  </sheetData>
  <mergeCells count="19">
    <mergeCell ref="B14:D14"/>
    <mergeCell ref="B15:D15"/>
    <mergeCell ref="A16:H16"/>
    <mergeCell ref="B8:D8"/>
    <mergeCell ref="B9:D9"/>
    <mergeCell ref="B10:D10"/>
    <mergeCell ref="B11:D11"/>
    <mergeCell ref="B12:D12"/>
    <mergeCell ref="B13:D13"/>
    <mergeCell ref="A1:B1"/>
    <mergeCell ref="A2:B2"/>
    <mergeCell ref="C1:J1"/>
    <mergeCell ref="C2:J2"/>
    <mergeCell ref="B7:D7"/>
    <mergeCell ref="A3:B3"/>
    <mergeCell ref="E3:J3"/>
    <mergeCell ref="B4:D4"/>
    <mergeCell ref="B5:D5"/>
    <mergeCell ref="B6:D6"/>
  </mergeCells>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A876E-1D74-425C-BA3A-65CA17845D3D}">
  <sheetPr>
    <tabColor rgb="FFFFCC66"/>
  </sheetPr>
  <dimension ref="A1:J17"/>
  <sheetViews>
    <sheetView workbookViewId="0">
      <pane xSplit="4" ySplit="4" topLeftCell="E5" activePane="bottomRight" state="frozen"/>
      <selection pane="bottomRight" activeCell="B8" sqref="A1:J17"/>
      <selection pane="bottomLeft" activeCell="C3" sqref="C3"/>
      <selection pane="topRight" activeCell="C3" sqref="C3"/>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496</v>
      </c>
      <c r="D2" s="74"/>
      <c r="E2" s="74"/>
      <c r="F2" s="74"/>
      <c r="G2" s="74"/>
      <c r="H2" s="74"/>
      <c r="I2" s="74"/>
      <c r="J2" s="75"/>
    </row>
    <row r="3" spans="1:10" ht="90">
      <c r="A3" s="70" t="s">
        <v>81</v>
      </c>
      <c r="B3" s="70"/>
      <c r="C3" s="18" t="s">
        <v>93</v>
      </c>
      <c r="D3" s="55" t="s">
        <v>176</v>
      </c>
      <c r="E3" s="122" t="s">
        <v>404</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57" customHeight="1">
      <c r="A5" s="52">
        <v>1</v>
      </c>
      <c r="B5" s="122" t="s">
        <v>405</v>
      </c>
      <c r="C5" s="122"/>
      <c r="D5" s="122"/>
      <c r="E5" s="123" t="s">
        <v>63</v>
      </c>
      <c r="F5" s="123"/>
      <c r="G5" s="55"/>
      <c r="H5" s="123">
        <v>6</v>
      </c>
      <c r="I5" s="124">
        <f>IF(H5="","",((H5*10)/SUM($H$5:$H$16)))</f>
        <v>0.83333333333333337</v>
      </c>
      <c r="J5" s="125">
        <f>IF(F5="X",((H5*10)/SUM($H$5:$H$16)),0)</f>
        <v>0</v>
      </c>
    </row>
    <row r="6" spans="1:10" ht="28.5" customHeight="1">
      <c r="A6" s="52">
        <v>2</v>
      </c>
      <c r="B6" s="122" t="s">
        <v>99</v>
      </c>
      <c r="C6" s="122"/>
      <c r="D6" s="122"/>
      <c r="E6" s="123"/>
      <c r="F6" s="123" t="s">
        <v>63</v>
      </c>
      <c r="G6" s="55"/>
      <c r="H6" s="123">
        <v>2</v>
      </c>
      <c r="I6" s="124">
        <f t="shared" ref="I6:I16" si="0">IF(H6="","",((H6*10)/SUM($H$5:$H$16)))</f>
        <v>0.27777777777777779</v>
      </c>
      <c r="J6" s="125">
        <f t="shared" ref="J6:J16" si="1">IF(F6="X",((H6*10)/SUM($H$5:$H$16)),0)</f>
        <v>0.27777777777777779</v>
      </c>
    </row>
    <row r="7" spans="1:10" ht="28.5" customHeight="1">
      <c r="A7" s="52">
        <v>3</v>
      </c>
      <c r="B7" s="122" t="s">
        <v>406</v>
      </c>
      <c r="C7" s="122"/>
      <c r="D7" s="122"/>
      <c r="E7" s="123" t="s">
        <v>63</v>
      </c>
      <c r="F7" s="123"/>
      <c r="G7" s="55"/>
      <c r="H7" s="123">
        <v>10</v>
      </c>
      <c r="I7" s="124">
        <f t="shared" si="0"/>
        <v>1.3888888888888888</v>
      </c>
      <c r="J7" s="125">
        <f t="shared" si="1"/>
        <v>0</v>
      </c>
    </row>
    <row r="8" spans="1:10" ht="42.75" customHeight="1">
      <c r="A8" s="52">
        <v>4</v>
      </c>
      <c r="B8" s="122" t="s">
        <v>407</v>
      </c>
      <c r="C8" s="122"/>
      <c r="D8" s="122"/>
      <c r="E8" s="123" t="s">
        <v>63</v>
      </c>
      <c r="F8" s="123"/>
      <c r="G8" s="55"/>
      <c r="H8" s="123">
        <v>6</v>
      </c>
      <c r="I8" s="124">
        <f t="shared" si="0"/>
        <v>0.83333333333333337</v>
      </c>
      <c r="J8" s="125">
        <f t="shared" si="1"/>
        <v>0</v>
      </c>
    </row>
    <row r="9" spans="1:10" ht="28.5" customHeight="1">
      <c r="A9" s="52">
        <v>5</v>
      </c>
      <c r="B9" s="122" t="s">
        <v>408</v>
      </c>
      <c r="C9" s="122"/>
      <c r="D9" s="122"/>
      <c r="E9" s="123"/>
      <c r="F9" s="123" t="s">
        <v>63</v>
      </c>
      <c r="G9" s="55"/>
      <c r="H9" s="123">
        <v>10</v>
      </c>
      <c r="I9" s="124">
        <f t="shared" si="0"/>
        <v>1.3888888888888888</v>
      </c>
      <c r="J9" s="125">
        <f t="shared" si="1"/>
        <v>1.3888888888888888</v>
      </c>
    </row>
    <row r="10" spans="1:10" ht="28.5" customHeight="1">
      <c r="A10" s="52">
        <v>6</v>
      </c>
      <c r="B10" s="122" t="s">
        <v>409</v>
      </c>
      <c r="C10" s="122"/>
      <c r="D10" s="122"/>
      <c r="E10" s="123"/>
      <c r="F10" s="123" t="s">
        <v>63</v>
      </c>
      <c r="G10" s="55"/>
      <c r="H10" s="123">
        <v>10</v>
      </c>
      <c r="I10" s="124">
        <f t="shared" si="0"/>
        <v>1.3888888888888888</v>
      </c>
      <c r="J10" s="125">
        <f t="shared" si="1"/>
        <v>1.3888888888888888</v>
      </c>
    </row>
    <row r="11" spans="1:10" ht="28.5" customHeight="1">
      <c r="A11" s="52">
        <v>7</v>
      </c>
      <c r="B11" s="122" t="s">
        <v>410</v>
      </c>
      <c r="C11" s="122"/>
      <c r="D11" s="122"/>
      <c r="E11" s="123"/>
      <c r="F11" s="123" t="s">
        <v>63</v>
      </c>
      <c r="G11" s="55"/>
      <c r="H11" s="123">
        <v>2</v>
      </c>
      <c r="I11" s="124">
        <f t="shared" si="0"/>
        <v>0.27777777777777779</v>
      </c>
      <c r="J11" s="125">
        <f t="shared" si="1"/>
        <v>0.27777777777777779</v>
      </c>
    </row>
    <row r="12" spans="1:10" ht="28.5" customHeight="1">
      <c r="A12" s="52">
        <v>8</v>
      </c>
      <c r="B12" s="122" t="s">
        <v>182</v>
      </c>
      <c r="C12" s="122"/>
      <c r="D12" s="122"/>
      <c r="E12" s="123"/>
      <c r="F12" s="123" t="s">
        <v>63</v>
      </c>
      <c r="G12" s="55"/>
      <c r="H12" s="123">
        <v>10</v>
      </c>
      <c r="I12" s="124">
        <f t="shared" si="0"/>
        <v>1.3888888888888888</v>
      </c>
      <c r="J12" s="125">
        <f t="shared" si="1"/>
        <v>1.3888888888888888</v>
      </c>
    </row>
    <row r="13" spans="1:10" ht="28.5" customHeight="1">
      <c r="A13" s="52">
        <v>9</v>
      </c>
      <c r="B13" s="122" t="s">
        <v>411</v>
      </c>
      <c r="C13" s="122"/>
      <c r="D13" s="122"/>
      <c r="E13" s="123"/>
      <c r="F13" s="123" t="s">
        <v>63</v>
      </c>
      <c r="G13" s="55"/>
      <c r="H13" s="123">
        <v>2</v>
      </c>
      <c r="I13" s="124">
        <f t="shared" si="0"/>
        <v>0.27777777777777779</v>
      </c>
      <c r="J13" s="125">
        <f t="shared" si="1"/>
        <v>0.27777777777777779</v>
      </c>
    </row>
    <row r="14" spans="1:10" ht="28.5" customHeight="1">
      <c r="A14" s="52">
        <v>10</v>
      </c>
      <c r="B14" s="122" t="s">
        <v>412</v>
      </c>
      <c r="C14" s="122"/>
      <c r="D14" s="122"/>
      <c r="E14" s="123" t="s">
        <v>63</v>
      </c>
      <c r="F14" s="123"/>
      <c r="G14" s="55"/>
      <c r="H14" s="123">
        <v>6</v>
      </c>
      <c r="I14" s="124">
        <f t="shared" si="0"/>
        <v>0.83333333333333337</v>
      </c>
      <c r="J14" s="125">
        <f t="shared" si="1"/>
        <v>0</v>
      </c>
    </row>
    <row r="15" spans="1:10" ht="42.75" customHeight="1">
      <c r="A15" s="52">
        <v>11</v>
      </c>
      <c r="B15" s="122" t="s">
        <v>413</v>
      </c>
      <c r="C15" s="122"/>
      <c r="D15" s="122"/>
      <c r="E15" s="123" t="s">
        <v>63</v>
      </c>
      <c r="F15" s="123"/>
      <c r="G15" s="55"/>
      <c r="H15" s="123">
        <v>6</v>
      </c>
      <c r="I15" s="124">
        <f t="shared" si="0"/>
        <v>0.83333333333333337</v>
      </c>
      <c r="J15" s="125">
        <f t="shared" si="1"/>
        <v>0</v>
      </c>
    </row>
    <row r="16" spans="1:10" ht="42.75" customHeight="1">
      <c r="A16" s="52">
        <v>12</v>
      </c>
      <c r="B16" s="122" t="s">
        <v>414</v>
      </c>
      <c r="C16" s="122"/>
      <c r="D16" s="122"/>
      <c r="E16" s="123"/>
      <c r="F16" s="123" t="s">
        <v>63</v>
      </c>
      <c r="G16" s="55"/>
      <c r="H16" s="123">
        <v>2</v>
      </c>
      <c r="I16" s="124">
        <f t="shared" si="0"/>
        <v>0.27777777777777779</v>
      </c>
      <c r="J16" s="125">
        <f t="shared" si="1"/>
        <v>0.27777777777777779</v>
      </c>
    </row>
    <row r="17" spans="1:10">
      <c r="A17" s="112" t="s">
        <v>71</v>
      </c>
      <c r="B17" s="112"/>
      <c r="C17" s="112"/>
      <c r="D17" s="112"/>
      <c r="E17" s="112"/>
      <c r="F17" s="112"/>
      <c r="G17" s="112"/>
      <c r="H17" s="112"/>
      <c r="I17" s="37">
        <f>SUM(I5:I16)</f>
        <v>10.000000000000002</v>
      </c>
      <c r="J17" s="36">
        <f>SUM(J5:J16)</f>
        <v>5.2777777777777768</v>
      </c>
    </row>
  </sheetData>
  <mergeCells count="20">
    <mergeCell ref="B14:D14"/>
    <mergeCell ref="B15:D15"/>
    <mergeCell ref="B16:D16"/>
    <mergeCell ref="A17:H17"/>
    <mergeCell ref="B8:D8"/>
    <mergeCell ref="B9:D9"/>
    <mergeCell ref="B10:D10"/>
    <mergeCell ref="B11:D11"/>
    <mergeCell ref="B12:D12"/>
    <mergeCell ref="B13:D13"/>
    <mergeCell ref="A1:B1"/>
    <mergeCell ref="A2:B2"/>
    <mergeCell ref="C1:J1"/>
    <mergeCell ref="C2:J2"/>
    <mergeCell ref="B7:D7"/>
    <mergeCell ref="A3:B3"/>
    <mergeCell ref="E3:J3"/>
    <mergeCell ref="B4:D4"/>
    <mergeCell ref="B5:D5"/>
    <mergeCell ref="B6:D6"/>
  </mergeCells>
  <pageMargins left="0.7" right="0.7" top="0.75" bottom="0.75"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DEA87-0EE8-48B9-B5B7-94F8AE1635DE}">
  <sheetPr>
    <tabColor rgb="FFFFCC66"/>
  </sheetPr>
  <dimension ref="A1:J18"/>
  <sheetViews>
    <sheetView workbookViewId="0">
      <pane xSplit="4" ySplit="4" topLeftCell="E5" activePane="bottomRight" state="frozen"/>
      <selection pane="bottomRight" activeCell="B8" sqref="A1:J18"/>
      <selection pane="bottomLeft" activeCell="C3" sqref="C3"/>
      <selection pane="topRight" activeCell="C3" sqref="C3"/>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496</v>
      </c>
      <c r="D2" s="74"/>
      <c r="E2" s="74"/>
      <c r="F2" s="74"/>
      <c r="G2" s="74"/>
      <c r="H2" s="74"/>
      <c r="I2" s="74"/>
      <c r="J2" s="75"/>
    </row>
    <row r="3" spans="1:10" ht="90">
      <c r="A3" s="70" t="s">
        <v>81</v>
      </c>
      <c r="B3" s="70"/>
      <c r="C3" s="18" t="s">
        <v>93</v>
      </c>
      <c r="D3" s="55" t="s">
        <v>188</v>
      </c>
      <c r="E3" s="122" t="s">
        <v>415</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28.5" customHeight="1">
      <c r="A5" s="52">
        <v>1</v>
      </c>
      <c r="B5" s="122" t="s">
        <v>272</v>
      </c>
      <c r="C5" s="122"/>
      <c r="D5" s="122"/>
      <c r="E5" s="123"/>
      <c r="F5" s="123" t="s">
        <v>63</v>
      </c>
      <c r="G5" s="55"/>
      <c r="H5" s="123">
        <v>10</v>
      </c>
      <c r="I5" s="124">
        <f>IF(H5="","",((H5*10)/SUM($H$5:$H$17)))</f>
        <v>1.2195121951219512</v>
      </c>
      <c r="J5" s="125">
        <f>IF(F5="X",((H5*10)/SUM($H$5:$H$17)),0)</f>
        <v>1.2195121951219512</v>
      </c>
    </row>
    <row r="6" spans="1:10" ht="28.5" customHeight="1">
      <c r="A6" s="52">
        <v>2</v>
      </c>
      <c r="B6" s="122" t="s">
        <v>406</v>
      </c>
      <c r="C6" s="122"/>
      <c r="D6" s="122"/>
      <c r="E6" s="123" t="s">
        <v>63</v>
      </c>
      <c r="F6" s="123"/>
      <c r="G6" s="55"/>
      <c r="H6" s="123">
        <v>10</v>
      </c>
      <c r="I6" s="124">
        <f t="shared" ref="I6:I17" si="0">IF(H6="","",((H6*10)/SUM($H$5:$H$17)))</f>
        <v>1.2195121951219512</v>
      </c>
      <c r="J6" s="125">
        <f t="shared" ref="J6:J17" si="1">IF(F6="X",((H6*10)/SUM($H$5:$H$17)),0)</f>
        <v>0</v>
      </c>
    </row>
    <row r="7" spans="1:10" ht="42.75" customHeight="1">
      <c r="A7" s="52">
        <v>3</v>
      </c>
      <c r="B7" s="122" t="s">
        <v>416</v>
      </c>
      <c r="C7" s="122"/>
      <c r="D7" s="122"/>
      <c r="E7" s="123" t="s">
        <v>63</v>
      </c>
      <c r="F7" s="123"/>
      <c r="G7" s="55"/>
      <c r="H7" s="123">
        <v>10</v>
      </c>
      <c r="I7" s="124">
        <f t="shared" si="0"/>
        <v>1.2195121951219512</v>
      </c>
      <c r="J7" s="125">
        <f t="shared" si="1"/>
        <v>0</v>
      </c>
    </row>
    <row r="8" spans="1:10" ht="42.75" customHeight="1">
      <c r="A8" s="52">
        <v>4</v>
      </c>
      <c r="B8" s="122" t="s">
        <v>407</v>
      </c>
      <c r="C8" s="122"/>
      <c r="D8" s="122"/>
      <c r="E8" s="123" t="s">
        <v>63</v>
      </c>
      <c r="F8" s="123"/>
      <c r="G8" s="55"/>
      <c r="H8" s="123">
        <v>6</v>
      </c>
      <c r="I8" s="124">
        <f t="shared" si="0"/>
        <v>0.73170731707317072</v>
      </c>
      <c r="J8" s="125">
        <f t="shared" si="1"/>
        <v>0</v>
      </c>
    </row>
    <row r="9" spans="1:10" ht="28.5" customHeight="1">
      <c r="A9" s="52">
        <v>5</v>
      </c>
      <c r="B9" s="122" t="s">
        <v>417</v>
      </c>
      <c r="C9" s="122"/>
      <c r="D9" s="122"/>
      <c r="E9" s="123"/>
      <c r="F9" s="123" t="s">
        <v>63</v>
      </c>
      <c r="G9" s="55"/>
      <c r="H9" s="123">
        <v>10</v>
      </c>
      <c r="I9" s="124">
        <f t="shared" si="0"/>
        <v>1.2195121951219512</v>
      </c>
      <c r="J9" s="125">
        <f t="shared" si="1"/>
        <v>1.2195121951219512</v>
      </c>
    </row>
    <row r="10" spans="1:10" ht="42.75" customHeight="1">
      <c r="A10" s="52">
        <v>6</v>
      </c>
      <c r="B10" s="122" t="s">
        <v>418</v>
      </c>
      <c r="C10" s="122"/>
      <c r="D10" s="122"/>
      <c r="E10" s="123" t="s">
        <v>63</v>
      </c>
      <c r="F10" s="123"/>
      <c r="G10" s="55"/>
      <c r="H10" s="123">
        <v>2</v>
      </c>
      <c r="I10" s="124">
        <f t="shared" si="0"/>
        <v>0.24390243902439024</v>
      </c>
      <c r="J10" s="125">
        <f t="shared" si="1"/>
        <v>0</v>
      </c>
    </row>
    <row r="11" spans="1:10" ht="28.5" customHeight="1">
      <c r="A11" s="52">
        <v>7</v>
      </c>
      <c r="B11" s="122" t="s">
        <v>419</v>
      </c>
      <c r="C11" s="122"/>
      <c r="D11" s="122"/>
      <c r="E11" s="123" t="s">
        <v>63</v>
      </c>
      <c r="F11" s="123"/>
      <c r="G11" s="55"/>
      <c r="H11" s="123">
        <v>6</v>
      </c>
      <c r="I11" s="124">
        <f t="shared" si="0"/>
        <v>0.73170731707317072</v>
      </c>
      <c r="J11" s="125">
        <f t="shared" si="1"/>
        <v>0</v>
      </c>
    </row>
    <row r="12" spans="1:10" ht="28.5" customHeight="1">
      <c r="A12" s="52">
        <v>8</v>
      </c>
      <c r="B12" s="122" t="s">
        <v>420</v>
      </c>
      <c r="C12" s="122"/>
      <c r="D12" s="122"/>
      <c r="E12" s="123"/>
      <c r="F12" s="123" t="s">
        <v>63</v>
      </c>
      <c r="G12" s="55"/>
      <c r="H12" s="123">
        <v>6</v>
      </c>
      <c r="I12" s="124">
        <f t="shared" si="0"/>
        <v>0.73170731707317072</v>
      </c>
      <c r="J12" s="125">
        <f t="shared" si="1"/>
        <v>0.73170731707317072</v>
      </c>
    </row>
    <row r="13" spans="1:10" ht="28.5" customHeight="1">
      <c r="A13" s="52">
        <v>9</v>
      </c>
      <c r="B13" s="122" t="s">
        <v>421</v>
      </c>
      <c r="C13" s="122"/>
      <c r="D13" s="122"/>
      <c r="E13" s="123"/>
      <c r="F13" s="123" t="s">
        <v>63</v>
      </c>
      <c r="G13" s="55"/>
      <c r="H13" s="123">
        <v>2</v>
      </c>
      <c r="I13" s="124">
        <f t="shared" si="0"/>
        <v>0.24390243902439024</v>
      </c>
      <c r="J13" s="125">
        <f t="shared" si="1"/>
        <v>0.24390243902439024</v>
      </c>
    </row>
    <row r="14" spans="1:10" ht="28.5" customHeight="1">
      <c r="A14" s="52">
        <v>10</v>
      </c>
      <c r="B14" s="122" t="s">
        <v>422</v>
      </c>
      <c r="C14" s="122"/>
      <c r="D14" s="122"/>
      <c r="E14" s="123"/>
      <c r="F14" s="123" t="s">
        <v>63</v>
      </c>
      <c r="G14" s="55"/>
      <c r="H14" s="123">
        <v>2</v>
      </c>
      <c r="I14" s="124">
        <f t="shared" si="0"/>
        <v>0.24390243902439024</v>
      </c>
      <c r="J14" s="125">
        <f t="shared" si="1"/>
        <v>0.24390243902439024</v>
      </c>
    </row>
    <row r="15" spans="1:10" ht="28.5" customHeight="1">
      <c r="A15" s="52">
        <v>11</v>
      </c>
      <c r="B15" s="122" t="s">
        <v>423</v>
      </c>
      <c r="C15" s="122"/>
      <c r="D15" s="122"/>
      <c r="E15" s="123" t="s">
        <v>63</v>
      </c>
      <c r="F15" s="123"/>
      <c r="G15" s="55"/>
      <c r="H15" s="123">
        <v>6</v>
      </c>
      <c r="I15" s="124">
        <f t="shared" si="0"/>
        <v>0.73170731707317072</v>
      </c>
      <c r="J15" s="125">
        <f t="shared" si="1"/>
        <v>0</v>
      </c>
    </row>
    <row r="16" spans="1:10" ht="28.5" customHeight="1">
      <c r="A16" s="52">
        <v>12</v>
      </c>
      <c r="B16" s="122" t="s">
        <v>424</v>
      </c>
      <c r="C16" s="122"/>
      <c r="D16" s="122"/>
      <c r="E16" s="123"/>
      <c r="F16" s="123" t="s">
        <v>63</v>
      </c>
      <c r="G16" s="55"/>
      <c r="H16" s="123">
        <v>6</v>
      </c>
      <c r="I16" s="124">
        <f t="shared" si="0"/>
        <v>0.73170731707317072</v>
      </c>
      <c r="J16" s="125">
        <f t="shared" si="1"/>
        <v>0.73170731707317072</v>
      </c>
    </row>
    <row r="17" spans="1:10" ht="28.5" customHeight="1">
      <c r="A17" s="52">
        <v>13</v>
      </c>
      <c r="B17" s="122" t="s">
        <v>425</v>
      </c>
      <c r="C17" s="122"/>
      <c r="D17" s="122"/>
      <c r="E17" s="123"/>
      <c r="F17" s="123" t="s">
        <v>63</v>
      </c>
      <c r="G17" s="55"/>
      <c r="H17" s="123">
        <v>6</v>
      </c>
      <c r="I17" s="124">
        <f t="shared" si="0"/>
        <v>0.73170731707317072</v>
      </c>
      <c r="J17" s="125">
        <f t="shared" si="1"/>
        <v>0.73170731707317072</v>
      </c>
    </row>
    <row r="18" spans="1:10">
      <c r="A18" s="112" t="s">
        <v>71</v>
      </c>
      <c r="B18" s="112"/>
      <c r="C18" s="112"/>
      <c r="D18" s="112"/>
      <c r="E18" s="112"/>
      <c r="F18" s="112"/>
      <c r="G18" s="112"/>
      <c r="H18" s="112"/>
      <c r="I18" s="37">
        <f>SUM(I5:I17)</f>
        <v>10.000000000000002</v>
      </c>
      <c r="J18" s="36">
        <f>SUM(J5:J17)</f>
        <v>5.1219512195121952</v>
      </c>
    </row>
  </sheetData>
  <mergeCells count="21">
    <mergeCell ref="B14:D14"/>
    <mergeCell ref="B15:D15"/>
    <mergeCell ref="B16:D16"/>
    <mergeCell ref="B17:D17"/>
    <mergeCell ref="A18:H18"/>
    <mergeCell ref="A1:B1"/>
    <mergeCell ref="A2:B2"/>
    <mergeCell ref="C1:J1"/>
    <mergeCell ref="C2:J2"/>
    <mergeCell ref="B13:D13"/>
    <mergeCell ref="A3:B3"/>
    <mergeCell ref="E3:J3"/>
    <mergeCell ref="B4:D4"/>
    <mergeCell ref="B5:D5"/>
    <mergeCell ref="B6:D6"/>
    <mergeCell ref="B7:D7"/>
    <mergeCell ref="B8:D8"/>
    <mergeCell ref="B9:D9"/>
    <mergeCell ref="B10:D10"/>
    <mergeCell ref="B11:D11"/>
    <mergeCell ref="B12:D12"/>
  </mergeCells>
  <pageMargins left="0.7" right="0.7" top="0.75" bottom="0.75" header="0.3" footer="0.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5B041-C32A-442D-B4E1-AF89F7672483}">
  <sheetPr>
    <tabColor rgb="FFFFCC66"/>
  </sheetPr>
  <dimension ref="A1:J15"/>
  <sheetViews>
    <sheetView topLeftCell="A2" workbookViewId="0">
      <selection activeCell="B9" sqref="A1:J15"/>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496</v>
      </c>
      <c r="D2" s="74"/>
      <c r="E2" s="74"/>
      <c r="F2" s="74"/>
      <c r="G2" s="74"/>
      <c r="H2" s="74"/>
      <c r="I2" s="74"/>
      <c r="J2" s="75"/>
    </row>
    <row r="3" spans="1:10" ht="45">
      <c r="A3" s="70" t="s">
        <v>81</v>
      </c>
      <c r="B3" s="70"/>
      <c r="C3" s="18" t="s">
        <v>93</v>
      </c>
      <c r="D3" s="55" t="s">
        <v>485</v>
      </c>
      <c r="E3" s="122">
        <v>390</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2.75" customHeight="1">
      <c r="A5" s="52">
        <v>1</v>
      </c>
      <c r="B5" s="122" t="s">
        <v>486</v>
      </c>
      <c r="C5" s="122"/>
      <c r="D5" s="122"/>
      <c r="E5" s="123"/>
      <c r="F5" s="123" t="s">
        <v>63</v>
      </c>
      <c r="G5" s="55"/>
      <c r="H5" s="123">
        <v>10</v>
      </c>
      <c r="I5" s="124">
        <f>IF(H5="","",((H5*10)/SUM($H$5:$H$14)))</f>
        <v>1.0416666666666667</v>
      </c>
      <c r="J5" s="125">
        <f>IF(F5="X",((H5*10)/SUM($H$5:$H$14)),0)</f>
        <v>1.0416666666666667</v>
      </c>
    </row>
    <row r="6" spans="1:10" ht="28.5" customHeight="1">
      <c r="A6" s="52">
        <v>2</v>
      </c>
      <c r="B6" s="122" t="s">
        <v>487</v>
      </c>
      <c r="C6" s="122"/>
      <c r="D6" s="122"/>
      <c r="E6" s="123"/>
      <c r="F6" s="123" t="s">
        <v>63</v>
      </c>
      <c r="G6" s="55"/>
      <c r="H6" s="123">
        <v>10</v>
      </c>
      <c r="I6" s="124">
        <f t="shared" ref="I6:I14" si="0">IF(H6="","",((H6*10)/SUM($H$5:$H$14)))</f>
        <v>1.0416666666666667</v>
      </c>
      <c r="J6" s="125">
        <f t="shared" ref="J6:J14" si="1">IF(F6="X",((H6*10)/SUM($H$5:$H$14)),0)</f>
        <v>1.0416666666666667</v>
      </c>
    </row>
    <row r="7" spans="1:10" ht="28.5" customHeight="1">
      <c r="A7" s="52">
        <v>3</v>
      </c>
      <c r="B7" s="122" t="s">
        <v>488</v>
      </c>
      <c r="C7" s="122"/>
      <c r="D7" s="122"/>
      <c r="E7" s="123"/>
      <c r="F7" s="123" t="s">
        <v>63</v>
      </c>
      <c r="G7" s="55"/>
      <c r="H7" s="123">
        <v>10</v>
      </c>
      <c r="I7" s="124">
        <f t="shared" si="0"/>
        <v>1.0416666666666667</v>
      </c>
      <c r="J7" s="125">
        <f t="shared" si="1"/>
        <v>1.0416666666666667</v>
      </c>
    </row>
    <row r="8" spans="1:10" ht="42.75" customHeight="1">
      <c r="A8" s="52">
        <v>4</v>
      </c>
      <c r="B8" s="122" t="s">
        <v>489</v>
      </c>
      <c r="C8" s="122"/>
      <c r="D8" s="122"/>
      <c r="E8" s="123"/>
      <c r="F8" s="123" t="s">
        <v>63</v>
      </c>
      <c r="G8" s="55"/>
      <c r="H8" s="123">
        <v>10</v>
      </c>
      <c r="I8" s="124">
        <f t="shared" si="0"/>
        <v>1.0416666666666667</v>
      </c>
      <c r="J8" s="125">
        <f t="shared" si="1"/>
        <v>1.0416666666666667</v>
      </c>
    </row>
    <row r="9" spans="1:10" ht="42.75" customHeight="1">
      <c r="A9" s="52">
        <v>5</v>
      </c>
      <c r="B9" s="122" t="s">
        <v>490</v>
      </c>
      <c r="C9" s="122"/>
      <c r="D9" s="122"/>
      <c r="E9" s="123" t="s">
        <v>63</v>
      </c>
      <c r="F9" s="123"/>
      <c r="G9" s="55"/>
      <c r="H9" s="123">
        <v>10</v>
      </c>
      <c r="I9" s="124">
        <f t="shared" si="0"/>
        <v>1.0416666666666667</v>
      </c>
      <c r="J9" s="125">
        <f t="shared" si="1"/>
        <v>0</v>
      </c>
    </row>
    <row r="10" spans="1:10" ht="42.75" customHeight="1">
      <c r="A10" s="52">
        <v>6</v>
      </c>
      <c r="B10" s="122" t="s">
        <v>491</v>
      </c>
      <c r="C10" s="122"/>
      <c r="D10" s="122"/>
      <c r="E10" s="123"/>
      <c r="F10" s="123" t="s">
        <v>63</v>
      </c>
      <c r="G10" s="55"/>
      <c r="H10" s="123">
        <v>10</v>
      </c>
      <c r="I10" s="124">
        <f t="shared" si="0"/>
        <v>1.0416666666666667</v>
      </c>
      <c r="J10" s="125">
        <f t="shared" si="1"/>
        <v>1.0416666666666667</v>
      </c>
    </row>
    <row r="11" spans="1:10" ht="42.75" customHeight="1">
      <c r="A11" s="52">
        <v>7</v>
      </c>
      <c r="B11" s="122" t="s">
        <v>492</v>
      </c>
      <c r="C11" s="122"/>
      <c r="D11" s="122"/>
      <c r="E11" s="123"/>
      <c r="F11" s="123" t="s">
        <v>63</v>
      </c>
      <c r="G11" s="55"/>
      <c r="H11" s="123">
        <v>10</v>
      </c>
      <c r="I11" s="124">
        <f t="shared" si="0"/>
        <v>1.0416666666666667</v>
      </c>
      <c r="J11" s="125">
        <f t="shared" si="1"/>
        <v>1.0416666666666667</v>
      </c>
    </row>
    <row r="12" spans="1:10" ht="42.75" customHeight="1">
      <c r="A12" s="52">
        <v>8</v>
      </c>
      <c r="B12" s="122" t="s">
        <v>493</v>
      </c>
      <c r="C12" s="122"/>
      <c r="D12" s="122"/>
      <c r="E12" s="123"/>
      <c r="F12" s="123" t="s">
        <v>63</v>
      </c>
      <c r="G12" s="55"/>
      <c r="H12" s="123">
        <v>6</v>
      </c>
      <c r="I12" s="124">
        <f t="shared" si="0"/>
        <v>0.625</v>
      </c>
      <c r="J12" s="125">
        <f t="shared" si="1"/>
        <v>0.625</v>
      </c>
    </row>
    <row r="13" spans="1:10" ht="42.75" customHeight="1">
      <c r="A13" s="52">
        <v>9</v>
      </c>
      <c r="B13" s="122" t="s">
        <v>494</v>
      </c>
      <c r="C13" s="122"/>
      <c r="D13" s="122"/>
      <c r="E13" s="123" t="s">
        <v>63</v>
      </c>
      <c r="F13" s="123"/>
      <c r="G13" s="55"/>
      <c r="H13" s="123">
        <v>10</v>
      </c>
      <c r="I13" s="124">
        <f t="shared" si="0"/>
        <v>1.0416666666666667</v>
      </c>
      <c r="J13" s="125">
        <f t="shared" si="1"/>
        <v>0</v>
      </c>
    </row>
    <row r="14" spans="1:10" ht="42.75" customHeight="1">
      <c r="A14" s="52">
        <v>10</v>
      </c>
      <c r="B14" s="122" t="s">
        <v>495</v>
      </c>
      <c r="C14" s="122"/>
      <c r="D14" s="122"/>
      <c r="E14" s="123"/>
      <c r="F14" s="123" t="s">
        <v>63</v>
      </c>
      <c r="G14" s="55"/>
      <c r="H14" s="123">
        <v>10</v>
      </c>
      <c r="I14" s="124">
        <f t="shared" si="0"/>
        <v>1.0416666666666667</v>
      </c>
      <c r="J14" s="125">
        <f t="shared" si="1"/>
        <v>1.0416666666666667</v>
      </c>
    </row>
    <row r="15" spans="1:10">
      <c r="A15" s="112" t="s">
        <v>71</v>
      </c>
      <c r="B15" s="112"/>
      <c r="C15" s="112"/>
      <c r="D15" s="112"/>
      <c r="E15" s="112"/>
      <c r="F15" s="112"/>
      <c r="G15" s="112"/>
      <c r="H15" s="112"/>
      <c r="I15" s="37">
        <f>SUM(I5:I14)</f>
        <v>10</v>
      </c>
      <c r="J15" s="36">
        <f>SUM(J5:J14)</f>
        <v>7.9166666666666679</v>
      </c>
    </row>
  </sheetData>
  <mergeCells count="18">
    <mergeCell ref="B14:D14"/>
    <mergeCell ref="A15:H15"/>
    <mergeCell ref="B8:D8"/>
    <mergeCell ref="B9:D9"/>
    <mergeCell ref="B10:D10"/>
    <mergeCell ref="B11:D11"/>
    <mergeCell ref="B12:D12"/>
    <mergeCell ref="B13:D13"/>
    <mergeCell ref="A1:B1"/>
    <mergeCell ref="A2:B2"/>
    <mergeCell ref="C1:J1"/>
    <mergeCell ref="C2:J2"/>
    <mergeCell ref="B7:D7"/>
    <mergeCell ref="A3:B3"/>
    <mergeCell ref="E3:J3"/>
    <mergeCell ref="B4:D4"/>
    <mergeCell ref="B5:D5"/>
    <mergeCell ref="B6:D6"/>
  </mergeCells>
  <pageMargins left="0.7" right="0.7" top="0.75" bottom="0.75" header="0.3" footer="0.3"/>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82796-BD44-47D6-8F6F-17F9BF58E0B4}">
  <sheetPr>
    <tabColor rgb="FFFFCC66"/>
  </sheetPr>
  <dimension ref="A1:J19"/>
  <sheetViews>
    <sheetView workbookViewId="0">
      <pane xSplit="4" ySplit="4" topLeftCell="E5" activePane="bottomRight" state="frozen"/>
      <selection pane="bottomRight" activeCell="B9" sqref="A1:J19"/>
      <selection pane="bottomLeft" activeCell="C3" sqref="C3"/>
      <selection pane="topRight" activeCell="C3" sqref="C3"/>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496</v>
      </c>
      <c r="D2" s="74"/>
      <c r="E2" s="74"/>
      <c r="F2" s="74"/>
      <c r="G2" s="74"/>
      <c r="H2" s="74"/>
      <c r="I2" s="74"/>
      <c r="J2" s="75"/>
    </row>
    <row r="3" spans="1:10" ht="30">
      <c r="A3" s="70" t="s">
        <v>81</v>
      </c>
      <c r="B3" s="70"/>
      <c r="C3" s="18" t="s">
        <v>200</v>
      </c>
      <c r="D3" s="55" t="s">
        <v>426</v>
      </c>
      <c r="E3" s="122" t="s">
        <v>427</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28.5" customHeight="1">
      <c r="A5" s="52">
        <v>1</v>
      </c>
      <c r="B5" s="122" t="s">
        <v>428</v>
      </c>
      <c r="C5" s="122"/>
      <c r="D5" s="122"/>
      <c r="E5" s="123"/>
      <c r="F5" s="123" t="s">
        <v>63</v>
      </c>
      <c r="G5" s="55"/>
      <c r="H5" s="27">
        <v>6</v>
      </c>
      <c r="I5" s="124">
        <f>IF(H5="","",((H5*10)/SUM($H$5:$H$18)))</f>
        <v>0.5</v>
      </c>
      <c r="J5" s="125">
        <f>IF(F5="X",((H5*10)/SUM($H$5:$H$18)),0)</f>
        <v>0.5</v>
      </c>
    </row>
    <row r="6" spans="1:10" ht="28.5" customHeight="1">
      <c r="A6" s="52">
        <v>2</v>
      </c>
      <c r="B6" s="122" t="s">
        <v>429</v>
      </c>
      <c r="C6" s="122"/>
      <c r="D6" s="122"/>
      <c r="E6" s="123"/>
      <c r="F6" s="123" t="s">
        <v>63</v>
      </c>
      <c r="G6" s="55"/>
      <c r="H6" s="27">
        <v>6</v>
      </c>
      <c r="I6" s="124">
        <f t="shared" ref="I6:I18" si="0">IF(H6="","",((H6*10)/SUM($H$5:$H$18)))</f>
        <v>0.5</v>
      </c>
      <c r="J6" s="125">
        <f t="shared" ref="J6:J18" si="1">IF(F6="X",((H6*10)/SUM($H$5:$H$18)),0)</f>
        <v>0.5</v>
      </c>
    </row>
    <row r="7" spans="1:10" ht="57" customHeight="1">
      <c r="A7" s="52">
        <v>3</v>
      </c>
      <c r="B7" s="122" t="s">
        <v>430</v>
      </c>
      <c r="C7" s="122"/>
      <c r="D7" s="122"/>
      <c r="E7" s="123"/>
      <c r="F7" s="123" t="s">
        <v>63</v>
      </c>
      <c r="G7" s="55"/>
      <c r="H7" s="27">
        <v>10</v>
      </c>
      <c r="I7" s="124">
        <f t="shared" si="0"/>
        <v>0.83333333333333337</v>
      </c>
      <c r="J7" s="125">
        <f t="shared" si="1"/>
        <v>0.83333333333333337</v>
      </c>
    </row>
    <row r="8" spans="1:10" ht="57" customHeight="1">
      <c r="A8" s="52">
        <v>4</v>
      </c>
      <c r="B8" s="122" t="s">
        <v>431</v>
      </c>
      <c r="C8" s="122"/>
      <c r="D8" s="122"/>
      <c r="E8" s="123"/>
      <c r="F8" s="123" t="s">
        <v>63</v>
      </c>
      <c r="G8" s="55"/>
      <c r="H8" s="27">
        <v>10</v>
      </c>
      <c r="I8" s="124">
        <f t="shared" si="0"/>
        <v>0.83333333333333337</v>
      </c>
      <c r="J8" s="125">
        <f t="shared" si="1"/>
        <v>0.83333333333333337</v>
      </c>
    </row>
    <row r="9" spans="1:10" ht="42.75" customHeight="1">
      <c r="A9" s="52">
        <v>5</v>
      </c>
      <c r="B9" s="122" t="s">
        <v>207</v>
      </c>
      <c r="C9" s="122"/>
      <c r="D9" s="122"/>
      <c r="E9" s="123"/>
      <c r="F9" s="123" t="s">
        <v>63</v>
      </c>
      <c r="G9" s="55"/>
      <c r="H9" s="27">
        <v>10</v>
      </c>
      <c r="I9" s="124">
        <f t="shared" si="0"/>
        <v>0.83333333333333337</v>
      </c>
      <c r="J9" s="125">
        <f t="shared" si="1"/>
        <v>0.83333333333333337</v>
      </c>
    </row>
    <row r="10" spans="1:10" ht="28.5" customHeight="1">
      <c r="A10" s="52">
        <v>6</v>
      </c>
      <c r="B10" s="122" t="s">
        <v>432</v>
      </c>
      <c r="C10" s="122"/>
      <c r="D10" s="122"/>
      <c r="E10" s="123"/>
      <c r="F10" s="123" t="s">
        <v>63</v>
      </c>
      <c r="G10" s="55"/>
      <c r="H10" s="27">
        <v>10</v>
      </c>
      <c r="I10" s="124">
        <f t="shared" si="0"/>
        <v>0.83333333333333337</v>
      </c>
      <c r="J10" s="125">
        <f t="shared" si="1"/>
        <v>0.83333333333333337</v>
      </c>
    </row>
    <row r="11" spans="1:10" ht="28.5" customHeight="1">
      <c r="A11" s="52">
        <v>7</v>
      </c>
      <c r="B11" s="122" t="s">
        <v>433</v>
      </c>
      <c r="C11" s="122"/>
      <c r="D11" s="122"/>
      <c r="E11" s="123"/>
      <c r="F11" s="123" t="s">
        <v>63</v>
      </c>
      <c r="G11" s="55"/>
      <c r="H11" s="27">
        <v>6</v>
      </c>
      <c r="I11" s="124">
        <f t="shared" si="0"/>
        <v>0.5</v>
      </c>
      <c r="J11" s="125">
        <f t="shared" si="1"/>
        <v>0.5</v>
      </c>
    </row>
    <row r="12" spans="1:10" ht="42.75" customHeight="1">
      <c r="A12" s="52">
        <v>8</v>
      </c>
      <c r="B12" s="122" t="s">
        <v>434</v>
      </c>
      <c r="C12" s="122"/>
      <c r="D12" s="122"/>
      <c r="E12" s="123" t="s">
        <v>63</v>
      </c>
      <c r="F12" s="123"/>
      <c r="G12" s="55"/>
      <c r="H12" s="27">
        <v>2</v>
      </c>
      <c r="I12" s="124">
        <f t="shared" si="0"/>
        <v>0.16666666666666666</v>
      </c>
      <c r="J12" s="125">
        <f t="shared" si="1"/>
        <v>0</v>
      </c>
    </row>
    <row r="13" spans="1:10" ht="42.75" customHeight="1">
      <c r="A13" s="52">
        <v>9</v>
      </c>
      <c r="B13" s="122" t="s">
        <v>435</v>
      </c>
      <c r="C13" s="122"/>
      <c r="D13" s="122"/>
      <c r="E13" s="123" t="s">
        <v>63</v>
      </c>
      <c r="F13" s="123"/>
      <c r="G13" s="55"/>
      <c r="H13" s="27">
        <v>10</v>
      </c>
      <c r="I13" s="124">
        <f t="shared" si="0"/>
        <v>0.83333333333333337</v>
      </c>
      <c r="J13" s="125">
        <f t="shared" si="1"/>
        <v>0</v>
      </c>
    </row>
    <row r="14" spans="1:10" ht="42.75" customHeight="1">
      <c r="A14" s="52">
        <v>10</v>
      </c>
      <c r="B14" s="122" t="s">
        <v>215</v>
      </c>
      <c r="C14" s="122"/>
      <c r="D14" s="122"/>
      <c r="E14" s="123"/>
      <c r="F14" s="123" t="s">
        <v>63</v>
      </c>
      <c r="G14" s="55"/>
      <c r="H14" s="27">
        <v>10</v>
      </c>
      <c r="I14" s="124">
        <f t="shared" si="0"/>
        <v>0.83333333333333337</v>
      </c>
      <c r="J14" s="125">
        <f t="shared" si="1"/>
        <v>0.83333333333333337</v>
      </c>
    </row>
    <row r="15" spans="1:10" ht="42.75" customHeight="1">
      <c r="A15" s="52">
        <v>11</v>
      </c>
      <c r="B15" s="122" t="s">
        <v>436</v>
      </c>
      <c r="C15" s="122"/>
      <c r="D15" s="122"/>
      <c r="E15" s="123" t="s">
        <v>63</v>
      </c>
      <c r="F15" s="123"/>
      <c r="G15" s="55"/>
      <c r="H15" s="27">
        <v>10</v>
      </c>
      <c r="I15" s="124">
        <f t="shared" si="0"/>
        <v>0.83333333333333337</v>
      </c>
      <c r="J15" s="125">
        <f t="shared" si="1"/>
        <v>0</v>
      </c>
    </row>
    <row r="16" spans="1:10" ht="42.75" customHeight="1">
      <c r="A16" s="52">
        <v>12</v>
      </c>
      <c r="B16" s="122" t="s">
        <v>437</v>
      </c>
      <c r="C16" s="122"/>
      <c r="D16" s="122"/>
      <c r="E16" s="123"/>
      <c r="F16" s="123" t="s">
        <v>63</v>
      </c>
      <c r="G16" s="55"/>
      <c r="H16" s="27">
        <v>10</v>
      </c>
      <c r="I16" s="124">
        <f t="shared" si="0"/>
        <v>0.83333333333333337</v>
      </c>
      <c r="J16" s="125">
        <f t="shared" si="1"/>
        <v>0.83333333333333337</v>
      </c>
    </row>
    <row r="17" spans="1:10" ht="42.75" customHeight="1">
      <c r="A17" s="52">
        <v>13</v>
      </c>
      <c r="B17" s="122" t="s">
        <v>438</v>
      </c>
      <c r="C17" s="122"/>
      <c r="D17" s="122"/>
      <c r="E17" s="123"/>
      <c r="F17" s="123" t="s">
        <v>63</v>
      </c>
      <c r="G17" s="55"/>
      <c r="H17" s="27">
        <v>10</v>
      </c>
      <c r="I17" s="124">
        <f t="shared" si="0"/>
        <v>0.83333333333333337</v>
      </c>
      <c r="J17" s="125">
        <f t="shared" si="1"/>
        <v>0.83333333333333337</v>
      </c>
    </row>
    <row r="18" spans="1:10" ht="42.75" customHeight="1">
      <c r="A18" s="52">
        <v>14</v>
      </c>
      <c r="B18" s="122" t="s">
        <v>439</v>
      </c>
      <c r="C18" s="122"/>
      <c r="D18" s="122"/>
      <c r="E18" s="123"/>
      <c r="F18" s="123" t="s">
        <v>63</v>
      </c>
      <c r="G18" s="55"/>
      <c r="H18" s="27">
        <v>10</v>
      </c>
      <c r="I18" s="124">
        <f t="shared" si="0"/>
        <v>0.83333333333333337</v>
      </c>
      <c r="J18" s="125">
        <f t="shared" si="1"/>
        <v>0.83333333333333337</v>
      </c>
    </row>
    <row r="19" spans="1:10">
      <c r="A19" s="112" t="s">
        <v>71</v>
      </c>
      <c r="B19" s="112"/>
      <c r="C19" s="112"/>
      <c r="D19" s="112"/>
      <c r="E19" s="112"/>
      <c r="F19" s="112"/>
      <c r="G19" s="112"/>
      <c r="H19" s="112"/>
      <c r="I19" s="37">
        <f>SUM(I5:I18)</f>
        <v>10.000000000000002</v>
      </c>
      <c r="J19" s="36">
        <f>SUM(J5:J18)</f>
        <v>8.1666666666666661</v>
      </c>
    </row>
  </sheetData>
  <mergeCells count="22">
    <mergeCell ref="A19:H19"/>
    <mergeCell ref="B8:D8"/>
    <mergeCell ref="B9:D9"/>
    <mergeCell ref="B10:D10"/>
    <mergeCell ref="B11:D11"/>
    <mergeCell ref="B12:D12"/>
    <mergeCell ref="B13:D13"/>
    <mergeCell ref="B14:D14"/>
    <mergeCell ref="B15:D15"/>
    <mergeCell ref="B16:D16"/>
    <mergeCell ref="B17:D17"/>
    <mergeCell ref="B18:D18"/>
    <mergeCell ref="A1:B1"/>
    <mergeCell ref="A2:B2"/>
    <mergeCell ref="C1:J1"/>
    <mergeCell ref="C2:J2"/>
    <mergeCell ref="B7:D7"/>
    <mergeCell ref="A3:B3"/>
    <mergeCell ref="E3:J3"/>
    <mergeCell ref="B4:D4"/>
    <mergeCell ref="B5:D5"/>
    <mergeCell ref="B6:D6"/>
  </mergeCells>
  <pageMargins left="0.7" right="0.7" top="0.75" bottom="0.75" header="0.3" footer="0.3"/>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57CBC-6EF4-4B2D-8F82-7C4B602B45A4}">
  <sheetPr>
    <tabColor rgb="FFFFCC66"/>
  </sheetPr>
  <dimension ref="A1:I15"/>
  <sheetViews>
    <sheetView workbookViewId="0">
      <pane xSplit="3" ySplit="4" topLeftCell="D5" activePane="bottomRight" state="frozen"/>
      <selection pane="bottomRight" activeCell="B9" sqref="A1:I15"/>
      <selection pane="bottomLeft" activeCell="C2" sqref="C2:J2"/>
      <selection pane="topRight" activeCell="C2" sqref="C2:J2"/>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339</v>
      </c>
      <c r="D1" s="120"/>
      <c r="E1" s="120"/>
      <c r="F1" s="120"/>
      <c r="G1" s="120"/>
      <c r="H1" s="120"/>
      <c r="I1" s="121"/>
    </row>
    <row r="2" spans="1:9" ht="15">
      <c r="A2" s="70" t="s">
        <v>0</v>
      </c>
      <c r="B2" s="70"/>
      <c r="C2" s="84" t="s">
        <v>496</v>
      </c>
      <c r="D2" s="120"/>
      <c r="E2" s="120"/>
      <c r="F2" s="120"/>
      <c r="G2" s="120"/>
      <c r="H2" s="120"/>
      <c r="I2" s="121"/>
    </row>
    <row r="3" spans="1:9" ht="15">
      <c r="A3" s="70" t="s">
        <v>218</v>
      </c>
      <c r="B3" s="70"/>
      <c r="C3" s="55" t="s">
        <v>219</v>
      </c>
      <c r="D3" s="122">
        <v>130</v>
      </c>
      <c r="E3" s="122"/>
      <c r="F3" s="122"/>
      <c r="G3" s="122"/>
      <c r="H3" s="122"/>
      <c r="I3" s="122"/>
    </row>
    <row r="4" spans="1:9" ht="60">
      <c r="A4" s="52" t="s">
        <v>55</v>
      </c>
      <c r="B4" s="70" t="s">
        <v>56</v>
      </c>
      <c r="C4" s="70"/>
      <c r="D4" s="52" t="s">
        <v>24</v>
      </c>
      <c r="E4" s="52" t="s">
        <v>57</v>
      </c>
      <c r="F4" s="52" t="s">
        <v>58</v>
      </c>
      <c r="G4" s="52" t="s">
        <v>59</v>
      </c>
      <c r="H4" s="52" t="s">
        <v>60</v>
      </c>
      <c r="I4" s="52" t="s">
        <v>61</v>
      </c>
    </row>
    <row r="5" spans="1:9" ht="47.25" customHeight="1">
      <c r="A5" s="52">
        <v>1</v>
      </c>
      <c r="B5" s="122" t="s">
        <v>220</v>
      </c>
      <c r="C5" s="122"/>
      <c r="D5" s="123"/>
      <c r="E5" s="123" t="s">
        <v>63</v>
      </c>
      <c r="F5" s="123"/>
      <c r="G5" s="123">
        <v>10</v>
      </c>
      <c r="H5" s="124">
        <f>(G5*10)/SUM($G$5:$G$14)</f>
        <v>1.7857142857142858</v>
      </c>
      <c r="I5" s="125">
        <f>IF(E5="X",((G5*10)/SUM($G$5:$G$14)),0)</f>
        <v>1.7857142857142858</v>
      </c>
    </row>
    <row r="6" spans="1:9" ht="47.25" customHeight="1">
      <c r="A6" s="52">
        <v>2</v>
      </c>
      <c r="B6" s="122" t="s">
        <v>221</v>
      </c>
      <c r="C6" s="122"/>
      <c r="D6" s="123"/>
      <c r="E6" s="123" t="s">
        <v>63</v>
      </c>
      <c r="F6" s="123"/>
      <c r="G6" s="123">
        <v>2</v>
      </c>
      <c r="H6" s="124">
        <f t="shared" ref="H6:H14" si="0">(G6*10)/SUM($G$5:$G$14)</f>
        <v>0.35714285714285715</v>
      </c>
      <c r="I6" s="125">
        <f t="shared" ref="I6:I14" si="1">IF(E6="X",((G6*10)/SUM($G$5:$G$14)),0)</f>
        <v>0.35714285714285715</v>
      </c>
    </row>
    <row r="7" spans="1:9" ht="31.5" customHeight="1">
      <c r="A7" s="52">
        <v>3</v>
      </c>
      <c r="B7" s="122" t="s">
        <v>222</v>
      </c>
      <c r="C7" s="122"/>
      <c r="D7" s="123"/>
      <c r="E7" s="123" t="s">
        <v>63</v>
      </c>
      <c r="F7" s="123"/>
      <c r="G7" s="123">
        <v>6</v>
      </c>
      <c r="H7" s="124">
        <f t="shared" si="0"/>
        <v>1.0714285714285714</v>
      </c>
      <c r="I7" s="125">
        <f t="shared" si="1"/>
        <v>1.0714285714285714</v>
      </c>
    </row>
    <row r="8" spans="1:9" ht="59.25" customHeight="1">
      <c r="A8" s="52">
        <v>4</v>
      </c>
      <c r="B8" s="122" t="s">
        <v>223</v>
      </c>
      <c r="C8" s="122"/>
      <c r="D8" s="123"/>
      <c r="E8" s="123" t="s">
        <v>63</v>
      </c>
      <c r="F8" s="123"/>
      <c r="G8" s="123">
        <v>10</v>
      </c>
      <c r="H8" s="124">
        <f t="shared" si="0"/>
        <v>1.7857142857142858</v>
      </c>
      <c r="I8" s="125">
        <f t="shared" si="1"/>
        <v>1.7857142857142858</v>
      </c>
    </row>
    <row r="9" spans="1:9" ht="43.5" customHeight="1">
      <c r="A9" s="52">
        <v>5</v>
      </c>
      <c r="B9" s="122" t="s">
        <v>224</v>
      </c>
      <c r="C9" s="122"/>
      <c r="D9" s="123" t="s">
        <v>63</v>
      </c>
      <c r="E9" s="123"/>
      <c r="F9" s="123"/>
      <c r="G9" s="123">
        <v>6</v>
      </c>
      <c r="H9" s="124">
        <f t="shared" si="0"/>
        <v>1.0714285714285714</v>
      </c>
      <c r="I9" s="125">
        <f t="shared" si="1"/>
        <v>0</v>
      </c>
    </row>
    <row r="10" spans="1:9" ht="58.5" customHeight="1">
      <c r="A10" s="52">
        <v>6</v>
      </c>
      <c r="B10" s="122" t="s">
        <v>225</v>
      </c>
      <c r="C10" s="122"/>
      <c r="D10" s="123"/>
      <c r="E10" s="123" t="s">
        <v>63</v>
      </c>
      <c r="F10" s="123"/>
      <c r="G10" s="123">
        <v>6</v>
      </c>
      <c r="H10" s="124">
        <f t="shared" si="0"/>
        <v>1.0714285714285714</v>
      </c>
      <c r="I10" s="125">
        <f t="shared" si="1"/>
        <v>1.0714285714285714</v>
      </c>
    </row>
    <row r="11" spans="1:9" ht="47.25" customHeight="1">
      <c r="A11" s="52">
        <v>7</v>
      </c>
      <c r="B11" s="122" t="s">
        <v>226</v>
      </c>
      <c r="C11" s="122"/>
      <c r="D11" s="123"/>
      <c r="E11" s="123" t="s">
        <v>63</v>
      </c>
      <c r="F11" s="123"/>
      <c r="G11" s="123">
        <v>6</v>
      </c>
      <c r="H11" s="124">
        <f t="shared" si="0"/>
        <v>1.0714285714285714</v>
      </c>
      <c r="I11" s="125">
        <f t="shared" si="1"/>
        <v>1.0714285714285714</v>
      </c>
    </row>
    <row r="12" spans="1:9" ht="47.25" customHeight="1">
      <c r="A12" s="52">
        <v>8</v>
      </c>
      <c r="B12" s="122" t="s">
        <v>227</v>
      </c>
      <c r="C12" s="122"/>
      <c r="D12" s="123"/>
      <c r="E12" s="123" t="s">
        <v>63</v>
      </c>
      <c r="F12" s="123"/>
      <c r="G12" s="123">
        <v>6</v>
      </c>
      <c r="H12" s="124">
        <f t="shared" si="0"/>
        <v>1.0714285714285714</v>
      </c>
      <c r="I12" s="125">
        <f t="shared" si="1"/>
        <v>1.0714285714285714</v>
      </c>
    </row>
    <row r="13" spans="1:9" ht="47.25" customHeight="1">
      <c r="A13" s="52">
        <v>9</v>
      </c>
      <c r="B13" s="122" t="s">
        <v>228</v>
      </c>
      <c r="C13" s="122"/>
      <c r="D13" s="123"/>
      <c r="E13" s="123" t="s">
        <v>63</v>
      </c>
      <c r="F13" s="123"/>
      <c r="G13" s="123">
        <v>2</v>
      </c>
      <c r="H13" s="124">
        <f t="shared" si="0"/>
        <v>0.35714285714285715</v>
      </c>
      <c r="I13" s="125">
        <f t="shared" si="1"/>
        <v>0.35714285714285715</v>
      </c>
    </row>
    <row r="14" spans="1:9" ht="63" customHeight="1">
      <c r="A14" s="52">
        <v>10</v>
      </c>
      <c r="B14" s="122" t="s">
        <v>229</v>
      </c>
      <c r="C14" s="122"/>
      <c r="D14" s="123"/>
      <c r="E14" s="123" t="s">
        <v>63</v>
      </c>
      <c r="F14" s="123"/>
      <c r="G14" s="123">
        <v>2</v>
      </c>
      <c r="H14" s="124">
        <f t="shared" si="0"/>
        <v>0.35714285714285715</v>
      </c>
      <c r="I14" s="125">
        <f t="shared" si="1"/>
        <v>0.35714285714285715</v>
      </c>
    </row>
    <row r="15" spans="1:9" ht="15.75" customHeight="1">
      <c r="A15" s="83" t="s">
        <v>71</v>
      </c>
      <c r="B15" s="83"/>
      <c r="C15" s="83"/>
      <c r="D15" s="83"/>
      <c r="E15" s="83"/>
      <c r="F15" s="83"/>
      <c r="G15" s="83"/>
      <c r="H15" s="28">
        <f>SUM(H5:H14)</f>
        <v>10</v>
      </c>
      <c r="I15" s="20">
        <f>SUM(I5:I14)</f>
        <v>8.9285714285714288</v>
      </c>
    </row>
  </sheetData>
  <mergeCells count="18">
    <mergeCell ref="B14:C14"/>
    <mergeCell ref="A15:G15"/>
    <mergeCell ref="B8:C8"/>
    <mergeCell ref="B9:C9"/>
    <mergeCell ref="B10:C10"/>
    <mergeCell ref="B11:C11"/>
    <mergeCell ref="B12:C12"/>
    <mergeCell ref="B13:C13"/>
    <mergeCell ref="A1:B1"/>
    <mergeCell ref="A2:B2"/>
    <mergeCell ref="C2:I2"/>
    <mergeCell ref="C1:I1"/>
    <mergeCell ref="B7:C7"/>
    <mergeCell ref="A3:B3"/>
    <mergeCell ref="D3:I3"/>
    <mergeCell ref="B4:C4"/>
    <mergeCell ref="B5:C5"/>
    <mergeCell ref="B6:C6"/>
  </mergeCells>
  <pageMargins left="0.7" right="0.7" top="0.75" bottom="0.75" header="0.3" footer="0.3"/>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654A4-842A-43E8-959B-08D55F2395EA}">
  <sheetPr>
    <tabColor rgb="FFFF5050"/>
  </sheetPr>
  <dimension ref="A1:I13"/>
  <sheetViews>
    <sheetView workbookViewId="0">
      <pane xSplit="3" ySplit="4" topLeftCell="D6" activePane="bottomRight" state="frozen"/>
      <selection pane="bottomRight" activeCell="B9" sqref="A1:I13"/>
      <selection pane="bottomLeft" sqref="A1:B1"/>
      <selection pane="topRight" sqref="A1:B1"/>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9" width="12" style="21" customWidth="1"/>
    <col min="10" max="16384" width="11.42578125" style="21"/>
  </cols>
  <sheetData>
    <row r="1" spans="1:9" ht="15">
      <c r="A1" s="70" t="s">
        <v>51</v>
      </c>
      <c r="B1" s="70"/>
      <c r="C1" s="84" t="s">
        <v>339</v>
      </c>
      <c r="D1" s="120"/>
      <c r="E1" s="120"/>
      <c r="F1" s="120"/>
      <c r="G1" s="120"/>
      <c r="H1" s="120"/>
      <c r="I1" s="121"/>
    </row>
    <row r="2" spans="1:9" ht="15">
      <c r="A2" s="70" t="s">
        <v>0</v>
      </c>
      <c r="B2" s="70"/>
      <c r="C2" s="84" t="s">
        <v>338</v>
      </c>
      <c r="D2" s="120"/>
      <c r="E2" s="120"/>
      <c r="F2" s="120"/>
      <c r="G2" s="120"/>
      <c r="H2" s="120"/>
      <c r="I2" s="121"/>
    </row>
    <row r="3" spans="1:9" ht="15">
      <c r="A3" s="70" t="s">
        <v>53</v>
      </c>
      <c r="B3" s="70"/>
      <c r="C3" s="55" t="s">
        <v>54</v>
      </c>
      <c r="D3" s="122">
        <v>330</v>
      </c>
      <c r="E3" s="122"/>
      <c r="F3" s="122"/>
      <c r="G3" s="122"/>
      <c r="H3" s="122"/>
      <c r="I3" s="122"/>
    </row>
    <row r="4" spans="1:9" ht="60">
      <c r="A4" s="52" t="s">
        <v>55</v>
      </c>
      <c r="B4" s="70" t="s">
        <v>56</v>
      </c>
      <c r="C4" s="70"/>
      <c r="D4" s="52" t="s">
        <v>24</v>
      </c>
      <c r="E4" s="52" t="s">
        <v>57</v>
      </c>
      <c r="F4" s="52" t="s">
        <v>58</v>
      </c>
      <c r="G4" s="52" t="s">
        <v>59</v>
      </c>
      <c r="H4" s="52" t="s">
        <v>60</v>
      </c>
      <c r="I4" s="52" t="s">
        <v>61</v>
      </c>
    </row>
    <row r="5" spans="1:9" ht="46.5" customHeight="1">
      <c r="A5" s="52">
        <v>1</v>
      </c>
      <c r="B5" s="122" t="s">
        <v>62</v>
      </c>
      <c r="C5" s="122"/>
      <c r="D5" s="123"/>
      <c r="E5" s="123" t="s">
        <v>63</v>
      </c>
      <c r="F5" s="123"/>
      <c r="G5" s="123">
        <v>10</v>
      </c>
      <c r="H5" s="124">
        <f>(G5*10)/SUM($G$5:$G$12)</f>
        <v>1.5625</v>
      </c>
      <c r="I5" s="124">
        <f t="shared" ref="I5:I12" si="0">IF(E5="X",((G5*10)/SUM($G$5:$G$12)),0)</f>
        <v>1.5625</v>
      </c>
    </row>
    <row r="6" spans="1:9" ht="60" customHeight="1">
      <c r="A6" s="52">
        <v>2</v>
      </c>
      <c r="B6" s="122" t="s">
        <v>64</v>
      </c>
      <c r="C6" s="122"/>
      <c r="D6" s="123"/>
      <c r="E6" s="123" t="s">
        <v>63</v>
      </c>
      <c r="F6" s="123"/>
      <c r="G6" s="123">
        <v>6</v>
      </c>
      <c r="H6" s="124">
        <f t="shared" ref="H6:H12" si="1">(G6*10)/SUM($G$5:$G$12)</f>
        <v>0.9375</v>
      </c>
      <c r="I6" s="124">
        <f t="shared" si="0"/>
        <v>0.9375</v>
      </c>
    </row>
    <row r="7" spans="1:9" ht="47.25" customHeight="1">
      <c r="A7" s="52">
        <v>3</v>
      </c>
      <c r="B7" s="122" t="s">
        <v>65</v>
      </c>
      <c r="C7" s="122"/>
      <c r="D7" s="123"/>
      <c r="E7" s="123" t="s">
        <v>63</v>
      </c>
      <c r="F7" s="123"/>
      <c r="G7" s="123">
        <v>10</v>
      </c>
      <c r="H7" s="124">
        <f t="shared" si="1"/>
        <v>1.5625</v>
      </c>
      <c r="I7" s="124">
        <f t="shared" si="0"/>
        <v>1.5625</v>
      </c>
    </row>
    <row r="8" spans="1:9" ht="47.25" customHeight="1">
      <c r="A8" s="52">
        <v>4</v>
      </c>
      <c r="B8" s="122" t="s">
        <v>66</v>
      </c>
      <c r="C8" s="122"/>
      <c r="D8" s="123"/>
      <c r="E8" s="123" t="s">
        <v>63</v>
      </c>
      <c r="F8" s="123"/>
      <c r="G8" s="123">
        <v>2</v>
      </c>
      <c r="H8" s="124">
        <f t="shared" si="1"/>
        <v>0.3125</v>
      </c>
      <c r="I8" s="124">
        <f t="shared" si="0"/>
        <v>0.3125</v>
      </c>
    </row>
    <row r="9" spans="1:9" ht="75.75" customHeight="1">
      <c r="A9" s="52">
        <v>5</v>
      </c>
      <c r="B9" s="122" t="s">
        <v>67</v>
      </c>
      <c r="C9" s="122"/>
      <c r="D9" s="123" t="s">
        <v>63</v>
      </c>
      <c r="E9" s="123"/>
      <c r="F9" s="123"/>
      <c r="G9" s="123">
        <v>10</v>
      </c>
      <c r="H9" s="124">
        <f t="shared" si="1"/>
        <v>1.5625</v>
      </c>
      <c r="I9" s="124">
        <f t="shared" si="0"/>
        <v>0</v>
      </c>
    </row>
    <row r="10" spans="1:9" ht="46.5" customHeight="1">
      <c r="A10" s="52">
        <v>6</v>
      </c>
      <c r="B10" s="122" t="s">
        <v>68</v>
      </c>
      <c r="C10" s="122"/>
      <c r="D10" s="123"/>
      <c r="E10" s="123" t="s">
        <v>63</v>
      </c>
      <c r="F10" s="123"/>
      <c r="G10" s="123">
        <v>6</v>
      </c>
      <c r="H10" s="124">
        <f t="shared" si="1"/>
        <v>0.9375</v>
      </c>
      <c r="I10" s="124">
        <f t="shared" si="0"/>
        <v>0.9375</v>
      </c>
    </row>
    <row r="11" spans="1:9" ht="50.25" customHeight="1">
      <c r="A11" s="52">
        <v>7</v>
      </c>
      <c r="B11" s="122" t="s">
        <v>69</v>
      </c>
      <c r="C11" s="122"/>
      <c r="D11" s="123"/>
      <c r="E11" s="123" t="s">
        <v>63</v>
      </c>
      <c r="F11" s="123"/>
      <c r="G11" s="123">
        <v>10</v>
      </c>
      <c r="H11" s="124">
        <f t="shared" si="1"/>
        <v>1.5625</v>
      </c>
      <c r="I11" s="124">
        <f t="shared" si="0"/>
        <v>1.5625</v>
      </c>
    </row>
    <row r="12" spans="1:9" ht="61.5" customHeight="1">
      <c r="A12" s="52">
        <v>8</v>
      </c>
      <c r="B12" s="122" t="s">
        <v>70</v>
      </c>
      <c r="C12" s="122"/>
      <c r="D12" s="123"/>
      <c r="E12" s="123" t="s">
        <v>63</v>
      </c>
      <c r="F12" s="123"/>
      <c r="G12" s="123">
        <v>10</v>
      </c>
      <c r="H12" s="124">
        <f t="shared" si="1"/>
        <v>1.5625</v>
      </c>
      <c r="I12" s="124">
        <f t="shared" si="0"/>
        <v>1.5625</v>
      </c>
    </row>
    <row r="13" spans="1:9" ht="15.75" customHeight="1">
      <c r="A13" s="71" t="s">
        <v>71</v>
      </c>
      <c r="B13" s="72"/>
      <c r="C13" s="72"/>
      <c r="D13" s="72"/>
      <c r="E13" s="72"/>
      <c r="F13" s="72"/>
      <c r="G13" s="72"/>
      <c r="H13" s="28">
        <f>SUM(H5:H12)</f>
        <v>10</v>
      </c>
      <c r="I13" s="20">
        <f>SUM(I5:I12)</f>
        <v>8.4375</v>
      </c>
    </row>
  </sheetData>
  <mergeCells count="16">
    <mergeCell ref="A1:B1"/>
    <mergeCell ref="A2:B2"/>
    <mergeCell ref="C2:I2"/>
    <mergeCell ref="C1:I1"/>
    <mergeCell ref="A13:G13"/>
    <mergeCell ref="A3:B3"/>
    <mergeCell ref="D3:I3"/>
    <mergeCell ref="B4:C4"/>
    <mergeCell ref="B5:C5"/>
    <mergeCell ref="B6:C6"/>
    <mergeCell ref="B7:C7"/>
    <mergeCell ref="B8:C8"/>
    <mergeCell ref="B9:C9"/>
    <mergeCell ref="B10:C10"/>
    <mergeCell ref="B11:C11"/>
    <mergeCell ref="B12:C12"/>
  </mergeCells>
  <pageMargins left="0.7" right="0.7" top="0.75" bottom="0.75" header="0.3" footer="0.3"/>
  <pageSetup orientation="portrait" r:id="rId1"/>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479A2-9BF5-4B5E-B825-1DC73271643D}">
  <sheetPr>
    <tabColor rgb="FFFF5050"/>
  </sheetPr>
  <dimension ref="A1:I13"/>
  <sheetViews>
    <sheetView workbookViewId="0">
      <pane xSplit="3" ySplit="4" topLeftCell="D5" activePane="bottomRight" state="frozen"/>
      <selection pane="bottomRight" activeCell="B8" sqref="A1:I13"/>
      <selection pane="bottomLeft" sqref="A1:B1"/>
      <selection pane="topRight" sqref="A1:B1"/>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339</v>
      </c>
      <c r="D1" s="120"/>
      <c r="E1" s="120"/>
      <c r="F1" s="120"/>
      <c r="G1" s="120"/>
      <c r="H1" s="120"/>
      <c r="I1" s="121"/>
    </row>
    <row r="2" spans="1:9" ht="15">
      <c r="A2" s="70" t="s">
        <v>0</v>
      </c>
      <c r="B2" s="70"/>
      <c r="C2" s="84" t="s">
        <v>338</v>
      </c>
      <c r="D2" s="120"/>
      <c r="E2" s="120"/>
      <c r="F2" s="120"/>
      <c r="G2" s="120"/>
      <c r="H2" s="120"/>
      <c r="I2" s="121"/>
    </row>
    <row r="3" spans="1:9" ht="15">
      <c r="A3" s="70" t="s">
        <v>53</v>
      </c>
      <c r="B3" s="70"/>
      <c r="C3" s="55" t="s">
        <v>230</v>
      </c>
      <c r="D3" s="122">
        <v>340</v>
      </c>
      <c r="E3" s="122"/>
      <c r="F3" s="122"/>
      <c r="G3" s="122"/>
      <c r="H3" s="122"/>
      <c r="I3" s="122"/>
    </row>
    <row r="4" spans="1:9" ht="60">
      <c r="A4" s="52" t="s">
        <v>55</v>
      </c>
      <c r="B4" s="70" t="s">
        <v>56</v>
      </c>
      <c r="C4" s="70"/>
      <c r="D4" s="52" t="s">
        <v>24</v>
      </c>
      <c r="E4" s="52" t="s">
        <v>57</v>
      </c>
      <c r="F4" s="52" t="s">
        <v>58</v>
      </c>
      <c r="G4" s="52" t="s">
        <v>59</v>
      </c>
      <c r="H4" s="52" t="s">
        <v>60</v>
      </c>
      <c r="I4" s="52" t="s">
        <v>61</v>
      </c>
    </row>
    <row r="5" spans="1:9" ht="57.75" customHeight="1">
      <c r="A5" s="52">
        <v>1</v>
      </c>
      <c r="B5" s="122" t="s">
        <v>231</v>
      </c>
      <c r="C5" s="122"/>
      <c r="D5" s="123"/>
      <c r="E5" s="123" t="s">
        <v>63</v>
      </c>
      <c r="F5" s="123"/>
      <c r="G5" s="123">
        <v>6</v>
      </c>
      <c r="H5" s="124">
        <f>(G5*10)/SUM($G$5:$G$12)</f>
        <v>1</v>
      </c>
      <c r="I5" s="125">
        <f>IF(E5="X",((G5*10)/SUM($G$5:$G$12)),0)</f>
        <v>1</v>
      </c>
    </row>
    <row r="6" spans="1:9" ht="47.25" customHeight="1">
      <c r="A6" s="52">
        <v>2</v>
      </c>
      <c r="B6" s="122" t="s">
        <v>232</v>
      </c>
      <c r="C6" s="122"/>
      <c r="D6" s="123"/>
      <c r="E6" s="123" t="s">
        <v>63</v>
      </c>
      <c r="F6" s="123"/>
      <c r="G6" s="123">
        <v>6</v>
      </c>
      <c r="H6" s="124">
        <f t="shared" ref="H6:H12" si="0">(G6*10)/SUM($G$5:$G$12)</f>
        <v>1</v>
      </c>
      <c r="I6" s="125">
        <f t="shared" ref="I6:I12" si="1">IF(E6="X",((G6*10)/SUM($G$5:$G$12)),0)</f>
        <v>1</v>
      </c>
    </row>
    <row r="7" spans="1:9" ht="41.25" customHeight="1">
      <c r="A7" s="52">
        <v>3</v>
      </c>
      <c r="B7" s="122" t="s">
        <v>233</v>
      </c>
      <c r="C7" s="122"/>
      <c r="D7" s="123"/>
      <c r="E7" s="123" t="s">
        <v>63</v>
      </c>
      <c r="F7" s="123"/>
      <c r="G7" s="123">
        <v>2</v>
      </c>
      <c r="H7" s="124">
        <f t="shared" si="0"/>
        <v>0.33333333333333331</v>
      </c>
      <c r="I7" s="125">
        <f t="shared" si="1"/>
        <v>0.33333333333333331</v>
      </c>
    </row>
    <row r="8" spans="1:9" ht="74.25" customHeight="1">
      <c r="A8" s="52">
        <v>4</v>
      </c>
      <c r="B8" s="122" t="s">
        <v>234</v>
      </c>
      <c r="C8" s="122"/>
      <c r="D8" s="123"/>
      <c r="E8" s="123" t="s">
        <v>63</v>
      </c>
      <c r="F8" s="123"/>
      <c r="G8" s="123">
        <v>6</v>
      </c>
      <c r="H8" s="124">
        <f t="shared" si="0"/>
        <v>1</v>
      </c>
      <c r="I8" s="125">
        <f t="shared" si="1"/>
        <v>1</v>
      </c>
    </row>
    <row r="9" spans="1:9" ht="45" customHeight="1">
      <c r="A9" s="52">
        <v>5</v>
      </c>
      <c r="B9" s="122" t="s">
        <v>235</v>
      </c>
      <c r="C9" s="122"/>
      <c r="D9" s="123"/>
      <c r="E9" s="123" t="s">
        <v>63</v>
      </c>
      <c r="F9" s="123"/>
      <c r="G9" s="123">
        <v>10</v>
      </c>
      <c r="H9" s="124">
        <f t="shared" si="0"/>
        <v>1.6666666666666667</v>
      </c>
      <c r="I9" s="125">
        <f t="shared" si="1"/>
        <v>1.6666666666666667</v>
      </c>
    </row>
    <row r="10" spans="1:9" ht="47.25" customHeight="1">
      <c r="A10" s="52">
        <v>6</v>
      </c>
      <c r="B10" s="122" t="s">
        <v>236</v>
      </c>
      <c r="C10" s="122"/>
      <c r="D10" s="123"/>
      <c r="E10" s="123" t="s">
        <v>63</v>
      </c>
      <c r="F10" s="123"/>
      <c r="G10" s="123">
        <v>10</v>
      </c>
      <c r="H10" s="124">
        <f t="shared" si="0"/>
        <v>1.6666666666666667</v>
      </c>
      <c r="I10" s="125">
        <f t="shared" si="1"/>
        <v>1.6666666666666667</v>
      </c>
    </row>
    <row r="11" spans="1:9" ht="60" customHeight="1">
      <c r="A11" s="52">
        <v>7</v>
      </c>
      <c r="B11" s="122" t="s">
        <v>237</v>
      </c>
      <c r="C11" s="122"/>
      <c r="D11" s="123"/>
      <c r="E11" s="123" t="s">
        <v>63</v>
      </c>
      <c r="F11" s="123"/>
      <c r="G11" s="123">
        <v>10</v>
      </c>
      <c r="H11" s="124">
        <f t="shared" si="0"/>
        <v>1.6666666666666667</v>
      </c>
      <c r="I11" s="125">
        <f t="shared" si="1"/>
        <v>1.6666666666666667</v>
      </c>
    </row>
    <row r="12" spans="1:9" ht="63" customHeight="1">
      <c r="A12" s="52">
        <v>8</v>
      </c>
      <c r="B12" s="122" t="s">
        <v>238</v>
      </c>
      <c r="C12" s="122"/>
      <c r="D12" s="123"/>
      <c r="E12" s="123" t="s">
        <v>63</v>
      </c>
      <c r="F12" s="123"/>
      <c r="G12" s="123">
        <v>10</v>
      </c>
      <c r="H12" s="124">
        <f t="shared" si="0"/>
        <v>1.6666666666666667</v>
      </c>
      <c r="I12" s="125">
        <f t="shared" si="1"/>
        <v>1.6666666666666667</v>
      </c>
    </row>
    <row r="13" spans="1:9" ht="15.75" customHeight="1">
      <c r="A13" s="83" t="s">
        <v>71</v>
      </c>
      <c r="B13" s="83"/>
      <c r="C13" s="83"/>
      <c r="D13" s="83"/>
      <c r="E13" s="83"/>
      <c r="F13" s="83"/>
      <c r="G13" s="83"/>
      <c r="H13" s="28">
        <f>SUM(H5:H12)</f>
        <v>10</v>
      </c>
      <c r="I13" s="20">
        <f>SUM(I5:I12)</f>
        <v>10</v>
      </c>
    </row>
  </sheetData>
  <mergeCells count="16">
    <mergeCell ref="A1:B1"/>
    <mergeCell ref="A2:B2"/>
    <mergeCell ref="C2:I2"/>
    <mergeCell ref="C1:I1"/>
    <mergeCell ref="A13:G13"/>
    <mergeCell ref="A3:B3"/>
    <mergeCell ref="D3:I3"/>
    <mergeCell ref="B4:C4"/>
    <mergeCell ref="B5:C5"/>
    <mergeCell ref="B6:C6"/>
    <mergeCell ref="B7:C7"/>
    <mergeCell ref="B8:C8"/>
    <mergeCell ref="B9:C9"/>
    <mergeCell ref="B10:C10"/>
    <mergeCell ref="B11:C11"/>
    <mergeCell ref="B12:C12"/>
  </mergeCells>
  <pageMargins left="0.7" right="0.7" top="0.75" bottom="0.75" header="0.3" footer="0.3"/>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3BF6E-4C49-4307-8172-ABF2FE1B620B}">
  <sheetPr>
    <tabColor rgb="FFFF5050"/>
  </sheetPr>
  <dimension ref="A1:I19"/>
  <sheetViews>
    <sheetView workbookViewId="0">
      <pane xSplit="3" ySplit="4" topLeftCell="D5" activePane="bottomRight" state="frozen"/>
      <selection pane="bottomRight" activeCell="B7" sqref="A1:I19"/>
      <selection pane="bottomLeft" sqref="A1:B1"/>
      <selection pane="topRight" sqref="A1:B1"/>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339</v>
      </c>
      <c r="D1" s="120"/>
      <c r="E1" s="120"/>
      <c r="F1" s="120"/>
      <c r="G1" s="120"/>
      <c r="H1" s="120"/>
      <c r="I1" s="121"/>
    </row>
    <row r="2" spans="1:9" ht="15">
      <c r="A2" s="70" t="s">
        <v>0</v>
      </c>
      <c r="B2" s="70"/>
      <c r="C2" s="84" t="s">
        <v>338</v>
      </c>
      <c r="D2" s="120"/>
      <c r="E2" s="120"/>
      <c r="F2" s="120"/>
      <c r="G2" s="120"/>
      <c r="H2" s="120"/>
      <c r="I2" s="121"/>
    </row>
    <row r="3" spans="1:9" ht="30">
      <c r="A3" s="70" t="s">
        <v>270</v>
      </c>
      <c r="B3" s="70"/>
      <c r="C3" s="55" t="s">
        <v>470</v>
      </c>
      <c r="D3" s="122">
        <v>360</v>
      </c>
      <c r="E3" s="122"/>
      <c r="F3" s="122"/>
      <c r="G3" s="122"/>
      <c r="H3" s="122"/>
      <c r="I3" s="122"/>
    </row>
    <row r="4" spans="1:9" ht="60">
      <c r="A4" s="52" t="s">
        <v>55</v>
      </c>
      <c r="B4" s="70" t="s">
        <v>56</v>
      </c>
      <c r="C4" s="70"/>
      <c r="D4" s="52" t="s">
        <v>24</v>
      </c>
      <c r="E4" s="52" t="s">
        <v>57</v>
      </c>
      <c r="F4" s="52" t="s">
        <v>58</v>
      </c>
      <c r="G4" s="52" t="s">
        <v>59</v>
      </c>
      <c r="H4" s="52" t="s">
        <v>60</v>
      </c>
      <c r="I4" s="52" t="s">
        <v>61</v>
      </c>
    </row>
    <row r="5" spans="1:9" ht="48" customHeight="1">
      <c r="A5" s="52">
        <v>1</v>
      </c>
      <c r="B5" s="122" t="s">
        <v>471</v>
      </c>
      <c r="C5" s="122"/>
      <c r="D5" s="123"/>
      <c r="E5" s="123" t="s">
        <v>63</v>
      </c>
      <c r="F5" s="123"/>
      <c r="G5" s="27">
        <v>10</v>
      </c>
      <c r="H5" s="34">
        <f t="shared" ref="H5:H18" si="0">(G5*10)/SUM($G$5:$G$18)</f>
        <v>0.96153846153846156</v>
      </c>
      <c r="I5" s="125">
        <f>IF(E5="X",((G5*10)/SUM($G$5:$G$18)),0)</f>
        <v>0.96153846153846156</v>
      </c>
    </row>
    <row r="6" spans="1:9" ht="71.25" customHeight="1">
      <c r="A6" s="52">
        <v>2</v>
      </c>
      <c r="B6" s="122" t="s">
        <v>472</v>
      </c>
      <c r="C6" s="122"/>
      <c r="D6" s="123"/>
      <c r="E6" s="123" t="s">
        <v>63</v>
      </c>
      <c r="F6" s="123"/>
      <c r="G6" s="27">
        <v>10</v>
      </c>
      <c r="H6" s="34">
        <f t="shared" si="0"/>
        <v>0.96153846153846156</v>
      </c>
      <c r="I6" s="125">
        <f t="shared" ref="I6:I18" si="1">IF(E6="X",((G6*10)/SUM($G$5:$G$18)),0)</f>
        <v>0.96153846153846156</v>
      </c>
    </row>
    <row r="7" spans="1:9" ht="71.25" customHeight="1">
      <c r="A7" s="52">
        <v>3</v>
      </c>
      <c r="B7" s="122" t="s">
        <v>473</v>
      </c>
      <c r="C7" s="122"/>
      <c r="D7" s="123"/>
      <c r="E7" s="123" t="s">
        <v>63</v>
      </c>
      <c r="F7" s="123"/>
      <c r="G7" s="27">
        <v>10</v>
      </c>
      <c r="H7" s="34">
        <f t="shared" si="0"/>
        <v>0.96153846153846156</v>
      </c>
      <c r="I7" s="125">
        <f t="shared" si="1"/>
        <v>0.96153846153846156</v>
      </c>
    </row>
    <row r="8" spans="1:9" ht="48.75" customHeight="1">
      <c r="A8" s="52">
        <v>4</v>
      </c>
      <c r="B8" s="122" t="s">
        <v>474</v>
      </c>
      <c r="C8" s="122"/>
      <c r="D8" s="123"/>
      <c r="E8" s="123" t="s">
        <v>63</v>
      </c>
      <c r="F8" s="123"/>
      <c r="G8" s="27">
        <v>10</v>
      </c>
      <c r="H8" s="34">
        <f t="shared" si="0"/>
        <v>0.96153846153846156</v>
      </c>
      <c r="I8" s="125">
        <f t="shared" si="1"/>
        <v>0.96153846153846156</v>
      </c>
    </row>
    <row r="9" spans="1:9" ht="42.75" customHeight="1">
      <c r="A9" s="52">
        <v>5</v>
      </c>
      <c r="B9" s="122" t="s">
        <v>475</v>
      </c>
      <c r="C9" s="122"/>
      <c r="D9" s="123" t="s">
        <v>63</v>
      </c>
      <c r="E9" s="123"/>
      <c r="F9" s="123"/>
      <c r="G9" s="27">
        <v>10</v>
      </c>
      <c r="H9" s="34">
        <f t="shared" si="0"/>
        <v>0.96153846153846156</v>
      </c>
      <c r="I9" s="125">
        <f t="shared" si="1"/>
        <v>0</v>
      </c>
    </row>
    <row r="10" spans="1:9" ht="57" customHeight="1">
      <c r="A10" s="52">
        <v>6</v>
      </c>
      <c r="B10" s="122" t="s">
        <v>476</v>
      </c>
      <c r="C10" s="122"/>
      <c r="D10" s="123"/>
      <c r="E10" s="123" t="s">
        <v>63</v>
      </c>
      <c r="F10" s="123"/>
      <c r="G10" s="27">
        <v>6</v>
      </c>
      <c r="H10" s="34">
        <f t="shared" si="0"/>
        <v>0.57692307692307687</v>
      </c>
      <c r="I10" s="125">
        <f t="shared" si="1"/>
        <v>0.57692307692307687</v>
      </c>
    </row>
    <row r="11" spans="1:9" ht="42.75" customHeight="1">
      <c r="A11" s="52">
        <v>7</v>
      </c>
      <c r="B11" s="122" t="s">
        <v>477</v>
      </c>
      <c r="C11" s="122"/>
      <c r="D11" s="123"/>
      <c r="E11" s="123" t="s">
        <v>63</v>
      </c>
      <c r="F11" s="123"/>
      <c r="G11" s="27">
        <v>6</v>
      </c>
      <c r="H11" s="34">
        <f t="shared" si="0"/>
        <v>0.57692307692307687</v>
      </c>
      <c r="I11" s="125">
        <f t="shared" si="1"/>
        <v>0.57692307692307687</v>
      </c>
    </row>
    <row r="12" spans="1:9" ht="42.75" customHeight="1">
      <c r="A12" s="52">
        <v>8</v>
      </c>
      <c r="B12" s="122" t="s">
        <v>478</v>
      </c>
      <c r="C12" s="122"/>
      <c r="D12" s="123"/>
      <c r="E12" s="123" t="s">
        <v>63</v>
      </c>
      <c r="F12" s="123"/>
      <c r="G12" s="27">
        <v>2</v>
      </c>
      <c r="H12" s="34">
        <f t="shared" si="0"/>
        <v>0.19230769230769232</v>
      </c>
      <c r="I12" s="125">
        <f t="shared" si="1"/>
        <v>0.19230769230769232</v>
      </c>
    </row>
    <row r="13" spans="1:9" ht="72" customHeight="1">
      <c r="A13" s="52">
        <v>9</v>
      </c>
      <c r="B13" s="122" t="s">
        <v>497</v>
      </c>
      <c r="C13" s="122"/>
      <c r="D13" s="123"/>
      <c r="E13" s="123" t="s">
        <v>63</v>
      </c>
      <c r="F13" s="123"/>
      <c r="G13" s="27">
        <v>6</v>
      </c>
      <c r="H13" s="34">
        <f t="shared" si="0"/>
        <v>0.57692307692307687</v>
      </c>
      <c r="I13" s="125">
        <f t="shared" si="1"/>
        <v>0.57692307692307687</v>
      </c>
    </row>
    <row r="14" spans="1:9" ht="42.75" customHeight="1">
      <c r="A14" s="52">
        <v>10</v>
      </c>
      <c r="B14" s="122" t="s">
        <v>480</v>
      </c>
      <c r="C14" s="122"/>
      <c r="D14" s="123"/>
      <c r="E14" s="123" t="s">
        <v>63</v>
      </c>
      <c r="F14" s="123"/>
      <c r="G14" s="27">
        <v>6</v>
      </c>
      <c r="H14" s="34">
        <f t="shared" si="0"/>
        <v>0.57692307692307687</v>
      </c>
      <c r="I14" s="125">
        <f t="shared" si="1"/>
        <v>0.57692307692307687</v>
      </c>
    </row>
    <row r="15" spans="1:9" ht="33" customHeight="1">
      <c r="A15" s="52">
        <v>11</v>
      </c>
      <c r="B15" s="122" t="s">
        <v>481</v>
      </c>
      <c r="C15" s="122"/>
      <c r="D15" s="123"/>
      <c r="E15" s="123" t="s">
        <v>63</v>
      </c>
      <c r="F15" s="123"/>
      <c r="G15" s="27">
        <v>6</v>
      </c>
      <c r="H15" s="34">
        <f t="shared" si="0"/>
        <v>0.57692307692307687</v>
      </c>
      <c r="I15" s="125">
        <f t="shared" si="1"/>
        <v>0.57692307692307687</v>
      </c>
    </row>
    <row r="16" spans="1:9" ht="57" customHeight="1">
      <c r="A16" s="52">
        <v>12</v>
      </c>
      <c r="B16" s="122" t="s">
        <v>482</v>
      </c>
      <c r="C16" s="122"/>
      <c r="D16" s="123"/>
      <c r="E16" s="123" t="s">
        <v>63</v>
      </c>
      <c r="F16" s="123"/>
      <c r="G16" s="27">
        <v>10</v>
      </c>
      <c r="H16" s="34">
        <f t="shared" si="0"/>
        <v>0.96153846153846156</v>
      </c>
      <c r="I16" s="125">
        <f t="shared" si="1"/>
        <v>0.96153846153846156</v>
      </c>
    </row>
    <row r="17" spans="1:9" ht="48.75" customHeight="1">
      <c r="A17" s="52">
        <v>13</v>
      </c>
      <c r="B17" s="122" t="s">
        <v>483</v>
      </c>
      <c r="C17" s="122"/>
      <c r="D17" s="123" t="s">
        <v>63</v>
      </c>
      <c r="E17" s="123"/>
      <c r="F17" s="123"/>
      <c r="G17" s="27">
        <v>6</v>
      </c>
      <c r="H17" s="34">
        <f t="shared" si="0"/>
        <v>0.57692307692307687</v>
      </c>
      <c r="I17" s="125">
        <f t="shared" si="1"/>
        <v>0</v>
      </c>
    </row>
    <row r="18" spans="1:9" ht="57" customHeight="1">
      <c r="A18" s="52">
        <v>14</v>
      </c>
      <c r="B18" s="122" t="s">
        <v>484</v>
      </c>
      <c r="C18" s="122"/>
      <c r="D18" s="123" t="s">
        <v>63</v>
      </c>
      <c r="E18" s="123"/>
      <c r="F18" s="123"/>
      <c r="G18" s="27">
        <v>6</v>
      </c>
      <c r="H18" s="34">
        <f t="shared" si="0"/>
        <v>0.57692307692307687</v>
      </c>
      <c r="I18" s="125">
        <f t="shared" si="1"/>
        <v>0</v>
      </c>
    </row>
    <row r="19" spans="1:9" ht="15">
      <c r="A19" s="70" t="s">
        <v>71</v>
      </c>
      <c r="B19" s="70"/>
      <c r="C19" s="70"/>
      <c r="D19" s="70"/>
      <c r="E19" s="70"/>
      <c r="F19" s="70"/>
      <c r="G19" s="70"/>
      <c r="H19" s="35">
        <f>SUM(H5:H18)</f>
        <v>9.9999999999999982</v>
      </c>
      <c r="I19" s="19">
        <f>SUM(I5:I18)</f>
        <v>7.8846153846153841</v>
      </c>
    </row>
  </sheetData>
  <mergeCells count="22">
    <mergeCell ref="A19:G19"/>
    <mergeCell ref="B8:C8"/>
    <mergeCell ref="B9:C9"/>
    <mergeCell ref="B10:C10"/>
    <mergeCell ref="B11:C11"/>
    <mergeCell ref="B12:C12"/>
    <mergeCell ref="B13:C13"/>
    <mergeCell ref="B14:C14"/>
    <mergeCell ref="B15:C15"/>
    <mergeCell ref="B16:C16"/>
    <mergeCell ref="B17:C17"/>
    <mergeCell ref="B18:C18"/>
    <mergeCell ref="A1:B1"/>
    <mergeCell ref="A2:B2"/>
    <mergeCell ref="C2:I2"/>
    <mergeCell ref="C1:I1"/>
    <mergeCell ref="B7:C7"/>
    <mergeCell ref="A3:B3"/>
    <mergeCell ref="D3:I3"/>
    <mergeCell ref="B4:C4"/>
    <mergeCell ref="B5:C5"/>
    <mergeCell ref="B6:C6"/>
  </mergeCells>
  <pageMargins left="0.7" right="0.7" top="0.75" bottom="0.75" header="0.3" footer="0.3"/>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82D9E-219A-4203-B45B-C5DE7266FAA0}">
  <sheetPr>
    <tabColor rgb="FFFF5050"/>
  </sheetPr>
  <dimension ref="A1:I12"/>
  <sheetViews>
    <sheetView workbookViewId="0">
      <pane xSplit="3" ySplit="4" topLeftCell="D5" activePane="bottomRight" state="frozen"/>
      <selection pane="bottomRight" activeCell="B7" sqref="A1:I12"/>
      <selection pane="bottomLeft" sqref="A1:B1"/>
      <selection pane="topRight" sqref="A1:B1"/>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339</v>
      </c>
      <c r="D1" s="120"/>
      <c r="E1" s="120"/>
      <c r="F1" s="120"/>
      <c r="G1" s="120"/>
      <c r="H1" s="120"/>
      <c r="I1" s="121"/>
    </row>
    <row r="2" spans="1:9" ht="15">
      <c r="A2" s="70" t="s">
        <v>0</v>
      </c>
      <c r="B2" s="70"/>
      <c r="C2" s="84" t="s">
        <v>338</v>
      </c>
      <c r="D2" s="120"/>
      <c r="E2" s="120"/>
      <c r="F2" s="120"/>
      <c r="G2" s="120"/>
      <c r="H2" s="120"/>
      <c r="I2" s="121"/>
    </row>
    <row r="3" spans="1:9" ht="15">
      <c r="A3" s="70" t="s">
        <v>72</v>
      </c>
      <c r="B3" s="70"/>
      <c r="C3" s="55" t="s">
        <v>73</v>
      </c>
      <c r="D3" s="122">
        <v>380</v>
      </c>
      <c r="E3" s="122"/>
      <c r="F3" s="122"/>
      <c r="G3" s="122"/>
      <c r="H3" s="122"/>
      <c r="I3" s="122"/>
    </row>
    <row r="4" spans="1:9" ht="60">
      <c r="A4" s="52" t="s">
        <v>55</v>
      </c>
      <c r="B4" s="70" t="s">
        <v>56</v>
      </c>
      <c r="C4" s="70"/>
      <c r="D4" s="52" t="s">
        <v>24</v>
      </c>
      <c r="E4" s="52" t="s">
        <v>57</v>
      </c>
      <c r="F4" s="52" t="s">
        <v>58</v>
      </c>
      <c r="G4" s="52" t="s">
        <v>59</v>
      </c>
      <c r="H4" s="52" t="s">
        <v>60</v>
      </c>
      <c r="I4" s="52" t="s">
        <v>61</v>
      </c>
    </row>
    <row r="5" spans="1:9" ht="63" customHeight="1">
      <c r="A5" s="52">
        <v>1</v>
      </c>
      <c r="B5" s="122" t="s">
        <v>74</v>
      </c>
      <c r="C5" s="122"/>
      <c r="D5" s="123" t="s">
        <v>63</v>
      </c>
      <c r="E5" s="123"/>
      <c r="F5" s="123"/>
      <c r="G5" s="123">
        <v>2</v>
      </c>
      <c r="H5" s="124">
        <f>(G5*10)/SUM($G$5:$G$11)</f>
        <v>0.52631578947368418</v>
      </c>
      <c r="I5" s="125">
        <f>IF(E5="X",((G5*10)/SUM($G$5:$G$11)),0)</f>
        <v>0</v>
      </c>
    </row>
    <row r="6" spans="1:9" ht="69" customHeight="1">
      <c r="A6" s="52">
        <v>2</v>
      </c>
      <c r="B6" s="122" t="s">
        <v>75</v>
      </c>
      <c r="C6" s="122"/>
      <c r="D6" s="123" t="s">
        <v>63</v>
      </c>
      <c r="E6" s="123"/>
      <c r="F6" s="123"/>
      <c r="G6" s="123">
        <v>6</v>
      </c>
      <c r="H6" s="124">
        <f t="shared" ref="H6:H11" si="0">(G6*10)/SUM($G$5:$G$11)</f>
        <v>1.5789473684210527</v>
      </c>
      <c r="I6" s="125">
        <f t="shared" ref="I6:I11" si="1">IF(E6="X",((G6*10)/SUM($G$5:$G$11)),0)</f>
        <v>0</v>
      </c>
    </row>
    <row r="7" spans="1:9" ht="31.5" customHeight="1">
      <c r="A7" s="52">
        <v>3</v>
      </c>
      <c r="B7" s="122" t="s">
        <v>76</v>
      </c>
      <c r="C7" s="122"/>
      <c r="D7" s="123"/>
      <c r="E7" s="123" t="s">
        <v>63</v>
      </c>
      <c r="F7" s="123"/>
      <c r="G7" s="123">
        <v>10</v>
      </c>
      <c r="H7" s="124">
        <f t="shared" si="0"/>
        <v>2.6315789473684212</v>
      </c>
      <c r="I7" s="125">
        <f t="shared" si="1"/>
        <v>2.6315789473684212</v>
      </c>
    </row>
    <row r="8" spans="1:9" ht="47.25" customHeight="1">
      <c r="A8" s="52">
        <v>4</v>
      </c>
      <c r="B8" s="122" t="s">
        <v>77</v>
      </c>
      <c r="C8" s="122"/>
      <c r="D8" s="123"/>
      <c r="E8" s="123" t="s">
        <v>63</v>
      </c>
      <c r="F8" s="123"/>
      <c r="G8" s="123">
        <v>10</v>
      </c>
      <c r="H8" s="124">
        <f t="shared" si="0"/>
        <v>2.6315789473684212</v>
      </c>
      <c r="I8" s="125">
        <f t="shared" si="1"/>
        <v>2.6315789473684212</v>
      </c>
    </row>
    <row r="9" spans="1:9" ht="47.25" customHeight="1">
      <c r="A9" s="52">
        <v>5</v>
      </c>
      <c r="B9" s="122" t="s">
        <v>78</v>
      </c>
      <c r="C9" s="122"/>
      <c r="D9" s="123"/>
      <c r="E9" s="123" t="s">
        <v>63</v>
      </c>
      <c r="F9" s="123"/>
      <c r="G9" s="123">
        <v>6</v>
      </c>
      <c r="H9" s="124">
        <f t="shared" si="0"/>
        <v>1.5789473684210527</v>
      </c>
      <c r="I9" s="125">
        <f t="shared" si="1"/>
        <v>1.5789473684210527</v>
      </c>
    </row>
    <row r="10" spans="1:9" ht="35.25" customHeight="1">
      <c r="A10" s="52">
        <v>6</v>
      </c>
      <c r="B10" s="122" t="s">
        <v>79</v>
      </c>
      <c r="C10" s="122"/>
      <c r="D10" s="123" t="s">
        <v>63</v>
      </c>
      <c r="E10" s="123"/>
      <c r="F10" s="123"/>
      <c r="G10" s="123">
        <v>2</v>
      </c>
      <c r="H10" s="124">
        <f t="shared" si="0"/>
        <v>0.52631578947368418</v>
      </c>
      <c r="I10" s="125">
        <f t="shared" si="1"/>
        <v>0</v>
      </c>
    </row>
    <row r="11" spans="1:9" ht="44.25" customHeight="1">
      <c r="A11" s="52">
        <v>7</v>
      </c>
      <c r="B11" s="122" t="s">
        <v>80</v>
      </c>
      <c r="C11" s="122"/>
      <c r="D11" s="123" t="s">
        <v>63</v>
      </c>
      <c r="E11" s="123"/>
      <c r="F11" s="123"/>
      <c r="G11" s="123">
        <v>2</v>
      </c>
      <c r="H11" s="124">
        <f t="shared" si="0"/>
        <v>0.52631578947368418</v>
      </c>
      <c r="I11" s="125">
        <f t="shared" si="1"/>
        <v>0</v>
      </c>
    </row>
    <row r="12" spans="1:9" ht="15.75" customHeight="1">
      <c r="A12" s="71" t="s">
        <v>71</v>
      </c>
      <c r="B12" s="72"/>
      <c r="C12" s="72"/>
      <c r="D12" s="72"/>
      <c r="E12" s="72"/>
      <c r="F12" s="72"/>
      <c r="G12" s="72"/>
      <c r="H12" s="28">
        <f>SUM(H5:H11)</f>
        <v>10.000000000000002</v>
      </c>
      <c r="I12" s="20">
        <f>SUM(I5:I11)</f>
        <v>6.8421052631578956</v>
      </c>
    </row>
  </sheetData>
  <mergeCells count="15">
    <mergeCell ref="B8:C8"/>
    <mergeCell ref="B9:C9"/>
    <mergeCell ref="B10:C10"/>
    <mergeCell ref="B11:C11"/>
    <mergeCell ref="A12:G12"/>
    <mergeCell ref="A1:B1"/>
    <mergeCell ref="A2:B2"/>
    <mergeCell ref="C2:I2"/>
    <mergeCell ref="C1:I1"/>
    <mergeCell ref="B7:C7"/>
    <mergeCell ref="A3:B3"/>
    <mergeCell ref="D3:I3"/>
    <mergeCell ref="B4:C4"/>
    <mergeCell ref="B5:C5"/>
    <mergeCell ref="B6:C6"/>
  </mergeCells>
  <pageMargins left="0.7" right="0.7" top="0.75" bottom="0.75" header="0.3" footer="0.3"/>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AF674-FDBD-4ED0-892F-B19B9981FDB0}">
  <sheetPr>
    <tabColor rgb="FFFF5050"/>
  </sheetPr>
  <dimension ref="A1:J14"/>
  <sheetViews>
    <sheetView workbookViewId="0">
      <pane xSplit="4" ySplit="4" topLeftCell="E5" activePane="bottomRight" state="frozen"/>
      <selection pane="bottomRight" activeCell="B9" sqref="A1:J14"/>
      <selection pane="bottomLeft" activeCell="C1" sqref="C1:I2"/>
      <selection pane="topRight" activeCell="C1" sqref="C1:I2"/>
    </sheetView>
  </sheetViews>
  <sheetFormatPr defaultColWidth="11.42578125" defaultRowHeight="14.25"/>
  <cols>
    <col min="1" max="1" width="4.7109375" style="21" customWidth="1"/>
    <col min="2" max="4" width="17.7109375" style="21" customWidth="1"/>
    <col min="5" max="6" width="4.7109375" style="21" customWidth="1"/>
    <col min="7" max="7" width="9.7109375" style="21" customWidth="1"/>
    <col min="8" max="8" width="12" style="21" bestFit="1" customWidth="1"/>
    <col min="9" max="9" width="12" style="21" customWidth="1"/>
    <col min="10" max="10" width="12" style="21" bestFit="1" customWidth="1"/>
    <col min="11" max="16384" width="11.42578125" style="21"/>
  </cols>
  <sheetData>
    <row r="1" spans="1:10" ht="15">
      <c r="A1" s="70" t="s">
        <v>51</v>
      </c>
      <c r="B1" s="70"/>
      <c r="C1" s="73" t="s">
        <v>339</v>
      </c>
      <c r="D1" s="74"/>
      <c r="E1" s="74"/>
      <c r="F1" s="74"/>
      <c r="G1" s="74"/>
      <c r="H1" s="74"/>
      <c r="I1" s="74"/>
      <c r="J1" s="75"/>
    </row>
    <row r="2" spans="1:10" ht="15">
      <c r="A2" s="70" t="s">
        <v>0</v>
      </c>
      <c r="B2" s="70"/>
      <c r="C2" s="73" t="s">
        <v>338</v>
      </c>
      <c r="D2" s="74"/>
      <c r="E2" s="74"/>
      <c r="F2" s="74"/>
      <c r="G2" s="74"/>
      <c r="H2" s="74"/>
      <c r="I2" s="74"/>
      <c r="J2" s="75"/>
    </row>
    <row r="3" spans="1:10" ht="45">
      <c r="A3" s="70" t="s">
        <v>81</v>
      </c>
      <c r="B3" s="70"/>
      <c r="C3" s="18" t="s">
        <v>82</v>
      </c>
      <c r="D3" s="55" t="s">
        <v>83</v>
      </c>
      <c r="E3" s="122">
        <v>570</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34.5" customHeight="1">
      <c r="A5" s="52">
        <v>1</v>
      </c>
      <c r="B5" s="122" t="s">
        <v>84</v>
      </c>
      <c r="C5" s="122"/>
      <c r="D5" s="122"/>
      <c r="E5" s="123"/>
      <c r="F5" s="123" t="s">
        <v>63</v>
      </c>
      <c r="G5" s="123"/>
      <c r="H5" s="123">
        <v>10</v>
      </c>
      <c r="I5" s="124">
        <f>(H5*10)/SUM($H$5:$H$13)</f>
        <v>1.3513513513513513</v>
      </c>
      <c r="J5" s="125">
        <f>IF(F5="X",((H5*10)/SUM($H$5:$H$13)),0)</f>
        <v>1.3513513513513513</v>
      </c>
    </row>
    <row r="6" spans="1:10" ht="21" customHeight="1">
      <c r="A6" s="52">
        <v>2</v>
      </c>
      <c r="B6" s="122" t="s">
        <v>85</v>
      </c>
      <c r="C6" s="122"/>
      <c r="D6" s="122"/>
      <c r="E6" s="123"/>
      <c r="F6" s="123" t="s">
        <v>63</v>
      </c>
      <c r="G6" s="123"/>
      <c r="H6" s="123">
        <v>10</v>
      </c>
      <c r="I6" s="124">
        <f t="shared" ref="I6:I13" si="0">(H6*10)/SUM($H$5:$H$13)</f>
        <v>1.3513513513513513</v>
      </c>
      <c r="J6" s="125">
        <f t="shared" ref="J6:J13" si="1">IF(F6="X",((H6*10)/SUM($H$5:$H$13)),0)</f>
        <v>1.3513513513513513</v>
      </c>
    </row>
    <row r="7" spans="1:10" ht="33" customHeight="1">
      <c r="A7" s="52">
        <v>3</v>
      </c>
      <c r="B7" s="122" t="s">
        <v>86</v>
      </c>
      <c r="C7" s="122"/>
      <c r="D7" s="122"/>
      <c r="E7" s="123" t="s">
        <v>63</v>
      </c>
      <c r="F7" s="123"/>
      <c r="G7" s="123"/>
      <c r="H7" s="123">
        <v>6</v>
      </c>
      <c r="I7" s="124">
        <f t="shared" si="0"/>
        <v>0.81081081081081086</v>
      </c>
      <c r="J7" s="125">
        <f t="shared" si="1"/>
        <v>0</v>
      </c>
    </row>
    <row r="8" spans="1:10" ht="60" customHeight="1">
      <c r="A8" s="52">
        <v>4</v>
      </c>
      <c r="B8" s="122" t="s">
        <v>87</v>
      </c>
      <c r="C8" s="122"/>
      <c r="D8" s="122"/>
      <c r="E8" s="123"/>
      <c r="F8" s="123" t="s">
        <v>63</v>
      </c>
      <c r="G8" s="123"/>
      <c r="H8" s="123">
        <v>10</v>
      </c>
      <c r="I8" s="124">
        <f t="shared" si="0"/>
        <v>1.3513513513513513</v>
      </c>
      <c r="J8" s="125">
        <f t="shared" si="1"/>
        <v>1.3513513513513513</v>
      </c>
    </row>
    <row r="9" spans="1:10" ht="33" customHeight="1">
      <c r="A9" s="52">
        <v>5</v>
      </c>
      <c r="B9" s="122" t="s">
        <v>88</v>
      </c>
      <c r="C9" s="122"/>
      <c r="D9" s="122"/>
      <c r="E9" s="123"/>
      <c r="F9" s="123" t="s">
        <v>63</v>
      </c>
      <c r="G9" s="123"/>
      <c r="H9" s="123">
        <v>6</v>
      </c>
      <c r="I9" s="124">
        <f t="shared" si="0"/>
        <v>0.81081081081081086</v>
      </c>
      <c r="J9" s="125">
        <f t="shared" si="1"/>
        <v>0.81081081081081086</v>
      </c>
    </row>
    <row r="10" spans="1:10" ht="34.5" customHeight="1">
      <c r="A10" s="52">
        <v>6</v>
      </c>
      <c r="B10" s="122" t="s">
        <v>89</v>
      </c>
      <c r="C10" s="122"/>
      <c r="D10" s="122"/>
      <c r="E10" s="123"/>
      <c r="F10" s="123" t="s">
        <v>63</v>
      </c>
      <c r="G10" s="123"/>
      <c r="H10" s="123">
        <v>6</v>
      </c>
      <c r="I10" s="124">
        <f t="shared" si="0"/>
        <v>0.81081081081081086</v>
      </c>
      <c r="J10" s="125">
        <f t="shared" si="1"/>
        <v>0.81081081081081086</v>
      </c>
    </row>
    <row r="11" spans="1:10" ht="74.25" customHeight="1">
      <c r="A11" s="52">
        <v>7</v>
      </c>
      <c r="B11" s="122" t="s">
        <v>90</v>
      </c>
      <c r="C11" s="122"/>
      <c r="D11" s="122"/>
      <c r="E11" s="123" t="s">
        <v>63</v>
      </c>
      <c r="F11" s="123"/>
      <c r="G11" s="123"/>
      <c r="H11" s="123">
        <v>10</v>
      </c>
      <c r="I11" s="124">
        <f t="shared" si="0"/>
        <v>1.3513513513513513</v>
      </c>
      <c r="J11" s="125">
        <f>IF(F11="X",((H11*10)/SUM($H$5:$H$13)),0)</f>
        <v>0</v>
      </c>
    </row>
    <row r="12" spans="1:10" ht="32.25" customHeight="1">
      <c r="A12" s="52">
        <v>8</v>
      </c>
      <c r="B12" s="122" t="s">
        <v>91</v>
      </c>
      <c r="C12" s="122"/>
      <c r="D12" s="122"/>
      <c r="E12" s="123"/>
      <c r="F12" s="123" t="s">
        <v>63</v>
      </c>
      <c r="G12" s="123"/>
      <c r="H12" s="123">
        <v>10</v>
      </c>
      <c r="I12" s="124">
        <f t="shared" si="0"/>
        <v>1.3513513513513513</v>
      </c>
      <c r="J12" s="125">
        <f t="shared" si="1"/>
        <v>1.3513513513513513</v>
      </c>
    </row>
    <row r="13" spans="1:10" ht="51" customHeight="1">
      <c r="A13" s="52">
        <v>9</v>
      </c>
      <c r="B13" s="122" t="s">
        <v>92</v>
      </c>
      <c r="C13" s="122"/>
      <c r="D13" s="122"/>
      <c r="E13" s="123" t="s">
        <v>63</v>
      </c>
      <c r="F13" s="123"/>
      <c r="G13" s="123"/>
      <c r="H13" s="123">
        <v>6</v>
      </c>
      <c r="I13" s="124">
        <f t="shared" si="0"/>
        <v>0.81081081081081086</v>
      </c>
      <c r="J13" s="125">
        <f t="shared" si="1"/>
        <v>0</v>
      </c>
    </row>
    <row r="14" spans="1:10" ht="15" customHeight="1">
      <c r="A14" s="71" t="s">
        <v>71</v>
      </c>
      <c r="B14" s="72"/>
      <c r="C14" s="72"/>
      <c r="D14" s="72"/>
      <c r="E14" s="72"/>
      <c r="F14" s="72"/>
      <c r="G14" s="72"/>
      <c r="H14" s="72"/>
      <c r="I14" s="28">
        <f>SUM(I5:I13)</f>
        <v>9.9999999999999982</v>
      </c>
      <c r="J14" s="19">
        <f>SUM(J5:J13)</f>
        <v>7.0270270270270263</v>
      </c>
    </row>
  </sheetData>
  <mergeCells count="17">
    <mergeCell ref="A14:H14"/>
    <mergeCell ref="B8:D8"/>
    <mergeCell ref="B9:D9"/>
    <mergeCell ref="B10:D10"/>
    <mergeCell ref="B11:D11"/>
    <mergeCell ref="B12:D12"/>
    <mergeCell ref="B13:D13"/>
    <mergeCell ref="A1:B1"/>
    <mergeCell ref="A2:B2"/>
    <mergeCell ref="C1:J1"/>
    <mergeCell ref="C2:J2"/>
    <mergeCell ref="B7:D7"/>
    <mergeCell ref="A3:B3"/>
    <mergeCell ref="E3:J3"/>
    <mergeCell ref="B4:D4"/>
    <mergeCell ref="B5:D5"/>
    <mergeCell ref="B6:D6"/>
  </mergeCells>
  <pageMargins left="0.7" right="0.7" top="0.75" bottom="0.75" header="0.3" footer="0.3"/>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9BD18-B339-450C-92CE-703088FB8208}">
  <sheetPr>
    <tabColor rgb="FFFF5050"/>
  </sheetPr>
  <dimension ref="A1:J14"/>
  <sheetViews>
    <sheetView workbookViewId="0">
      <pane xSplit="4" ySplit="4" topLeftCell="E5" activePane="bottomRight" state="frozen"/>
      <selection pane="bottomRight" activeCell="B8" sqref="A1:J14"/>
      <selection pane="bottomLeft" activeCell="C1" sqref="C1:I2"/>
      <selection pane="topRight" activeCell="C1" sqref="C1:I2"/>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338</v>
      </c>
      <c r="D2" s="74"/>
      <c r="E2" s="74"/>
      <c r="F2" s="74"/>
      <c r="G2" s="74"/>
      <c r="H2" s="74"/>
      <c r="I2" s="74"/>
      <c r="J2" s="75"/>
    </row>
    <row r="3" spans="1:10" ht="45">
      <c r="A3" s="70" t="s">
        <v>81</v>
      </c>
      <c r="B3" s="70"/>
      <c r="C3" s="18" t="s">
        <v>93</v>
      </c>
      <c r="D3" s="55" t="s">
        <v>239</v>
      </c>
      <c r="E3" s="122" t="s">
        <v>440</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2.75" customHeight="1">
      <c r="A5" s="52">
        <v>1</v>
      </c>
      <c r="B5" s="122" t="s">
        <v>441</v>
      </c>
      <c r="C5" s="122"/>
      <c r="D5" s="122"/>
      <c r="E5" s="123"/>
      <c r="F5" s="123" t="s">
        <v>63</v>
      </c>
      <c r="G5" s="55"/>
      <c r="H5" s="27">
        <v>10</v>
      </c>
      <c r="I5" s="124">
        <f>IF(H5="","",((H5*10)/SUM($H$5:$H$13)))</f>
        <v>1.6129032258064515</v>
      </c>
      <c r="J5" s="125">
        <f>IF(F5="X",((H5*10)/SUM($H$5:$H$13)),0)</f>
        <v>1.6129032258064515</v>
      </c>
    </row>
    <row r="6" spans="1:10" ht="42.75" customHeight="1">
      <c r="A6" s="52">
        <v>2</v>
      </c>
      <c r="B6" s="122" t="s">
        <v>442</v>
      </c>
      <c r="C6" s="122"/>
      <c r="D6" s="122"/>
      <c r="E6" s="123"/>
      <c r="F6" s="123" t="s">
        <v>63</v>
      </c>
      <c r="G6" s="55"/>
      <c r="H6" s="27">
        <v>10</v>
      </c>
      <c r="I6" s="124">
        <f t="shared" ref="I6:I13" si="0">IF(H6="","",((H6*10)/SUM($H$5:$H$13)))</f>
        <v>1.6129032258064515</v>
      </c>
      <c r="J6" s="125">
        <f t="shared" ref="J6:J13" si="1">IF(F6="X",((H6*10)/SUM($H$5:$H$13)),0)</f>
        <v>1.6129032258064515</v>
      </c>
    </row>
    <row r="7" spans="1:10" ht="28.5" customHeight="1">
      <c r="A7" s="52">
        <v>3</v>
      </c>
      <c r="B7" s="122" t="s">
        <v>272</v>
      </c>
      <c r="C7" s="122"/>
      <c r="D7" s="122"/>
      <c r="E7" s="123" t="s">
        <v>63</v>
      </c>
      <c r="F7" s="123"/>
      <c r="G7" s="55"/>
      <c r="H7" s="27">
        <v>10</v>
      </c>
      <c r="I7" s="124">
        <f t="shared" si="0"/>
        <v>1.6129032258064515</v>
      </c>
      <c r="J7" s="125">
        <f t="shared" si="1"/>
        <v>0</v>
      </c>
    </row>
    <row r="8" spans="1:10" ht="42.75" customHeight="1">
      <c r="A8" s="52">
        <v>4</v>
      </c>
      <c r="B8" s="122" t="s">
        <v>443</v>
      </c>
      <c r="C8" s="122"/>
      <c r="D8" s="122"/>
      <c r="E8" s="123"/>
      <c r="F8" s="123" t="s">
        <v>63</v>
      </c>
      <c r="G8" s="55"/>
      <c r="H8" s="27">
        <v>6</v>
      </c>
      <c r="I8" s="124">
        <f t="shared" si="0"/>
        <v>0.967741935483871</v>
      </c>
      <c r="J8" s="125">
        <f t="shared" si="1"/>
        <v>0.967741935483871</v>
      </c>
    </row>
    <row r="9" spans="1:10" ht="28.5" customHeight="1">
      <c r="A9" s="52">
        <v>5</v>
      </c>
      <c r="B9" s="122" t="s">
        <v>444</v>
      </c>
      <c r="C9" s="122"/>
      <c r="D9" s="122"/>
      <c r="E9" s="123"/>
      <c r="F9" s="123" t="s">
        <v>63</v>
      </c>
      <c r="G9" s="55"/>
      <c r="H9" s="27">
        <v>6</v>
      </c>
      <c r="I9" s="124">
        <f t="shared" si="0"/>
        <v>0.967741935483871</v>
      </c>
      <c r="J9" s="125">
        <f t="shared" si="1"/>
        <v>0.967741935483871</v>
      </c>
    </row>
    <row r="10" spans="1:10" ht="42.75" customHeight="1">
      <c r="A10" s="52">
        <v>6</v>
      </c>
      <c r="B10" s="122" t="s">
        <v>445</v>
      </c>
      <c r="C10" s="122"/>
      <c r="D10" s="122"/>
      <c r="E10" s="123"/>
      <c r="F10" s="123" t="s">
        <v>63</v>
      </c>
      <c r="G10" s="55"/>
      <c r="H10" s="27">
        <v>6</v>
      </c>
      <c r="I10" s="124">
        <f t="shared" si="0"/>
        <v>0.967741935483871</v>
      </c>
      <c r="J10" s="125">
        <f t="shared" si="1"/>
        <v>0.967741935483871</v>
      </c>
    </row>
    <row r="11" spans="1:10" ht="28.5" customHeight="1">
      <c r="A11" s="52">
        <v>7</v>
      </c>
      <c r="B11" s="122" t="s">
        <v>446</v>
      </c>
      <c r="C11" s="122"/>
      <c r="D11" s="122"/>
      <c r="E11" s="123"/>
      <c r="F11" s="123" t="s">
        <v>63</v>
      </c>
      <c r="G11" s="55"/>
      <c r="H11" s="27">
        <v>2</v>
      </c>
      <c r="I11" s="124">
        <f t="shared" si="0"/>
        <v>0.32258064516129031</v>
      </c>
      <c r="J11" s="125">
        <f t="shared" si="1"/>
        <v>0.32258064516129031</v>
      </c>
    </row>
    <row r="12" spans="1:10" ht="28.5" customHeight="1">
      <c r="A12" s="52">
        <v>8</v>
      </c>
      <c r="B12" s="122" t="s">
        <v>447</v>
      </c>
      <c r="C12" s="122"/>
      <c r="D12" s="122"/>
      <c r="E12" s="123"/>
      <c r="F12" s="123" t="s">
        <v>63</v>
      </c>
      <c r="G12" s="55"/>
      <c r="H12" s="27">
        <v>6</v>
      </c>
      <c r="I12" s="124">
        <f t="shared" si="0"/>
        <v>0.967741935483871</v>
      </c>
      <c r="J12" s="125">
        <f t="shared" si="1"/>
        <v>0.967741935483871</v>
      </c>
    </row>
    <row r="13" spans="1:10" ht="57" customHeight="1">
      <c r="A13" s="52">
        <v>9</v>
      </c>
      <c r="B13" s="122" t="s">
        <v>448</v>
      </c>
      <c r="C13" s="122"/>
      <c r="D13" s="122"/>
      <c r="E13" s="123" t="s">
        <v>63</v>
      </c>
      <c r="F13" s="123"/>
      <c r="G13" s="55"/>
      <c r="H13" s="27">
        <v>6</v>
      </c>
      <c r="I13" s="124">
        <f t="shared" si="0"/>
        <v>0.967741935483871</v>
      </c>
      <c r="J13" s="125">
        <f t="shared" si="1"/>
        <v>0</v>
      </c>
    </row>
    <row r="14" spans="1:10">
      <c r="A14" s="112" t="s">
        <v>71</v>
      </c>
      <c r="B14" s="112"/>
      <c r="C14" s="112"/>
      <c r="D14" s="112"/>
      <c r="E14" s="112"/>
      <c r="F14" s="112"/>
      <c r="G14" s="112"/>
      <c r="H14" s="112"/>
      <c r="I14" s="37">
        <f>SUM(I5:I13)</f>
        <v>10</v>
      </c>
      <c r="J14" s="36">
        <f>SUM(J5:J13)</f>
        <v>7.419354838709677</v>
      </c>
    </row>
  </sheetData>
  <mergeCells count="17">
    <mergeCell ref="A14:H14"/>
    <mergeCell ref="B8:D8"/>
    <mergeCell ref="B9:D9"/>
    <mergeCell ref="B10:D10"/>
    <mergeCell ref="B11:D11"/>
    <mergeCell ref="B12:D12"/>
    <mergeCell ref="B13:D13"/>
    <mergeCell ref="A1:B1"/>
    <mergeCell ref="A2:B2"/>
    <mergeCell ref="C1:J1"/>
    <mergeCell ref="C2:J2"/>
    <mergeCell ref="B7:D7"/>
    <mergeCell ref="A3:B3"/>
    <mergeCell ref="E3:J3"/>
    <mergeCell ref="B4:D4"/>
    <mergeCell ref="B5:D5"/>
    <mergeCell ref="B6:D6"/>
  </mergeCells>
  <pageMargins left="0.7" right="0.7" top="0.75" bottom="0.75" header="0.3" footer="0.3"/>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8C2DC-9D75-4442-B8E8-2177B0DC6E51}">
  <sheetPr>
    <tabColor rgb="FFFF5050"/>
  </sheetPr>
  <dimension ref="A1:J15"/>
  <sheetViews>
    <sheetView workbookViewId="0">
      <pane xSplit="4" ySplit="4" topLeftCell="E5" activePane="bottomRight" state="frozen"/>
      <selection pane="bottomRight" activeCell="B9" sqref="A1:J15"/>
      <selection pane="bottomLeft" activeCell="C1" sqref="C1:I2"/>
      <selection pane="topRight" activeCell="C1" sqref="C1:I2"/>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338</v>
      </c>
      <c r="D2" s="74"/>
      <c r="E2" s="74"/>
      <c r="F2" s="74"/>
      <c r="G2" s="74"/>
      <c r="H2" s="74"/>
      <c r="I2" s="74"/>
      <c r="J2" s="75"/>
    </row>
    <row r="3" spans="1:10" ht="45">
      <c r="A3" s="70" t="s">
        <v>81</v>
      </c>
      <c r="B3" s="70"/>
      <c r="C3" s="18" t="s">
        <v>93</v>
      </c>
      <c r="D3" s="55" t="s">
        <v>94</v>
      </c>
      <c r="E3" s="122" t="s">
        <v>340</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28.5" customHeight="1">
      <c r="A5" s="52">
        <v>1</v>
      </c>
      <c r="B5" s="122" t="s">
        <v>341</v>
      </c>
      <c r="C5" s="122"/>
      <c r="D5" s="122"/>
      <c r="E5" s="123"/>
      <c r="F5" s="123" t="s">
        <v>63</v>
      </c>
      <c r="G5" s="55"/>
      <c r="H5" s="123">
        <v>10</v>
      </c>
      <c r="I5" s="124">
        <f>IF(H5="","",((H5*10)/SUM($H$5:$H$14)))</f>
        <v>1.5625</v>
      </c>
      <c r="J5" s="125">
        <f>IF(F5="X",((H5*10)/SUM($H$5:$H$14)),0)</f>
        <v>1.5625</v>
      </c>
    </row>
    <row r="6" spans="1:10" ht="42.75" customHeight="1">
      <c r="A6" s="52">
        <v>2</v>
      </c>
      <c r="B6" s="122" t="s">
        <v>342</v>
      </c>
      <c r="C6" s="122"/>
      <c r="D6" s="122"/>
      <c r="E6" s="123"/>
      <c r="F6" s="123" t="s">
        <v>63</v>
      </c>
      <c r="G6" s="55"/>
      <c r="H6" s="123">
        <v>10</v>
      </c>
      <c r="I6" s="124">
        <f t="shared" ref="I6:I14" si="0">IF(H6="","",((H6*10)/SUM($H$5:$H$14)))</f>
        <v>1.5625</v>
      </c>
      <c r="J6" s="125">
        <f t="shared" ref="J6:J14" si="1">IF(F6="X",((H6*10)/SUM($H$5:$H$14)),0)</f>
        <v>1.5625</v>
      </c>
    </row>
    <row r="7" spans="1:10" ht="28.5" customHeight="1">
      <c r="A7" s="52">
        <v>3</v>
      </c>
      <c r="B7" s="122" t="s">
        <v>272</v>
      </c>
      <c r="C7" s="122"/>
      <c r="D7" s="122"/>
      <c r="E7" s="123" t="s">
        <v>63</v>
      </c>
      <c r="F7" s="123"/>
      <c r="G7" s="55"/>
      <c r="H7" s="123">
        <v>10</v>
      </c>
      <c r="I7" s="124">
        <f t="shared" si="0"/>
        <v>1.5625</v>
      </c>
      <c r="J7" s="125">
        <f t="shared" si="1"/>
        <v>0</v>
      </c>
    </row>
    <row r="8" spans="1:10" ht="28.5" customHeight="1">
      <c r="A8" s="52">
        <v>4</v>
      </c>
      <c r="B8" s="122" t="s">
        <v>343</v>
      </c>
      <c r="C8" s="122"/>
      <c r="D8" s="122"/>
      <c r="E8" s="123" t="s">
        <v>63</v>
      </c>
      <c r="F8" s="123"/>
      <c r="G8" s="55"/>
      <c r="H8" s="123">
        <v>6</v>
      </c>
      <c r="I8" s="124">
        <f t="shared" si="0"/>
        <v>0.9375</v>
      </c>
      <c r="J8" s="125">
        <f t="shared" si="1"/>
        <v>0</v>
      </c>
    </row>
    <row r="9" spans="1:10" ht="42.75" customHeight="1">
      <c r="A9" s="52">
        <v>5</v>
      </c>
      <c r="B9" s="122" t="s">
        <v>344</v>
      </c>
      <c r="C9" s="122"/>
      <c r="D9" s="122"/>
      <c r="E9" s="123"/>
      <c r="F9" s="123" t="s">
        <v>63</v>
      </c>
      <c r="G9" s="55"/>
      <c r="H9" s="123">
        <v>10</v>
      </c>
      <c r="I9" s="124">
        <f t="shared" si="0"/>
        <v>1.5625</v>
      </c>
      <c r="J9" s="125">
        <f t="shared" si="1"/>
        <v>1.5625</v>
      </c>
    </row>
    <row r="10" spans="1:10" ht="42.75" customHeight="1">
      <c r="A10" s="52">
        <v>6</v>
      </c>
      <c r="B10" s="122" t="s">
        <v>345</v>
      </c>
      <c r="C10" s="122"/>
      <c r="D10" s="122"/>
      <c r="E10" s="123"/>
      <c r="F10" s="123" t="s">
        <v>63</v>
      </c>
      <c r="G10" s="55"/>
      <c r="H10" s="123">
        <v>6</v>
      </c>
      <c r="I10" s="124">
        <f t="shared" si="0"/>
        <v>0.9375</v>
      </c>
      <c r="J10" s="125">
        <f t="shared" si="1"/>
        <v>0.9375</v>
      </c>
    </row>
    <row r="11" spans="1:10" ht="57" customHeight="1">
      <c r="A11" s="52">
        <v>7</v>
      </c>
      <c r="B11" s="122" t="s">
        <v>346</v>
      </c>
      <c r="C11" s="122"/>
      <c r="D11" s="122"/>
      <c r="E11" s="123"/>
      <c r="F11" s="123" t="s">
        <v>63</v>
      </c>
      <c r="G11" s="55"/>
      <c r="H11" s="123">
        <v>6</v>
      </c>
      <c r="I11" s="124">
        <f t="shared" si="0"/>
        <v>0.9375</v>
      </c>
      <c r="J11" s="125">
        <f t="shared" si="1"/>
        <v>0.9375</v>
      </c>
    </row>
    <row r="12" spans="1:10" ht="42.75" customHeight="1">
      <c r="A12" s="52">
        <v>8</v>
      </c>
      <c r="B12" s="122" t="s">
        <v>347</v>
      </c>
      <c r="C12" s="122"/>
      <c r="D12" s="122"/>
      <c r="E12" s="123"/>
      <c r="F12" s="123" t="s">
        <v>63</v>
      </c>
      <c r="G12" s="55"/>
      <c r="H12" s="123">
        <v>2</v>
      </c>
      <c r="I12" s="124">
        <f t="shared" si="0"/>
        <v>0.3125</v>
      </c>
      <c r="J12" s="125">
        <f t="shared" si="1"/>
        <v>0.3125</v>
      </c>
    </row>
    <row r="13" spans="1:10" ht="27" customHeight="1">
      <c r="A13" s="52">
        <v>9</v>
      </c>
      <c r="B13" s="122" t="s">
        <v>348</v>
      </c>
      <c r="C13" s="122"/>
      <c r="D13" s="122"/>
      <c r="E13" s="123"/>
      <c r="F13" s="123" t="s">
        <v>63</v>
      </c>
      <c r="G13" s="55"/>
      <c r="H13" s="123">
        <v>2</v>
      </c>
      <c r="I13" s="124">
        <f t="shared" si="0"/>
        <v>0.3125</v>
      </c>
      <c r="J13" s="125">
        <f t="shared" si="1"/>
        <v>0.3125</v>
      </c>
    </row>
    <row r="14" spans="1:10" ht="28.5" customHeight="1">
      <c r="A14" s="52">
        <v>10</v>
      </c>
      <c r="B14" s="122" t="s">
        <v>349</v>
      </c>
      <c r="C14" s="122"/>
      <c r="D14" s="122"/>
      <c r="E14" s="123"/>
      <c r="F14" s="123" t="s">
        <v>63</v>
      </c>
      <c r="G14" s="55"/>
      <c r="H14" s="123">
        <v>2</v>
      </c>
      <c r="I14" s="124">
        <f t="shared" si="0"/>
        <v>0.3125</v>
      </c>
      <c r="J14" s="125">
        <f t="shared" si="1"/>
        <v>0.3125</v>
      </c>
    </row>
    <row r="15" spans="1:10">
      <c r="A15" s="112" t="s">
        <v>71</v>
      </c>
      <c r="B15" s="112"/>
      <c r="C15" s="112"/>
      <c r="D15" s="112"/>
      <c r="E15" s="112"/>
      <c r="F15" s="112"/>
      <c r="G15" s="112"/>
      <c r="H15" s="112"/>
      <c r="I15" s="37">
        <f>SUM(I5:I14)</f>
        <v>10</v>
      </c>
      <c r="J15" s="36">
        <f>SUM(J5:J14)</f>
        <v>7.5</v>
      </c>
    </row>
  </sheetData>
  <mergeCells count="18">
    <mergeCell ref="B14:D14"/>
    <mergeCell ref="A15:H15"/>
    <mergeCell ref="B8:D8"/>
    <mergeCell ref="B9:D9"/>
    <mergeCell ref="B10:D10"/>
    <mergeCell ref="B11:D11"/>
    <mergeCell ref="B12:D12"/>
    <mergeCell ref="B13:D13"/>
    <mergeCell ref="A1:B1"/>
    <mergeCell ref="A2:B2"/>
    <mergeCell ref="C1:J1"/>
    <mergeCell ref="C2:J2"/>
    <mergeCell ref="B7:D7"/>
    <mergeCell ref="A3:B3"/>
    <mergeCell ref="E3:J3"/>
    <mergeCell ref="B4:D4"/>
    <mergeCell ref="B5:D5"/>
    <mergeCell ref="B6:D6"/>
  </mergeCells>
  <pageMargins left="0.7" right="0.7" top="0.75" bottom="0.75" header="0.3" footer="0.3"/>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E3BDA-5610-44F4-8D5F-ACB39D3655A8}">
  <sheetPr>
    <tabColor rgb="FFFF5050"/>
  </sheetPr>
  <dimension ref="A1:J14"/>
  <sheetViews>
    <sheetView workbookViewId="0">
      <pane xSplit="4" ySplit="4" topLeftCell="E5" activePane="bottomRight" state="frozen"/>
      <selection pane="bottomRight" activeCell="B8" sqref="A1:J14"/>
      <selection pane="bottomLeft" activeCell="C1" sqref="C1:I2"/>
      <selection pane="topRight" activeCell="C1" sqref="C1:I2"/>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338</v>
      </c>
      <c r="D2" s="74"/>
      <c r="E2" s="74"/>
      <c r="F2" s="74"/>
      <c r="G2" s="74"/>
      <c r="H2" s="74"/>
      <c r="I2" s="74"/>
      <c r="J2" s="75"/>
    </row>
    <row r="3" spans="1:10" ht="45">
      <c r="A3" s="70" t="s">
        <v>81</v>
      </c>
      <c r="B3" s="70"/>
      <c r="C3" s="18" t="s">
        <v>93</v>
      </c>
      <c r="D3" s="55" t="s">
        <v>256</v>
      </c>
      <c r="E3" s="122" t="s">
        <v>449</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28.5" customHeight="1">
      <c r="A5" s="52">
        <v>1</v>
      </c>
      <c r="B5" s="122" t="s">
        <v>272</v>
      </c>
      <c r="C5" s="122"/>
      <c r="D5" s="122"/>
      <c r="E5" s="123" t="s">
        <v>63</v>
      </c>
      <c r="F5" s="123"/>
      <c r="G5" s="55"/>
      <c r="H5" s="123">
        <v>10</v>
      </c>
      <c r="I5" s="124">
        <f>IF(H5="","",((H5*10)/SUM($H$5:$H$13)))</f>
        <v>1.3513513513513513</v>
      </c>
      <c r="J5" s="125">
        <f>IF(F5="X",((H5*10)/SUM($H$5:$H$13)),0)</f>
        <v>0</v>
      </c>
    </row>
    <row r="6" spans="1:10" ht="57" customHeight="1">
      <c r="A6" s="52">
        <v>2</v>
      </c>
      <c r="B6" s="122" t="s">
        <v>450</v>
      </c>
      <c r="C6" s="122"/>
      <c r="D6" s="122"/>
      <c r="E6" s="123"/>
      <c r="F6" s="123" t="s">
        <v>63</v>
      </c>
      <c r="G6" s="55"/>
      <c r="H6" s="123">
        <v>6</v>
      </c>
      <c r="I6" s="124">
        <f t="shared" ref="I6:I13" si="0">IF(H6="","",((H6*10)/SUM($H$5:$H$13)))</f>
        <v>0.81081081081081086</v>
      </c>
      <c r="J6" s="125">
        <f t="shared" ref="J6:J13" si="1">IF(F6="X",((H6*10)/SUM($H$5:$H$13)),0)</f>
        <v>0.81081081081081086</v>
      </c>
    </row>
    <row r="7" spans="1:10" ht="57" customHeight="1">
      <c r="A7" s="52">
        <v>3</v>
      </c>
      <c r="B7" s="122" t="s">
        <v>451</v>
      </c>
      <c r="C7" s="122"/>
      <c r="D7" s="122"/>
      <c r="E7" s="123"/>
      <c r="F7" s="123" t="s">
        <v>63</v>
      </c>
      <c r="G7" s="55"/>
      <c r="H7" s="123">
        <v>10</v>
      </c>
      <c r="I7" s="124">
        <f t="shared" si="0"/>
        <v>1.3513513513513513</v>
      </c>
      <c r="J7" s="125">
        <f t="shared" si="1"/>
        <v>1.3513513513513513</v>
      </c>
    </row>
    <row r="8" spans="1:10" ht="42.75" customHeight="1">
      <c r="A8" s="52">
        <v>4</v>
      </c>
      <c r="B8" s="122" t="s">
        <v>452</v>
      </c>
      <c r="C8" s="122"/>
      <c r="D8" s="122"/>
      <c r="E8" s="123"/>
      <c r="F8" s="123" t="s">
        <v>63</v>
      </c>
      <c r="G8" s="55"/>
      <c r="H8" s="123">
        <v>10</v>
      </c>
      <c r="I8" s="124">
        <f t="shared" si="0"/>
        <v>1.3513513513513513</v>
      </c>
      <c r="J8" s="125">
        <f t="shared" si="1"/>
        <v>1.3513513513513513</v>
      </c>
    </row>
    <row r="9" spans="1:10" ht="57" customHeight="1">
      <c r="A9" s="52">
        <v>5</v>
      </c>
      <c r="B9" s="122" t="s">
        <v>389</v>
      </c>
      <c r="C9" s="122"/>
      <c r="D9" s="122"/>
      <c r="E9" s="123"/>
      <c r="F9" s="123" t="s">
        <v>63</v>
      </c>
      <c r="G9" s="55"/>
      <c r="H9" s="123">
        <v>10</v>
      </c>
      <c r="I9" s="124">
        <f t="shared" si="0"/>
        <v>1.3513513513513513</v>
      </c>
      <c r="J9" s="125">
        <f t="shared" si="1"/>
        <v>1.3513513513513513</v>
      </c>
    </row>
    <row r="10" spans="1:10" ht="42.75" customHeight="1">
      <c r="A10" s="52">
        <v>6</v>
      </c>
      <c r="B10" s="122" t="s">
        <v>453</v>
      </c>
      <c r="C10" s="122"/>
      <c r="D10" s="122"/>
      <c r="E10" s="123" t="s">
        <v>63</v>
      </c>
      <c r="F10" s="123"/>
      <c r="G10" s="55"/>
      <c r="H10" s="123">
        <v>10</v>
      </c>
      <c r="I10" s="124">
        <f t="shared" si="0"/>
        <v>1.3513513513513513</v>
      </c>
      <c r="J10" s="125">
        <f t="shared" si="1"/>
        <v>0</v>
      </c>
    </row>
    <row r="11" spans="1:10" ht="57" customHeight="1">
      <c r="A11" s="52">
        <v>7</v>
      </c>
      <c r="B11" s="122" t="s">
        <v>454</v>
      </c>
      <c r="C11" s="122"/>
      <c r="D11" s="122"/>
      <c r="E11" s="123"/>
      <c r="F11" s="123" t="s">
        <v>63</v>
      </c>
      <c r="G11" s="55"/>
      <c r="H11" s="123">
        <v>6</v>
      </c>
      <c r="I11" s="124">
        <f t="shared" si="0"/>
        <v>0.81081081081081086</v>
      </c>
      <c r="J11" s="125">
        <f t="shared" si="1"/>
        <v>0.81081081081081086</v>
      </c>
    </row>
    <row r="12" spans="1:10" ht="57" customHeight="1">
      <c r="A12" s="52">
        <v>8</v>
      </c>
      <c r="B12" s="122" t="s">
        <v>394</v>
      </c>
      <c r="C12" s="122"/>
      <c r="D12" s="122"/>
      <c r="E12" s="123" t="s">
        <v>63</v>
      </c>
      <c r="F12" s="123"/>
      <c r="G12" s="55"/>
      <c r="H12" s="123">
        <v>6</v>
      </c>
      <c r="I12" s="124">
        <f t="shared" si="0"/>
        <v>0.81081081081081086</v>
      </c>
      <c r="J12" s="125">
        <f t="shared" si="1"/>
        <v>0</v>
      </c>
    </row>
    <row r="13" spans="1:10" ht="57" customHeight="1">
      <c r="A13" s="52">
        <v>9</v>
      </c>
      <c r="B13" s="122" t="s">
        <v>455</v>
      </c>
      <c r="C13" s="122"/>
      <c r="D13" s="122"/>
      <c r="E13" s="123"/>
      <c r="F13" s="123" t="s">
        <v>63</v>
      </c>
      <c r="G13" s="55"/>
      <c r="H13" s="123">
        <v>6</v>
      </c>
      <c r="I13" s="124">
        <f t="shared" si="0"/>
        <v>0.81081081081081086</v>
      </c>
      <c r="J13" s="125">
        <f t="shared" si="1"/>
        <v>0.81081081081081086</v>
      </c>
    </row>
    <row r="14" spans="1:10">
      <c r="A14" s="112" t="s">
        <v>71</v>
      </c>
      <c r="B14" s="112"/>
      <c r="C14" s="112"/>
      <c r="D14" s="112"/>
      <c r="E14" s="112"/>
      <c r="F14" s="112"/>
      <c r="G14" s="112"/>
      <c r="H14" s="112"/>
      <c r="I14" s="37">
        <f>SUM(I5:I13)</f>
        <v>9.9999999999999982</v>
      </c>
      <c r="J14" s="36">
        <f>SUM(J5:J13)</f>
        <v>6.486486486486486</v>
      </c>
    </row>
  </sheetData>
  <mergeCells count="17">
    <mergeCell ref="A14:H14"/>
    <mergeCell ref="B8:D8"/>
    <mergeCell ref="B9:D9"/>
    <mergeCell ref="B10:D10"/>
    <mergeCell ref="B11:D11"/>
    <mergeCell ref="B12:D12"/>
    <mergeCell ref="B13:D13"/>
    <mergeCell ref="A1:B1"/>
    <mergeCell ref="A2:B2"/>
    <mergeCell ref="C1:J1"/>
    <mergeCell ref="C2:J2"/>
    <mergeCell ref="B7:D7"/>
    <mergeCell ref="A3:B3"/>
    <mergeCell ref="E3:J3"/>
    <mergeCell ref="B4:D4"/>
    <mergeCell ref="B5:D5"/>
    <mergeCell ref="B6:D6"/>
  </mergeCells>
  <pageMargins left="0.7" right="0.7" top="0.75" bottom="0.75" header="0.3" footer="0.3"/>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95651-D0B5-4D12-8AE0-5E0F8AE17BFC}">
  <sheetPr>
    <tabColor rgb="FFFF5050"/>
  </sheetPr>
  <dimension ref="A1:J16"/>
  <sheetViews>
    <sheetView workbookViewId="0">
      <pane xSplit="4" ySplit="4" topLeftCell="E5" activePane="bottomRight" state="frozen"/>
      <selection pane="bottomRight" activeCell="B9" sqref="A1:J16"/>
      <selection pane="bottomLeft" activeCell="C1" sqref="C1:I2"/>
      <selection pane="topRight" activeCell="C1" sqref="C1:I2"/>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338</v>
      </c>
      <c r="D2" s="74"/>
      <c r="E2" s="74"/>
      <c r="F2" s="74"/>
      <c r="G2" s="74"/>
      <c r="H2" s="74"/>
      <c r="I2" s="74"/>
      <c r="J2" s="75"/>
    </row>
    <row r="3" spans="1:10" ht="45">
      <c r="A3" s="70" t="s">
        <v>81</v>
      </c>
      <c r="B3" s="70"/>
      <c r="C3" s="18" t="s">
        <v>93</v>
      </c>
      <c r="D3" s="55" t="s">
        <v>107</v>
      </c>
      <c r="E3" s="122" t="s">
        <v>350</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42.75" customHeight="1">
      <c r="A5" s="52">
        <v>1</v>
      </c>
      <c r="B5" s="122" t="s">
        <v>351</v>
      </c>
      <c r="C5" s="122"/>
      <c r="D5" s="122"/>
      <c r="E5" s="123" t="s">
        <v>63</v>
      </c>
      <c r="F5" s="123"/>
      <c r="G5" s="55"/>
      <c r="H5" s="123">
        <v>6</v>
      </c>
      <c r="I5" s="124">
        <f>IF(H5="","",((H5*10)/SUM($H$5:$H$15)))</f>
        <v>0.8571428571428571</v>
      </c>
      <c r="J5" s="125">
        <f>IF(F5="X",((H5*10)/SUM($H$5:$H$15)),0)</f>
        <v>0</v>
      </c>
    </row>
    <row r="6" spans="1:10" ht="28.5" customHeight="1">
      <c r="A6" s="52">
        <v>2</v>
      </c>
      <c r="B6" s="122" t="s">
        <v>272</v>
      </c>
      <c r="C6" s="122"/>
      <c r="D6" s="122"/>
      <c r="E6" s="123" t="s">
        <v>63</v>
      </c>
      <c r="F6" s="123"/>
      <c r="G6" s="55"/>
      <c r="H6" s="123">
        <v>10</v>
      </c>
      <c r="I6" s="124">
        <f t="shared" ref="I6:I15" si="0">IF(H6="","",((H6*10)/SUM($H$5:$H$15)))</f>
        <v>1.4285714285714286</v>
      </c>
      <c r="J6" s="125">
        <f t="shared" ref="J6:J15" si="1">IF(F6="X",((H6*10)/SUM($H$5:$H$15)),0)</f>
        <v>0</v>
      </c>
    </row>
    <row r="7" spans="1:10" ht="42.75" customHeight="1">
      <c r="A7" s="52">
        <v>3</v>
      </c>
      <c r="B7" s="122" t="s">
        <v>352</v>
      </c>
      <c r="C7" s="122"/>
      <c r="D7" s="122"/>
      <c r="E7" s="123"/>
      <c r="F7" s="123" t="s">
        <v>63</v>
      </c>
      <c r="G7" s="55"/>
      <c r="H7" s="123">
        <v>10</v>
      </c>
      <c r="I7" s="124">
        <f t="shared" si="0"/>
        <v>1.4285714285714286</v>
      </c>
      <c r="J7" s="125">
        <f t="shared" si="1"/>
        <v>1.4285714285714286</v>
      </c>
    </row>
    <row r="8" spans="1:10" ht="28.5" customHeight="1">
      <c r="A8" s="52">
        <v>4</v>
      </c>
      <c r="B8" s="122" t="s">
        <v>353</v>
      </c>
      <c r="C8" s="122"/>
      <c r="D8" s="122"/>
      <c r="E8" s="123"/>
      <c r="F8" s="123" t="s">
        <v>63</v>
      </c>
      <c r="G8" s="55"/>
      <c r="H8" s="123">
        <v>10</v>
      </c>
      <c r="I8" s="124">
        <f t="shared" si="0"/>
        <v>1.4285714285714286</v>
      </c>
      <c r="J8" s="125">
        <f t="shared" si="1"/>
        <v>1.4285714285714286</v>
      </c>
    </row>
    <row r="9" spans="1:10" ht="42.75" customHeight="1">
      <c r="A9" s="52">
        <v>5</v>
      </c>
      <c r="B9" s="122" t="s">
        <v>354</v>
      </c>
      <c r="C9" s="122"/>
      <c r="D9" s="122"/>
      <c r="E9" s="123"/>
      <c r="F9" s="123" t="s">
        <v>63</v>
      </c>
      <c r="G9" s="55"/>
      <c r="H9" s="123">
        <v>6</v>
      </c>
      <c r="I9" s="124">
        <f t="shared" si="0"/>
        <v>0.8571428571428571</v>
      </c>
      <c r="J9" s="125">
        <f t="shared" si="1"/>
        <v>0.8571428571428571</v>
      </c>
    </row>
    <row r="10" spans="1:10" ht="28.5" customHeight="1">
      <c r="A10" s="52">
        <v>6</v>
      </c>
      <c r="B10" s="122" t="s">
        <v>355</v>
      </c>
      <c r="C10" s="122"/>
      <c r="D10" s="122"/>
      <c r="E10" s="123"/>
      <c r="F10" s="123" t="s">
        <v>63</v>
      </c>
      <c r="G10" s="55"/>
      <c r="H10" s="123">
        <v>6</v>
      </c>
      <c r="I10" s="124">
        <f t="shared" si="0"/>
        <v>0.8571428571428571</v>
      </c>
      <c r="J10" s="125">
        <f t="shared" si="1"/>
        <v>0.8571428571428571</v>
      </c>
    </row>
    <row r="11" spans="1:10" ht="42.75" customHeight="1">
      <c r="A11" s="52">
        <v>7</v>
      </c>
      <c r="B11" s="122" t="s">
        <v>356</v>
      </c>
      <c r="C11" s="122"/>
      <c r="D11" s="122"/>
      <c r="E11" s="123"/>
      <c r="F11" s="123" t="s">
        <v>63</v>
      </c>
      <c r="G11" s="55"/>
      <c r="H11" s="123">
        <v>6</v>
      </c>
      <c r="I11" s="124">
        <f t="shared" si="0"/>
        <v>0.8571428571428571</v>
      </c>
      <c r="J11" s="125">
        <f t="shared" si="1"/>
        <v>0.8571428571428571</v>
      </c>
    </row>
    <row r="12" spans="1:10" ht="42.75" customHeight="1">
      <c r="A12" s="52">
        <v>8</v>
      </c>
      <c r="B12" s="122" t="s">
        <v>357</v>
      </c>
      <c r="C12" s="122"/>
      <c r="D12" s="122"/>
      <c r="E12" s="123"/>
      <c r="F12" s="123" t="s">
        <v>63</v>
      </c>
      <c r="G12" s="55"/>
      <c r="H12" s="123">
        <v>2</v>
      </c>
      <c r="I12" s="124">
        <f t="shared" si="0"/>
        <v>0.2857142857142857</v>
      </c>
      <c r="J12" s="125">
        <f t="shared" si="1"/>
        <v>0.2857142857142857</v>
      </c>
    </row>
    <row r="13" spans="1:10" ht="42.75" customHeight="1">
      <c r="A13" s="52">
        <v>9</v>
      </c>
      <c r="B13" s="122" t="s">
        <v>358</v>
      </c>
      <c r="C13" s="122"/>
      <c r="D13" s="122"/>
      <c r="E13" s="123" t="s">
        <v>63</v>
      </c>
      <c r="F13" s="123"/>
      <c r="G13" s="55"/>
      <c r="H13" s="123">
        <v>6</v>
      </c>
      <c r="I13" s="124">
        <f t="shared" si="0"/>
        <v>0.8571428571428571</v>
      </c>
      <c r="J13" s="125">
        <f t="shared" si="1"/>
        <v>0</v>
      </c>
    </row>
    <row r="14" spans="1:10" ht="42.75" customHeight="1">
      <c r="A14" s="52">
        <v>10</v>
      </c>
      <c r="B14" s="122" t="s">
        <v>359</v>
      </c>
      <c r="C14" s="122"/>
      <c r="D14" s="122"/>
      <c r="E14" s="123"/>
      <c r="F14" s="123" t="s">
        <v>63</v>
      </c>
      <c r="G14" s="55"/>
      <c r="H14" s="123">
        <v>6</v>
      </c>
      <c r="I14" s="124">
        <f t="shared" si="0"/>
        <v>0.8571428571428571</v>
      </c>
      <c r="J14" s="125">
        <f t="shared" si="1"/>
        <v>0.8571428571428571</v>
      </c>
    </row>
    <row r="15" spans="1:10" ht="57" customHeight="1">
      <c r="A15" s="52">
        <v>11</v>
      </c>
      <c r="B15" s="122" t="s">
        <v>360</v>
      </c>
      <c r="C15" s="122"/>
      <c r="D15" s="122"/>
      <c r="E15" s="123"/>
      <c r="F15" s="123" t="s">
        <v>63</v>
      </c>
      <c r="G15" s="55"/>
      <c r="H15" s="123">
        <v>2</v>
      </c>
      <c r="I15" s="124">
        <f t="shared" si="0"/>
        <v>0.2857142857142857</v>
      </c>
      <c r="J15" s="125">
        <f t="shared" si="1"/>
        <v>0.2857142857142857</v>
      </c>
    </row>
    <row r="16" spans="1:10">
      <c r="A16" s="112" t="s">
        <v>71</v>
      </c>
      <c r="B16" s="112"/>
      <c r="C16" s="112"/>
      <c r="D16" s="112"/>
      <c r="E16" s="112"/>
      <c r="F16" s="112"/>
      <c r="G16" s="112"/>
      <c r="H16" s="112"/>
      <c r="I16" s="37">
        <f>SUM(I5:I15)</f>
        <v>10</v>
      </c>
      <c r="J16" s="36">
        <f>SUM(J5:J15)</f>
        <v>6.8571428571428559</v>
      </c>
    </row>
  </sheetData>
  <mergeCells count="19">
    <mergeCell ref="B14:D14"/>
    <mergeCell ref="B15:D15"/>
    <mergeCell ref="A16:H16"/>
    <mergeCell ref="B8:D8"/>
    <mergeCell ref="B9:D9"/>
    <mergeCell ref="B10:D10"/>
    <mergeCell ref="B11:D11"/>
    <mergeCell ref="B12:D12"/>
    <mergeCell ref="B13:D13"/>
    <mergeCell ref="A1:B1"/>
    <mergeCell ref="A2:B2"/>
    <mergeCell ref="C1:J1"/>
    <mergeCell ref="C2:J2"/>
    <mergeCell ref="B7:D7"/>
    <mergeCell ref="A3:B3"/>
    <mergeCell ref="E3:J3"/>
    <mergeCell ref="B4:D4"/>
    <mergeCell ref="B5:D5"/>
    <mergeCell ref="B6:D6"/>
  </mergeCells>
  <pageMargins left="0.7" right="0.7" top="0.75" bottom="0.75" header="0.3" footer="0.3"/>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1E3A6-790F-43BC-848B-212B3976A557}">
  <sheetPr>
    <tabColor rgb="FFFF5050"/>
  </sheetPr>
  <dimension ref="A1:J19"/>
  <sheetViews>
    <sheetView workbookViewId="0">
      <pane xSplit="4" ySplit="4" topLeftCell="E5" activePane="bottomRight" state="frozen"/>
      <selection pane="bottomRight" activeCell="B10" sqref="A1:J19"/>
      <selection pane="bottomLeft" activeCell="C1" sqref="C1:I2"/>
      <selection pane="topRight" activeCell="C1" sqref="C1:I2"/>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338</v>
      </c>
      <c r="D2" s="74"/>
      <c r="E2" s="74"/>
      <c r="F2" s="74"/>
      <c r="G2" s="74"/>
      <c r="H2" s="74"/>
      <c r="I2" s="74"/>
      <c r="J2" s="75"/>
    </row>
    <row r="3" spans="1:10" ht="45">
      <c r="A3" s="70" t="s">
        <v>81</v>
      </c>
      <c r="B3" s="70"/>
      <c r="C3" s="18" t="s">
        <v>93</v>
      </c>
      <c r="D3" s="55" t="s">
        <v>121</v>
      </c>
      <c r="E3" s="122" t="s">
        <v>361</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28.5" customHeight="1">
      <c r="A5" s="52">
        <v>1</v>
      </c>
      <c r="B5" s="122" t="s">
        <v>272</v>
      </c>
      <c r="C5" s="122"/>
      <c r="D5" s="122"/>
      <c r="E5" s="123"/>
      <c r="F5" s="123" t="s">
        <v>63</v>
      </c>
      <c r="G5" s="55"/>
      <c r="H5" s="123">
        <v>10</v>
      </c>
      <c r="I5" s="124">
        <f>IF(H5="","",((H5*10)/SUM($H$5:$H$18)))</f>
        <v>1.0416666666666667</v>
      </c>
      <c r="J5" s="125">
        <f>IF(F5="X",((H5*10)/SUM($H$5:$H$18)),0)</f>
        <v>1.0416666666666667</v>
      </c>
    </row>
    <row r="6" spans="1:10" ht="28.5" customHeight="1">
      <c r="A6" s="52">
        <v>2</v>
      </c>
      <c r="B6" s="122" t="s">
        <v>362</v>
      </c>
      <c r="C6" s="122"/>
      <c r="D6" s="122"/>
      <c r="E6" s="123" t="s">
        <v>63</v>
      </c>
      <c r="F6" s="123"/>
      <c r="G6" s="55"/>
      <c r="H6" s="123">
        <v>6</v>
      </c>
      <c r="I6" s="124">
        <f t="shared" ref="I6:I18" si="0">IF(H6="","",((H6*10)/SUM($H$5:$H$18)))</f>
        <v>0.625</v>
      </c>
      <c r="J6" s="125">
        <f t="shared" ref="J6:J18" si="1">IF(F6="X",((H6*10)/SUM($H$5:$H$18)),0)</f>
        <v>0</v>
      </c>
    </row>
    <row r="7" spans="1:10" ht="28.5" customHeight="1">
      <c r="A7" s="57">
        <v>3</v>
      </c>
      <c r="B7" s="122" t="s">
        <v>363</v>
      </c>
      <c r="C7" s="122"/>
      <c r="D7" s="122"/>
      <c r="E7" s="27"/>
      <c r="F7" s="27" t="s">
        <v>63</v>
      </c>
      <c r="G7" s="33"/>
      <c r="H7" s="27">
        <v>6</v>
      </c>
      <c r="I7" s="124">
        <f t="shared" si="0"/>
        <v>0.625</v>
      </c>
      <c r="J7" s="125">
        <f t="shared" si="1"/>
        <v>0.625</v>
      </c>
    </row>
    <row r="8" spans="1:10" ht="42.75" customHeight="1">
      <c r="A8" s="52">
        <v>4</v>
      </c>
      <c r="B8" s="122" t="s">
        <v>364</v>
      </c>
      <c r="C8" s="122"/>
      <c r="D8" s="122"/>
      <c r="E8" s="123"/>
      <c r="F8" s="123" t="s">
        <v>63</v>
      </c>
      <c r="G8" s="55"/>
      <c r="H8" s="123">
        <v>10</v>
      </c>
      <c r="I8" s="124">
        <f t="shared" si="0"/>
        <v>1.0416666666666667</v>
      </c>
      <c r="J8" s="125">
        <f t="shared" si="1"/>
        <v>1.0416666666666667</v>
      </c>
    </row>
    <row r="9" spans="1:10" ht="28.5" customHeight="1">
      <c r="A9" s="52">
        <v>5</v>
      </c>
      <c r="B9" s="122" t="s">
        <v>365</v>
      </c>
      <c r="C9" s="122"/>
      <c r="D9" s="122"/>
      <c r="E9" s="123"/>
      <c r="F9" s="123" t="s">
        <v>63</v>
      </c>
      <c r="G9" s="55"/>
      <c r="H9" s="123">
        <v>10</v>
      </c>
      <c r="I9" s="124">
        <f t="shared" si="0"/>
        <v>1.0416666666666667</v>
      </c>
      <c r="J9" s="125">
        <f t="shared" si="1"/>
        <v>1.0416666666666667</v>
      </c>
    </row>
    <row r="10" spans="1:10" ht="42.75" customHeight="1">
      <c r="A10" s="52">
        <v>6</v>
      </c>
      <c r="B10" s="122" t="s">
        <v>366</v>
      </c>
      <c r="C10" s="122"/>
      <c r="D10" s="122"/>
      <c r="E10" s="123" t="s">
        <v>63</v>
      </c>
      <c r="F10" s="123"/>
      <c r="G10" s="55"/>
      <c r="H10" s="123">
        <v>6</v>
      </c>
      <c r="I10" s="124">
        <f t="shared" si="0"/>
        <v>0.625</v>
      </c>
      <c r="J10" s="125">
        <f t="shared" si="1"/>
        <v>0</v>
      </c>
    </row>
    <row r="11" spans="1:10" ht="28.5" customHeight="1">
      <c r="A11" s="52">
        <v>7</v>
      </c>
      <c r="B11" s="122" t="s">
        <v>367</v>
      </c>
      <c r="C11" s="122"/>
      <c r="D11" s="122"/>
      <c r="E11" s="123"/>
      <c r="F11" s="123" t="s">
        <v>63</v>
      </c>
      <c r="G11" s="55"/>
      <c r="H11" s="123">
        <v>10</v>
      </c>
      <c r="I11" s="124">
        <f t="shared" si="0"/>
        <v>1.0416666666666667</v>
      </c>
      <c r="J11" s="125">
        <f t="shared" si="1"/>
        <v>1.0416666666666667</v>
      </c>
    </row>
    <row r="12" spans="1:10" ht="28.5" customHeight="1">
      <c r="A12" s="52">
        <v>8</v>
      </c>
      <c r="B12" s="122" t="s">
        <v>368</v>
      </c>
      <c r="C12" s="122"/>
      <c r="D12" s="122"/>
      <c r="E12" s="123"/>
      <c r="F12" s="123" t="s">
        <v>63</v>
      </c>
      <c r="G12" s="55"/>
      <c r="H12" s="123">
        <v>6</v>
      </c>
      <c r="I12" s="124">
        <f t="shared" si="0"/>
        <v>0.625</v>
      </c>
      <c r="J12" s="125">
        <f t="shared" si="1"/>
        <v>0.625</v>
      </c>
    </row>
    <row r="13" spans="1:10" ht="28.5" customHeight="1">
      <c r="A13" s="52">
        <v>9</v>
      </c>
      <c r="B13" s="122" t="s">
        <v>369</v>
      </c>
      <c r="C13" s="122"/>
      <c r="D13" s="122"/>
      <c r="E13" s="123" t="s">
        <v>63</v>
      </c>
      <c r="F13" s="123"/>
      <c r="G13" s="55"/>
      <c r="H13" s="123">
        <v>6</v>
      </c>
      <c r="I13" s="124">
        <f t="shared" si="0"/>
        <v>0.625</v>
      </c>
      <c r="J13" s="125">
        <f t="shared" si="1"/>
        <v>0</v>
      </c>
    </row>
    <row r="14" spans="1:10" ht="42.75" customHeight="1">
      <c r="A14" s="52">
        <v>10</v>
      </c>
      <c r="B14" s="122" t="s">
        <v>191</v>
      </c>
      <c r="C14" s="122"/>
      <c r="D14" s="122"/>
      <c r="E14" s="123" t="s">
        <v>63</v>
      </c>
      <c r="F14" s="123"/>
      <c r="G14" s="55"/>
      <c r="H14" s="123">
        <v>6</v>
      </c>
      <c r="I14" s="124">
        <f t="shared" si="0"/>
        <v>0.625</v>
      </c>
      <c r="J14" s="125">
        <f t="shared" si="1"/>
        <v>0</v>
      </c>
    </row>
    <row r="15" spans="1:10" ht="57" customHeight="1">
      <c r="A15" s="52">
        <v>11</v>
      </c>
      <c r="B15" s="122" t="s">
        <v>370</v>
      </c>
      <c r="C15" s="122"/>
      <c r="D15" s="122"/>
      <c r="E15" s="123"/>
      <c r="F15" s="123" t="s">
        <v>63</v>
      </c>
      <c r="G15" s="55"/>
      <c r="H15" s="123">
        <v>6</v>
      </c>
      <c r="I15" s="124">
        <f t="shared" si="0"/>
        <v>0.625</v>
      </c>
      <c r="J15" s="125">
        <f t="shared" si="1"/>
        <v>0.625</v>
      </c>
    </row>
    <row r="16" spans="1:10" ht="57" customHeight="1">
      <c r="A16" s="52">
        <v>12</v>
      </c>
      <c r="B16" s="122" t="s">
        <v>371</v>
      </c>
      <c r="C16" s="122"/>
      <c r="D16" s="122"/>
      <c r="E16" s="123" t="s">
        <v>63</v>
      </c>
      <c r="F16" s="123"/>
      <c r="G16" s="55"/>
      <c r="H16" s="123">
        <v>6</v>
      </c>
      <c r="I16" s="124">
        <f t="shared" si="0"/>
        <v>0.625</v>
      </c>
      <c r="J16" s="125">
        <f t="shared" si="1"/>
        <v>0</v>
      </c>
    </row>
    <row r="17" spans="1:10" ht="28.5" customHeight="1">
      <c r="A17" s="52">
        <v>13</v>
      </c>
      <c r="B17" s="122" t="s">
        <v>372</v>
      </c>
      <c r="C17" s="122"/>
      <c r="D17" s="122"/>
      <c r="E17" s="123"/>
      <c r="F17" s="123" t="s">
        <v>63</v>
      </c>
      <c r="G17" s="55"/>
      <c r="H17" s="123">
        <v>2</v>
      </c>
      <c r="I17" s="124">
        <f t="shared" si="0"/>
        <v>0.20833333333333334</v>
      </c>
      <c r="J17" s="125">
        <f t="shared" si="1"/>
        <v>0.20833333333333334</v>
      </c>
    </row>
    <row r="18" spans="1:10" ht="28.5" customHeight="1">
      <c r="A18" s="52">
        <v>14</v>
      </c>
      <c r="B18" s="122" t="s">
        <v>373</v>
      </c>
      <c r="C18" s="122"/>
      <c r="D18" s="122"/>
      <c r="E18" s="123"/>
      <c r="F18" s="123" t="s">
        <v>63</v>
      </c>
      <c r="G18" s="55"/>
      <c r="H18" s="123">
        <v>6</v>
      </c>
      <c r="I18" s="124">
        <f t="shared" si="0"/>
        <v>0.625</v>
      </c>
      <c r="J18" s="125">
        <f t="shared" si="1"/>
        <v>0.625</v>
      </c>
    </row>
    <row r="19" spans="1:10">
      <c r="A19" s="112" t="s">
        <v>71</v>
      </c>
      <c r="B19" s="112"/>
      <c r="C19" s="112"/>
      <c r="D19" s="112"/>
      <c r="E19" s="112"/>
      <c r="F19" s="112"/>
      <c r="G19" s="112"/>
      <c r="H19" s="112"/>
      <c r="I19" s="37">
        <f>SUM(I5:I18)</f>
        <v>10.000000000000002</v>
      </c>
      <c r="J19" s="36">
        <f>SUM(J5:J18)</f>
        <v>6.875</v>
      </c>
    </row>
  </sheetData>
  <mergeCells count="22">
    <mergeCell ref="A19:H19"/>
    <mergeCell ref="B8:D8"/>
    <mergeCell ref="B9:D9"/>
    <mergeCell ref="B10:D10"/>
    <mergeCell ref="B11:D11"/>
    <mergeCell ref="B12:D12"/>
    <mergeCell ref="B13:D13"/>
    <mergeCell ref="B14:D14"/>
    <mergeCell ref="B15:D15"/>
    <mergeCell ref="B16:D16"/>
    <mergeCell ref="B17:D17"/>
    <mergeCell ref="B18:D18"/>
    <mergeCell ref="A1:B1"/>
    <mergeCell ref="A2:B2"/>
    <mergeCell ref="C1:J1"/>
    <mergeCell ref="C2:J2"/>
    <mergeCell ref="B7:D7"/>
    <mergeCell ref="A3:B3"/>
    <mergeCell ref="E3:J3"/>
    <mergeCell ref="B4:D4"/>
    <mergeCell ref="B5:D5"/>
    <mergeCell ref="B6:D6"/>
  </mergeCells>
  <pageMargins left="0.7" right="0.7" top="0.75" bottom="0.75" header="0.3" footer="0.3"/>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96A41-4E14-4BC6-A69A-AD9A5073DA1D}">
  <sheetPr>
    <tabColor rgb="FFFF5050"/>
  </sheetPr>
  <dimension ref="A1:J14"/>
  <sheetViews>
    <sheetView workbookViewId="0">
      <pane xSplit="4" ySplit="4" topLeftCell="E6" activePane="bottomRight" state="frozen"/>
      <selection pane="bottomRight" activeCell="B9" sqref="A1:J14"/>
      <selection pane="bottomLeft" activeCell="C1" sqref="C1:I2"/>
      <selection pane="topRight" activeCell="C1" sqref="C1:I2"/>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338</v>
      </c>
      <c r="D2" s="74"/>
      <c r="E2" s="74"/>
      <c r="F2" s="74"/>
      <c r="G2" s="74"/>
      <c r="H2" s="74"/>
      <c r="I2" s="74"/>
      <c r="J2" s="75"/>
    </row>
    <row r="3" spans="1:10" ht="45">
      <c r="A3" s="70" t="s">
        <v>81</v>
      </c>
      <c r="B3" s="70"/>
      <c r="C3" s="18" t="s">
        <v>93</v>
      </c>
      <c r="D3" s="55" t="s">
        <v>136</v>
      </c>
      <c r="E3" s="122" t="s">
        <v>374</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28.5" customHeight="1">
      <c r="A5" s="52">
        <v>1</v>
      </c>
      <c r="B5" s="122" t="s">
        <v>272</v>
      </c>
      <c r="C5" s="122"/>
      <c r="D5" s="122"/>
      <c r="E5" s="123"/>
      <c r="F5" s="123" t="s">
        <v>63</v>
      </c>
      <c r="G5" s="55"/>
      <c r="H5" s="123">
        <v>10</v>
      </c>
      <c r="I5" s="124">
        <f>IF(H5="","",((H5*10)/SUM($H$5:$H$13)))</f>
        <v>1.6129032258064515</v>
      </c>
      <c r="J5" s="125">
        <f>IF(F5="X",((H5*10)/SUM($H$5:$H$13)),0)</f>
        <v>1.6129032258064515</v>
      </c>
    </row>
    <row r="6" spans="1:10" ht="42.75" customHeight="1">
      <c r="A6" s="52">
        <v>2</v>
      </c>
      <c r="B6" s="122" t="s">
        <v>375</v>
      </c>
      <c r="C6" s="122"/>
      <c r="D6" s="122"/>
      <c r="E6" s="123"/>
      <c r="F6" s="123" t="s">
        <v>63</v>
      </c>
      <c r="G6" s="55"/>
      <c r="H6" s="123">
        <v>6</v>
      </c>
      <c r="I6" s="124">
        <f t="shared" ref="I6:I13" si="0">IF(H6="","",((H6*10)/SUM($H$5:$H$13)))</f>
        <v>0.967741935483871</v>
      </c>
      <c r="J6" s="125">
        <f t="shared" ref="J6:J13" si="1">IF(F6="X",((H6*10)/SUM($H$5:$H$13)),0)</f>
        <v>0.967741935483871</v>
      </c>
    </row>
    <row r="7" spans="1:10" ht="57" customHeight="1">
      <c r="A7" s="52">
        <v>3</v>
      </c>
      <c r="B7" s="122" t="s">
        <v>376</v>
      </c>
      <c r="C7" s="122"/>
      <c r="D7" s="122"/>
      <c r="E7" s="123"/>
      <c r="F7" s="123" t="s">
        <v>63</v>
      </c>
      <c r="G7" s="55"/>
      <c r="H7" s="123">
        <v>6</v>
      </c>
      <c r="I7" s="124">
        <f t="shared" si="0"/>
        <v>0.967741935483871</v>
      </c>
      <c r="J7" s="125">
        <f t="shared" si="1"/>
        <v>0.967741935483871</v>
      </c>
    </row>
    <row r="8" spans="1:10" ht="57" customHeight="1">
      <c r="A8" s="52">
        <v>4</v>
      </c>
      <c r="B8" s="122" t="s">
        <v>377</v>
      </c>
      <c r="C8" s="122"/>
      <c r="D8" s="122"/>
      <c r="E8" s="123"/>
      <c r="F8" s="123" t="s">
        <v>63</v>
      </c>
      <c r="G8" s="55"/>
      <c r="H8" s="123">
        <v>10</v>
      </c>
      <c r="I8" s="124">
        <f t="shared" si="0"/>
        <v>1.6129032258064515</v>
      </c>
      <c r="J8" s="125">
        <f t="shared" si="1"/>
        <v>1.6129032258064515</v>
      </c>
    </row>
    <row r="9" spans="1:10" ht="42.75" customHeight="1">
      <c r="A9" s="52">
        <v>5</v>
      </c>
      <c r="B9" s="122" t="s">
        <v>378</v>
      </c>
      <c r="C9" s="122"/>
      <c r="D9" s="122"/>
      <c r="E9" s="123"/>
      <c r="F9" s="123" t="s">
        <v>63</v>
      </c>
      <c r="G9" s="55"/>
      <c r="H9" s="123">
        <v>10</v>
      </c>
      <c r="I9" s="124">
        <f t="shared" si="0"/>
        <v>1.6129032258064515</v>
      </c>
      <c r="J9" s="125">
        <f t="shared" si="1"/>
        <v>1.6129032258064515</v>
      </c>
    </row>
    <row r="10" spans="1:10" ht="28.5" customHeight="1">
      <c r="A10" s="52">
        <v>6</v>
      </c>
      <c r="B10" s="122" t="s">
        <v>379</v>
      </c>
      <c r="C10" s="122"/>
      <c r="D10" s="122"/>
      <c r="E10" s="123" t="s">
        <v>63</v>
      </c>
      <c r="F10" s="123"/>
      <c r="G10" s="55"/>
      <c r="H10" s="123">
        <v>10</v>
      </c>
      <c r="I10" s="124">
        <f t="shared" si="0"/>
        <v>1.6129032258064515</v>
      </c>
      <c r="J10" s="125">
        <f t="shared" si="1"/>
        <v>0</v>
      </c>
    </row>
    <row r="11" spans="1:10" ht="28.5" customHeight="1">
      <c r="A11" s="52">
        <v>7</v>
      </c>
      <c r="B11" s="122" t="s">
        <v>380</v>
      </c>
      <c r="C11" s="122"/>
      <c r="D11" s="122"/>
      <c r="E11" s="123"/>
      <c r="F11" s="123" t="s">
        <v>63</v>
      </c>
      <c r="G11" s="55"/>
      <c r="H11" s="123">
        <v>6</v>
      </c>
      <c r="I11" s="124">
        <f t="shared" si="0"/>
        <v>0.967741935483871</v>
      </c>
      <c r="J11" s="125">
        <f t="shared" si="1"/>
        <v>0.967741935483871</v>
      </c>
    </row>
    <row r="12" spans="1:10" ht="28.5" customHeight="1">
      <c r="A12" s="52">
        <v>8</v>
      </c>
      <c r="B12" s="122" t="s">
        <v>381</v>
      </c>
      <c r="C12" s="122"/>
      <c r="D12" s="122"/>
      <c r="E12" s="123" t="s">
        <v>63</v>
      </c>
      <c r="F12" s="123"/>
      <c r="G12" s="55"/>
      <c r="H12" s="123">
        <v>2</v>
      </c>
      <c r="I12" s="124">
        <f t="shared" si="0"/>
        <v>0.32258064516129031</v>
      </c>
      <c r="J12" s="125">
        <f t="shared" si="1"/>
        <v>0</v>
      </c>
    </row>
    <row r="13" spans="1:10" ht="28.5" customHeight="1">
      <c r="A13" s="52">
        <v>9</v>
      </c>
      <c r="B13" s="122" t="s">
        <v>382</v>
      </c>
      <c r="C13" s="122"/>
      <c r="D13" s="122"/>
      <c r="E13" s="123" t="s">
        <v>63</v>
      </c>
      <c r="F13" s="123"/>
      <c r="G13" s="55"/>
      <c r="H13" s="123">
        <v>2</v>
      </c>
      <c r="I13" s="124">
        <f t="shared" si="0"/>
        <v>0.32258064516129031</v>
      </c>
      <c r="J13" s="125">
        <f t="shared" si="1"/>
        <v>0</v>
      </c>
    </row>
    <row r="14" spans="1:10">
      <c r="A14" s="112" t="s">
        <v>71</v>
      </c>
      <c r="B14" s="112"/>
      <c r="C14" s="112"/>
      <c r="D14" s="112"/>
      <c r="E14" s="112"/>
      <c r="F14" s="112"/>
      <c r="G14" s="112"/>
      <c r="H14" s="112"/>
      <c r="I14" s="37">
        <f>SUM(I5:I13)</f>
        <v>10</v>
      </c>
      <c r="J14" s="36">
        <f>SUM(J5:J13)</f>
        <v>7.7419354838709671</v>
      </c>
    </row>
  </sheetData>
  <mergeCells count="17">
    <mergeCell ref="A14:H14"/>
    <mergeCell ref="B8:D8"/>
    <mergeCell ref="B9:D9"/>
    <mergeCell ref="B10:D10"/>
    <mergeCell ref="B11:D11"/>
    <mergeCell ref="B12:D12"/>
    <mergeCell ref="B13:D13"/>
    <mergeCell ref="A1:B1"/>
    <mergeCell ref="A2:B2"/>
    <mergeCell ref="C1:J1"/>
    <mergeCell ref="C2:J2"/>
    <mergeCell ref="B7:D7"/>
    <mergeCell ref="A3:B3"/>
    <mergeCell ref="E3:J3"/>
    <mergeCell ref="B4:D4"/>
    <mergeCell ref="B5:D5"/>
    <mergeCell ref="B6:D6"/>
  </mergeCells>
  <pageMargins left="0.7" right="0.7" top="0.75" bottom="0.75" header="0.3" footer="0.3"/>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AE810-7E8E-4A72-A148-60C3172CB621}">
  <sheetPr>
    <tabColor rgb="FFFF5050"/>
  </sheetPr>
  <dimension ref="A1:J17"/>
  <sheetViews>
    <sheetView workbookViewId="0">
      <pane xSplit="4" ySplit="4" topLeftCell="E5" activePane="bottomRight" state="frozen"/>
      <selection pane="bottomRight" activeCell="B9" sqref="A1:J17"/>
      <selection pane="bottomLeft" activeCell="C1" sqref="C1:I2"/>
      <selection pane="topRight" activeCell="C1" sqref="C1:I2"/>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338</v>
      </c>
      <c r="D2" s="74"/>
      <c r="E2" s="74"/>
      <c r="F2" s="74"/>
      <c r="G2" s="74"/>
      <c r="H2" s="74"/>
      <c r="I2" s="74"/>
      <c r="J2" s="75"/>
    </row>
    <row r="3" spans="1:10" ht="45">
      <c r="A3" s="70" t="s">
        <v>81</v>
      </c>
      <c r="B3" s="70"/>
      <c r="C3" s="18" t="s">
        <v>93</v>
      </c>
      <c r="D3" s="55" t="s">
        <v>146</v>
      </c>
      <c r="E3" s="122" t="s">
        <v>383</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28.5" customHeight="1">
      <c r="A5" s="52">
        <v>1</v>
      </c>
      <c r="B5" s="122" t="s">
        <v>272</v>
      </c>
      <c r="C5" s="122"/>
      <c r="D5" s="122"/>
      <c r="E5" s="123"/>
      <c r="F5" s="123" t="s">
        <v>63</v>
      </c>
      <c r="G5" s="55"/>
      <c r="H5" s="123">
        <v>10</v>
      </c>
      <c r="I5" s="124">
        <f>IF(H5="","",((H5*10)/SUM($H$5:$H$16)))</f>
        <v>1.0416666666666667</v>
      </c>
      <c r="J5" s="125">
        <f>IF(F5="X",((H5*10)/SUM($H$5:$H$16)),0)</f>
        <v>1.0416666666666667</v>
      </c>
    </row>
    <row r="6" spans="1:10" ht="28.5" customHeight="1">
      <c r="A6" s="52">
        <v>2</v>
      </c>
      <c r="B6" s="122" t="s">
        <v>384</v>
      </c>
      <c r="C6" s="122"/>
      <c r="D6" s="122"/>
      <c r="E6" s="123"/>
      <c r="F6" s="123" t="s">
        <v>63</v>
      </c>
      <c r="G6" s="55"/>
      <c r="H6" s="123">
        <v>10</v>
      </c>
      <c r="I6" s="124">
        <f t="shared" ref="I6:I16" si="0">IF(H6="","",((H6*10)/SUM($H$5:$H$16)))</f>
        <v>1.0416666666666667</v>
      </c>
      <c r="J6" s="125">
        <f t="shared" ref="J6:J16" si="1">IF(F6="X",((H6*10)/SUM($H$5:$H$16)),0)</f>
        <v>1.0416666666666667</v>
      </c>
    </row>
    <row r="7" spans="1:10" ht="28.5" customHeight="1">
      <c r="A7" s="52">
        <v>3</v>
      </c>
      <c r="B7" s="122" t="s">
        <v>385</v>
      </c>
      <c r="C7" s="122"/>
      <c r="D7" s="122"/>
      <c r="E7" s="123"/>
      <c r="F7" s="123" t="s">
        <v>63</v>
      </c>
      <c r="G7" s="55"/>
      <c r="H7" s="123">
        <v>6</v>
      </c>
      <c r="I7" s="124">
        <f t="shared" si="0"/>
        <v>0.625</v>
      </c>
      <c r="J7" s="125">
        <f t="shared" si="1"/>
        <v>0.625</v>
      </c>
    </row>
    <row r="8" spans="1:10" ht="28.5" customHeight="1">
      <c r="A8" s="52">
        <v>4</v>
      </c>
      <c r="B8" s="122" t="s">
        <v>386</v>
      </c>
      <c r="C8" s="122"/>
      <c r="D8" s="122"/>
      <c r="E8" s="123"/>
      <c r="F8" s="123" t="s">
        <v>63</v>
      </c>
      <c r="G8" s="55"/>
      <c r="H8" s="123">
        <v>6</v>
      </c>
      <c r="I8" s="124">
        <f t="shared" si="0"/>
        <v>0.625</v>
      </c>
      <c r="J8" s="125">
        <f t="shared" si="1"/>
        <v>0.625</v>
      </c>
    </row>
    <row r="9" spans="1:10" ht="28.5" customHeight="1">
      <c r="A9" s="52">
        <v>5</v>
      </c>
      <c r="B9" s="122" t="s">
        <v>387</v>
      </c>
      <c r="C9" s="122"/>
      <c r="D9" s="122"/>
      <c r="E9" s="123"/>
      <c r="F9" s="123" t="s">
        <v>63</v>
      </c>
      <c r="G9" s="55"/>
      <c r="H9" s="123">
        <v>10</v>
      </c>
      <c r="I9" s="124">
        <f t="shared" si="0"/>
        <v>1.0416666666666667</v>
      </c>
      <c r="J9" s="125">
        <f t="shared" si="1"/>
        <v>1.0416666666666667</v>
      </c>
    </row>
    <row r="10" spans="1:10" ht="42.75" customHeight="1">
      <c r="A10" s="52">
        <v>6</v>
      </c>
      <c r="B10" s="122" t="s">
        <v>388</v>
      </c>
      <c r="C10" s="122"/>
      <c r="D10" s="122"/>
      <c r="E10" s="123"/>
      <c r="F10" s="123" t="s">
        <v>63</v>
      </c>
      <c r="G10" s="55"/>
      <c r="H10" s="123">
        <v>10</v>
      </c>
      <c r="I10" s="124">
        <f t="shared" si="0"/>
        <v>1.0416666666666667</v>
      </c>
      <c r="J10" s="125">
        <f t="shared" si="1"/>
        <v>1.0416666666666667</v>
      </c>
    </row>
    <row r="11" spans="1:10" ht="57" customHeight="1">
      <c r="A11" s="52">
        <v>7</v>
      </c>
      <c r="B11" s="122" t="s">
        <v>389</v>
      </c>
      <c r="C11" s="122"/>
      <c r="D11" s="122"/>
      <c r="E11" s="123" t="s">
        <v>63</v>
      </c>
      <c r="F11" s="123"/>
      <c r="G11" s="55"/>
      <c r="H11" s="123">
        <v>10</v>
      </c>
      <c r="I11" s="124">
        <f t="shared" si="0"/>
        <v>1.0416666666666667</v>
      </c>
      <c r="J11" s="125">
        <f t="shared" si="1"/>
        <v>0</v>
      </c>
    </row>
    <row r="12" spans="1:10" ht="28.5" customHeight="1">
      <c r="A12" s="52">
        <v>8</v>
      </c>
      <c r="B12" s="122" t="s">
        <v>390</v>
      </c>
      <c r="C12" s="122"/>
      <c r="D12" s="122"/>
      <c r="E12" s="123" t="s">
        <v>63</v>
      </c>
      <c r="F12" s="123"/>
      <c r="G12" s="55"/>
      <c r="H12" s="123">
        <v>6</v>
      </c>
      <c r="I12" s="124">
        <f t="shared" si="0"/>
        <v>0.625</v>
      </c>
      <c r="J12" s="125">
        <f t="shared" si="1"/>
        <v>0</v>
      </c>
    </row>
    <row r="13" spans="1:10" ht="28.5" customHeight="1">
      <c r="A13" s="52">
        <v>9</v>
      </c>
      <c r="B13" s="122" t="s">
        <v>391</v>
      </c>
      <c r="C13" s="122"/>
      <c r="D13" s="122"/>
      <c r="E13" s="123" t="s">
        <v>63</v>
      </c>
      <c r="F13" s="123"/>
      <c r="G13" s="55"/>
      <c r="H13" s="123">
        <v>6</v>
      </c>
      <c r="I13" s="124">
        <f t="shared" si="0"/>
        <v>0.625</v>
      </c>
      <c r="J13" s="125">
        <f t="shared" si="1"/>
        <v>0</v>
      </c>
    </row>
    <row r="14" spans="1:10" ht="42.75" customHeight="1">
      <c r="A14" s="52">
        <v>10</v>
      </c>
      <c r="B14" s="122" t="s">
        <v>392</v>
      </c>
      <c r="C14" s="122"/>
      <c r="D14" s="122"/>
      <c r="E14" s="123"/>
      <c r="F14" s="123" t="s">
        <v>63</v>
      </c>
      <c r="G14" s="55"/>
      <c r="H14" s="123">
        <v>10</v>
      </c>
      <c r="I14" s="124">
        <f t="shared" si="0"/>
        <v>1.0416666666666667</v>
      </c>
      <c r="J14" s="125">
        <f t="shared" si="1"/>
        <v>1.0416666666666667</v>
      </c>
    </row>
    <row r="15" spans="1:10" ht="57" customHeight="1">
      <c r="A15" s="52">
        <v>11</v>
      </c>
      <c r="B15" s="122" t="s">
        <v>393</v>
      </c>
      <c r="C15" s="122"/>
      <c r="D15" s="122"/>
      <c r="E15" s="123"/>
      <c r="F15" s="123" t="s">
        <v>63</v>
      </c>
      <c r="G15" s="55"/>
      <c r="H15" s="123">
        <v>6</v>
      </c>
      <c r="I15" s="124">
        <f t="shared" si="0"/>
        <v>0.625</v>
      </c>
      <c r="J15" s="125">
        <f t="shared" si="1"/>
        <v>0.625</v>
      </c>
    </row>
    <row r="16" spans="1:10" ht="57" customHeight="1">
      <c r="A16" s="52">
        <v>12</v>
      </c>
      <c r="B16" s="122" t="s">
        <v>394</v>
      </c>
      <c r="C16" s="122"/>
      <c r="D16" s="122"/>
      <c r="E16" s="123"/>
      <c r="F16" s="123" t="s">
        <v>63</v>
      </c>
      <c r="G16" s="55"/>
      <c r="H16" s="123">
        <v>6</v>
      </c>
      <c r="I16" s="124">
        <f t="shared" si="0"/>
        <v>0.625</v>
      </c>
      <c r="J16" s="125">
        <f t="shared" si="1"/>
        <v>0.625</v>
      </c>
    </row>
    <row r="17" spans="1:10">
      <c r="A17" s="112" t="s">
        <v>71</v>
      </c>
      <c r="B17" s="112"/>
      <c r="C17" s="112"/>
      <c r="D17" s="112"/>
      <c r="E17" s="112"/>
      <c r="F17" s="112"/>
      <c r="G17" s="112"/>
      <c r="H17" s="112"/>
      <c r="I17" s="37">
        <f>SUM(I5:I16)</f>
        <v>10</v>
      </c>
      <c r="J17" s="36">
        <f>SUM(J5:J16)</f>
        <v>7.7083333333333339</v>
      </c>
    </row>
  </sheetData>
  <mergeCells count="20">
    <mergeCell ref="B14:D14"/>
    <mergeCell ref="B15:D15"/>
    <mergeCell ref="B16:D16"/>
    <mergeCell ref="A17:H17"/>
    <mergeCell ref="B8:D8"/>
    <mergeCell ref="B9:D9"/>
    <mergeCell ref="B10:D10"/>
    <mergeCell ref="B11:D11"/>
    <mergeCell ref="B12:D12"/>
    <mergeCell ref="B13:D13"/>
    <mergeCell ref="A1:B1"/>
    <mergeCell ref="A2:B2"/>
    <mergeCell ref="C1:J1"/>
    <mergeCell ref="C2:J2"/>
    <mergeCell ref="B7:D7"/>
    <mergeCell ref="A3:B3"/>
    <mergeCell ref="E3:J3"/>
    <mergeCell ref="B4:D4"/>
    <mergeCell ref="B5:D5"/>
    <mergeCell ref="B6:D6"/>
  </mergeCells>
  <pageMargins left="0.7" right="0.7" top="0.75" bottom="0.75" header="0.3" footer="0.3"/>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63E3C-6C96-4DC7-886A-934C941105C4}">
  <sheetPr>
    <tabColor rgb="FFFF5050"/>
  </sheetPr>
  <dimension ref="A1:J16"/>
  <sheetViews>
    <sheetView workbookViewId="0">
      <pane xSplit="4" ySplit="4" topLeftCell="E5" activePane="bottomRight" state="frozen"/>
      <selection pane="bottomRight" activeCell="B7" sqref="A1:J16"/>
      <selection pane="bottomLeft" activeCell="C1" sqref="C1:I2"/>
      <selection pane="topRight" activeCell="C1" sqref="C1:I2"/>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338</v>
      </c>
      <c r="D2" s="74"/>
      <c r="E2" s="74"/>
      <c r="F2" s="74"/>
      <c r="G2" s="74"/>
      <c r="H2" s="74"/>
      <c r="I2" s="74"/>
      <c r="J2" s="75"/>
    </row>
    <row r="3" spans="1:10" ht="45">
      <c r="A3" s="70" t="s">
        <v>81</v>
      </c>
      <c r="B3" s="70"/>
      <c r="C3" s="18" t="s">
        <v>93</v>
      </c>
      <c r="D3" s="55" t="s">
        <v>160</v>
      </c>
      <c r="E3" s="122" t="s">
        <v>395</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28.5" customHeight="1">
      <c r="A5" s="52">
        <v>1</v>
      </c>
      <c r="B5" s="122" t="s">
        <v>272</v>
      </c>
      <c r="C5" s="122"/>
      <c r="D5" s="122"/>
      <c r="E5" s="123"/>
      <c r="F5" s="123" t="s">
        <v>63</v>
      </c>
      <c r="G5" s="123"/>
      <c r="H5" s="123">
        <v>10</v>
      </c>
      <c r="I5" s="124">
        <f>IF(H5="","",((H5*10)/SUM($H$5:$H$15)))</f>
        <v>1.5151515151515151</v>
      </c>
      <c r="J5" s="125">
        <f>IF(F5="X",((H5*10)/SUM($H$5:$H$15)),0)</f>
        <v>1.5151515151515151</v>
      </c>
    </row>
    <row r="6" spans="1:10" ht="42.75" customHeight="1">
      <c r="A6" s="52">
        <v>2</v>
      </c>
      <c r="B6" s="122" t="s">
        <v>396</v>
      </c>
      <c r="C6" s="122"/>
      <c r="D6" s="122"/>
      <c r="E6" s="123"/>
      <c r="F6" s="123" t="s">
        <v>63</v>
      </c>
      <c r="G6" s="123"/>
      <c r="H6" s="123">
        <v>6</v>
      </c>
      <c r="I6" s="124">
        <f t="shared" ref="I6:I15" si="0">IF(H6="","",((H6*10)/SUM($H$5:$H$15)))</f>
        <v>0.90909090909090906</v>
      </c>
      <c r="J6" s="125">
        <f t="shared" ref="J6:J15" si="1">IF(F6="X",((H6*10)/SUM($H$5:$H$15)),0)</f>
        <v>0.90909090909090906</v>
      </c>
    </row>
    <row r="7" spans="1:10" ht="42.75" customHeight="1">
      <c r="A7" s="52">
        <v>3</v>
      </c>
      <c r="B7" s="122" t="s">
        <v>397</v>
      </c>
      <c r="C7" s="122"/>
      <c r="D7" s="122"/>
      <c r="E7" s="123"/>
      <c r="F7" s="123" t="s">
        <v>63</v>
      </c>
      <c r="G7" s="123"/>
      <c r="H7" s="123">
        <v>2</v>
      </c>
      <c r="I7" s="124">
        <f t="shared" si="0"/>
        <v>0.30303030303030304</v>
      </c>
      <c r="J7" s="125">
        <f t="shared" si="1"/>
        <v>0.30303030303030304</v>
      </c>
    </row>
    <row r="8" spans="1:10" ht="42.75" customHeight="1">
      <c r="A8" s="52">
        <v>4</v>
      </c>
      <c r="B8" s="122" t="s">
        <v>398</v>
      </c>
      <c r="C8" s="122"/>
      <c r="D8" s="122"/>
      <c r="E8" s="123"/>
      <c r="F8" s="123" t="s">
        <v>63</v>
      </c>
      <c r="G8" s="123"/>
      <c r="H8" s="123">
        <v>2</v>
      </c>
      <c r="I8" s="124">
        <f t="shared" si="0"/>
        <v>0.30303030303030304</v>
      </c>
      <c r="J8" s="125">
        <f t="shared" si="1"/>
        <v>0.30303030303030304</v>
      </c>
    </row>
    <row r="9" spans="1:10" ht="28.5" customHeight="1">
      <c r="A9" s="52">
        <v>5</v>
      </c>
      <c r="B9" s="122" t="s">
        <v>399</v>
      </c>
      <c r="C9" s="122"/>
      <c r="D9" s="122"/>
      <c r="E9" s="123" t="s">
        <v>63</v>
      </c>
      <c r="F9" s="123"/>
      <c r="G9" s="123"/>
      <c r="H9" s="123">
        <v>6</v>
      </c>
      <c r="I9" s="124">
        <f t="shared" si="0"/>
        <v>0.90909090909090906</v>
      </c>
      <c r="J9" s="125">
        <f t="shared" si="1"/>
        <v>0</v>
      </c>
    </row>
    <row r="10" spans="1:10" ht="28.5" customHeight="1">
      <c r="A10" s="52">
        <v>6</v>
      </c>
      <c r="B10" s="122" t="s">
        <v>400</v>
      </c>
      <c r="C10" s="122"/>
      <c r="D10" s="122"/>
      <c r="E10" s="123"/>
      <c r="F10" s="123" t="s">
        <v>63</v>
      </c>
      <c r="G10" s="123"/>
      <c r="H10" s="123">
        <v>10</v>
      </c>
      <c r="I10" s="124">
        <f t="shared" si="0"/>
        <v>1.5151515151515151</v>
      </c>
      <c r="J10" s="125">
        <f t="shared" si="1"/>
        <v>1.5151515151515151</v>
      </c>
    </row>
    <row r="11" spans="1:10" ht="28.5" customHeight="1">
      <c r="A11" s="52">
        <v>7</v>
      </c>
      <c r="B11" s="122" t="s">
        <v>168</v>
      </c>
      <c r="C11" s="122"/>
      <c r="D11" s="122"/>
      <c r="E11" s="123" t="s">
        <v>63</v>
      </c>
      <c r="F11" s="123"/>
      <c r="G11" s="123"/>
      <c r="H11" s="123">
        <v>10</v>
      </c>
      <c r="I11" s="124">
        <f t="shared" si="0"/>
        <v>1.5151515151515151</v>
      </c>
      <c r="J11" s="125">
        <f t="shared" si="1"/>
        <v>0</v>
      </c>
    </row>
    <row r="12" spans="1:10" ht="28.5" customHeight="1">
      <c r="A12" s="52">
        <v>8</v>
      </c>
      <c r="B12" s="122" t="s">
        <v>401</v>
      </c>
      <c r="C12" s="122"/>
      <c r="D12" s="122"/>
      <c r="E12" s="123" t="s">
        <v>63</v>
      </c>
      <c r="F12" s="123"/>
      <c r="G12" s="123"/>
      <c r="H12" s="123">
        <v>6</v>
      </c>
      <c r="I12" s="124">
        <f t="shared" si="0"/>
        <v>0.90909090909090906</v>
      </c>
      <c r="J12" s="125">
        <f t="shared" si="1"/>
        <v>0</v>
      </c>
    </row>
    <row r="13" spans="1:10" ht="42.75" customHeight="1">
      <c r="A13" s="52">
        <v>9</v>
      </c>
      <c r="B13" s="122" t="s">
        <v>402</v>
      </c>
      <c r="C13" s="122"/>
      <c r="D13" s="122"/>
      <c r="E13" s="123"/>
      <c r="F13" s="123" t="s">
        <v>63</v>
      </c>
      <c r="G13" s="123"/>
      <c r="H13" s="123">
        <v>2</v>
      </c>
      <c r="I13" s="124">
        <f t="shared" si="0"/>
        <v>0.30303030303030304</v>
      </c>
      <c r="J13" s="125">
        <f t="shared" si="1"/>
        <v>0.30303030303030304</v>
      </c>
    </row>
    <row r="14" spans="1:10" ht="28.5" customHeight="1">
      <c r="A14" s="52">
        <v>10</v>
      </c>
      <c r="B14" s="122" t="s">
        <v>403</v>
      </c>
      <c r="C14" s="122"/>
      <c r="D14" s="122"/>
      <c r="E14" s="123"/>
      <c r="F14" s="123" t="s">
        <v>63</v>
      </c>
      <c r="G14" s="123"/>
      <c r="H14" s="123">
        <v>6</v>
      </c>
      <c r="I14" s="124">
        <f t="shared" si="0"/>
        <v>0.90909090909090906</v>
      </c>
      <c r="J14" s="125">
        <f t="shared" si="1"/>
        <v>0.90909090909090906</v>
      </c>
    </row>
    <row r="15" spans="1:10">
      <c r="A15" s="52">
        <v>11</v>
      </c>
      <c r="B15" s="122" t="s">
        <v>172</v>
      </c>
      <c r="C15" s="122"/>
      <c r="D15" s="122"/>
      <c r="E15" s="123"/>
      <c r="F15" s="123" t="s">
        <v>63</v>
      </c>
      <c r="G15" s="123"/>
      <c r="H15" s="123">
        <v>6</v>
      </c>
      <c r="I15" s="124">
        <f t="shared" si="0"/>
        <v>0.90909090909090906</v>
      </c>
      <c r="J15" s="125">
        <f t="shared" si="1"/>
        <v>0.90909090909090906</v>
      </c>
    </row>
    <row r="16" spans="1:10">
      <c r="A16" s="112" t="s">
        <v>71</v>
      </c>
      <c r="B16" s="112"/>
      <c r="C16" s="112"/>
      <c r="D16" s="112"/>
      <c r="E16" s="112"/>
      <c r="F16" s="112"/>
      <c r="G16" s="112"/>
      <c r="H16" s="112"/>
      <c r="I16" s="37">
        <f>SUM(I5:I15)</f>
        <v>10</v>
      </c>
      <c r="J16" s="36">
        <f>SUM(J5:J15)</f>
        <v>6.666666666666667</v>
      </c>
    </row>
  </sheetData>
  <mergeCells count="19">
    <mergeCell ref="B14:D14"/>
    <mergeCell ref="B15:D15"/>
    <mergeCell ref="A16:H16"/>
    <mergeCell ref="B8:D8"/>
    <mergeCell ref="B9:D9"/>
    <mergeCell ref="B10:D10"/>
    <mergeCell ref="B11:D11"/>
    <mergeCell ref="B12:D12"/>
    <mergeCell ref="B13:D13"/>
    <mergeCell ref="A1:B1"/>
    <mergeCell ref="A2:B2"/>
    <mergeCell ref="C1:J1"/>
    <mergeCell ref="C2:J2"/>
    <mergeCell ref="B7:D7"/>
    <mergeCell ref="A3:B3"/>
    <mergeCell ref="E3:J3"/>
    <mergeCell ref="B4:D4"/>
    <mergeCell ref="B5:D5"/>
    <mergeCell ref="B6:D6"/>
  </mergeCells>
  <pageMargins left="0.7" right="0.7" top="0.75" bottom="0.75" header="0.3" footer="0.3"/>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459ED-5122-489C-9EFF-CF5AD925AB33}">
  <sheetPr>
    <tabColor rgb="FFFF5050"/>
  </sheetPr>
  <dimension ref="A1:J17"/>
  <sheetViews>
    <sheetView workbookViewId="0">
      <pane xSplit="4" ySplit="4" topLeftCell="E5" activePane="bottomRight" state="frozen"/>
      <selection pane="bottomRight" activeCell="B7" sqref="A1:J17"/>
      <selection pane="bottomLeft" activeCell="C1" sqref="C1:I2"/>
      <selection pane="topRight" activeCell="C1" sqref="C1:I2"/>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338</v>
      </c>
      <c r="D2" s="74"/>
      <c r="E2" s="74"/>
      <c r="F2" s="74"/>
      <c r="G2" s="74"/>
      <c r="H2" s="74"/>
      <c r="I2" s="74"/>
      <c r="J2" s="75"/>
    </row>
    <row r="3" spans="1:10" ht="90">
      <c r="A3" s="70" t="s">
        <v>81</v>
      </c>
      <c r="B3" s="70"/>
      <c r="C3" s="18" t="s">
        <v>93</v>
      </c>
      <c r="D3" s="55" t="s">
        <v>176</v>
      </c>
      <c r="E3" s="122" t="s">
        <v>404</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57" customHeight="1">
      <c r="A5" s="52">
        <v>1</v>
      </c>
      <c r="B5" s="122" t="s">
        <v>405</v>
      </c>
      <c r="C5" s="122"/>
      <c r="D5" s="122"/>
      <c r="E5" s="123" t="s">
        <v>63</v>
      </c>
      <c r="F5" s="123"/>
      <c r="G5" s="55"/>
      <c r="H5" s="123">
        <v>6</v>
      </c>
      <c r="I5" s="124">
        <f>IF(H5="","",((H5*10)/SUM($H$5:$H$16)))</f>
        <v>0.83333333333333337</v>
      </c>
      <c r="J5" s="125">
        <f>IF(F5="X",((H5*10)/SUM($H$5:$H$16)),0)</f>
        <v>0</v>
      </c>
    </row>
    <row r="6" spans="1:10" ht="28.5" customHeight="1">
      <c r="A6" s="52">
        <v>2</v>
      </c>
      <c r="B6" s="122" t="s">
        <v>99</v>
      </c>
      <c r="C6" s="122"/>
      <c r="D6" s="122"/>
      <c r="E6" s="123"/>
      <c r="F6" s="123" t="s">
        <v>63</v>
      </c>
      <c r="G6" s="55"/>
      <c r="H6" s="123">
        <v>2</v>
      </c>
      <c r="I6" s="124">
        <f t="shared" ref="I6:I16" si="0">IF(H6="","",((H6*10)/SUM($H$5:$H$16)))</f>
        <v>0.27777777777777779</v>
      </c>
      <c r="J6" s="125">
        <f t="shared" ref="J6:J16" si="1">IF(F6="X",((H6*10)/SUM($H$5:$H$16)),0)</f>
        <v>0.27777777777777779</v>
      </c>
    </row>
    <row r="7" spans="1:10" ht="28.5" customHeight="1">
      <c r="A7" s="52">
        <v>3</v>
      </c>
      <c r="B7" s="122" t="s">
        <v>406</v>
      </c>
      <c r="C7" s="122"/>
      <c r="D7" s="122"/>
      <c r="E7" s="123" t="s">
        <v>63</v>
      </c>
      <c r="F7" s="123"/>
      <c r="G7" s="55"/>
      <c r="H7" s="123">
        <v>10</v>
      </c>
      <c r="I7" s="124">
        <f t="shared" si="0"/>
        <v>1.3888888888888888</v>
      </c>
      <c r="J7" s="125">
        <f t="shared" si="1"/>
        <v>0</v>
      </c>
    </row>
    <row r="8" spans="1:10" ht="42.75" customHeight="1">
      <c r="A8" s="52">
        <v>4</v>
      </c>
      <c r="B8" s="122" t="s">
        <v>407</v>
      </c>
      <c r="C8" s="122"/>
      <c r="D8" s="122"/>
      <c r="E8" s="123" t="s">
        <v>63</v>
      </c>
      <c r="F8" s="123"/>
      <c r="G8" s="55"/>
      <c r="H8" s="123">
        <v>6</v>
      </c>
      <c r="I8" s="124">
        <f t="shared" si="0"/>
        <v>0.83333333333333337</v>
      </c>
      <c r="J8" s="125">
        <f t="shared" si="1"/>
        <v>0</v>
      </c>
    </row>
    <row r="9" spans="1:10" ht="28.5" customHeight="1">
      <c r="A9" s="52">
        <v>5</v>
      </c>
      <c r="B9" s="122" t="s">
        <v>408</v>
      </c>
      <c r="C9" s="122"/>
      <c r="D9" s="122"/>
      <c r="E9" s="123"/>
      <c r="F9" s="123" t="s">
        <v>63</v>
      </c>
      <c r="G9" s="55"/>
      <c r="H9" s="123">
        <v>10</v>
      </c>
      <c r="I9" s="124">
        <f t="shared" si="0"/>
        <v>1.3888888888888888</v>
      </c>
      <c r="J9" s="125">
        <f t="shared" si="1"/>
        <v>1.3888888888888888</v>
      </c>
    </row>
    <row r="10" spans="1:10" ht="28.5" customHeight="1">
      <c r="A10" s="52">
        <v>6</v>
      </c>
      <c r="B10" s="122" t="s">
        <v>409</v>
      </c>
      <c r="C10" s="122"/>
      <c r="D10" s="122"/>
      <c r="E10" s="123"/>
      <c r="F10" s="123" t="s">
        <v>63</v>
      </c>
      <c r="G10" s="55"/>
      <c r="H10" s="123">
        <v>10</v>
      </c>
      <c r="I10" s="124">
        <f t="shared" si="0"/>
        <v>1.3888888888888888</v>
      </c>
      <c r="J10" s="125">
        <f t="shared" si="1"/>
        <v>1.3888888888888888</v>
      </c>
    </row>
    <row r="11" spans="1:10" ht="28.5" customHeight="1">
      <c r="A11" s="52">
        <v>7</v>
      </c>
      <c r="B11" s="122" t="s">
        <v>410</v>
      </c>
      <c r="C11" s="122"/>
      <c r="D11" s="122"/>
      <c r="E11" s="123"/>
      <c r="F11" s="123" t="s">
        <v>63</v>
      </c>
      <c r="G11" s="55"/>
      <c r="H11" s="123">
        <v>2</v>
      </c>
      <c r="I11" s="124">
        <f t="shared" si="0"/>
        <v>0.27777777777777779</v>
      </c>
      <c r="J11" s="125">
        <f t="shared" si="1"/>
        <v>0.27777777777777779</v>
      </c>
    </row>
    <row r="12" spans="1:10" ht="28.5" customHeight="1">
      <c r="A12" s="52">
        <v>8</v>
      </c>
      <c r="B12" s="122" t="s">
        <v>182</v>
      </c>
      <c r="C12" s="122"/>
      <c r="D12" s="122"/>
      <c r="E12" s="123"/>
      <c r="F12" s="123" t="s">
        <v>63</v>
      </c>
      <c r="G12" s="55"/>
      <c r="H12" s="123">
        <v>10</v>
      </c>
      <c r="I12" s="124">
        <f t="shared" si="0"/>
        <v>1.3888888888888888</v>
      </c>
      <c r="J12" s="125">
        <f t="shared" si="1"/>
        <v>1.3888888888888888</v>
      </c>
    </row>
    <row r="13" spans="1:10" ht="28.5" customHeight="1">
      <c r="A13" s="52">
        <v>9</v>
      </c>
      <c r="B13" s="122" t="s">
        <v>411</v>
      </c>
      <c r="C13" s="122"/>
      <c r="D13" s="122"/>
      <c r="E13" s="123"/>
      <c r="F13" s="123" t="s">
        <v>63</v>
      </c>
      <c r="G13" s="55"/>
      <c r="H13" s="123">
        <v>2</v>
      </c>
      <c r="I13" s="124">
        <f t="shared" si="0"/>
        <v>0.27777777777777779</v>
      </c>
      <c r="J13" s="125">
        <f t="shared" si="1"/>
        <v>0.27777777777777779</v>
      </c>
    </row>
    <row r="14" spans="1:10" ht="28.5" customHeight="1">
      <c r="A14" s="52">
        <v>10</v>
      </c>
      <c r="B14" s="122" t="s">
        <v>412</v>
      </c>
      <c r="C14" s="122"/>
      <c r="D14" s="122"/>
      <c r="E14" s="123" t="s">
        <v>63</v>
      </c>
      <c r="F14" s="123"/>
      <c r="G14" s="55"/>
      <c r="H14" s="123">
        <v>6</v>
      </c>
      <c r="I14" s="124">
        <f t="shared" si="0"/>
        <v>0.83333333333333337</v>
      </c>
      <c r="J14" s="125">
        <f t="shared" si="1"/>
        <v>0</v>
      </c>
    </row>
    <row r="15" spans="1:10" ht="42.75" customHeight="1">
      <c r="A15" s="52">
        <v>11</v>
      </c>
      <c r="B15" s="122" t="s">
        <v>413</v>
      </c>
      <c r="C15" s="122"/>
      <c r="D15" s="122"/>
      <c r="E15" s="123" t="s">
        <v>63</v>
      </c>
      <c r="F15" s="123"/>
      <c r="G15" s="55"/>
      <c r="H15" s="123">
        <v>6</v>
      </c>
      <c r="I15" s="124">
        <f t="shared" si="0"/>
        <v>0.83333333333333337</v>
      </c>
      <c r="J15" s="125">
        <f t="shared" si="1"/>
        <v>0</v>
      </c>
    </row>
    <row r="16" spans="1:10" ht="42.75" customHeight="1">
      <c r="A16" s="52">
        <v>12</v>
      </c>
      <c r="B16" s="122" t="s">
        <v>414</v>
      </c>
      <c r="C16" s="122"/>
      <c r="D16" s="122"/>
      <c r="E16" s="123"/>
      <c r="F16" s="123" t="s">
        <v>63</v>
      </c>
      <c r="G16" s="55"/>
      <c r="H16" s="123">
        <v>2</v>
      </c>
      <c r="I16" s="124">
        <f t="shared" si="0"/>
        <v>0.27777777777777779</v>
      </c>
      <c r="J16" s="125">
        <f t="shared" si="1"/>
        <v>0.27777777777777779</v>
      </c>
    </row>
    <row r="17" spans="1:10">
      <c r="A17" s="112" t="s">
        <v>71</v>
      </c>
      <c r="B17" s="112"/>
      <c r="C17" s="112"/>
      <c r="D17" s="112"/>
      <c r="E17" s="112"/>
      <c r="F17" s="112"/>
      <c r="G17" s="112"/>
      <c r="H17" s="112"/>
      <c r="I17" s="37">
        <f>SUM(I5:I16)</f>
        <v>10.000000000000002</v>
      </c>
      <c r="J17" s="36">
        <f>SUM(J5:J16)</f>
        <v>5.2777777777777768</v>
      </c>
    </row>
  </sheetData>
  <mergeCells count="20">
    <mergeCell ref="B14:D14"/>
    <mergeCell ref="B15:D15"/>
    <mergeCell ref="B16:D16"/>
    <mergeCell ref="A17:H17"/>
    <mergeCell ref="B8:D8"/>
    <mergeCell ref="B9:D9"/>
    <mergeCell ref="B10:D10"/>
    <mergeCell ref="B11:D11"/>
    <mergeCell ref="B12:D12"/>
    <mergeCell ref="B13:D13"/>
    <mergeCell ref="A1:B1"/>
    <mergeCell ref="A2:B2"/>
    <mergeCell ref="C1:J1"/>
    <mergeCell ref="C2:J2"/>
    <mergeCell ref="B7:D7"/>
    <mergeCell ref="A3:B3"/>
    <mergeCell ref="E3:J3"/>
    <mergeCell ref="B4:D4"/>
    <mergeCell ref="B5:D5"/>
    <mergeCell ref="B6:D6"/>
  </mergeCells>
  <pageMargins left="0.7" right="0.7" top="0.75" bottom="0.75" header="0.3" footer="0.3"/>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74A04-ACBF-431E-A6FA-C5F81A7E26B5}">
  <sheetPr>
    <tabColor rgb="FFFF5050"/>
  </sheetPr>
  <dimension ref="A1:J18"/>
  <sheetViews>
    <sheetView workbookViewId="0">
      <pane xSplit="4" ySplit="4" topLeftCell="E5" activePane="bottomRight" state="frozen"/>
      <selection pane="bottomRight" activeCell="B8" sqref="A1:J18"/>
      <selection pane="bottomLeft" activeCell="C1" sqref="C1:I2"/>
      <selection pane="topRight" activeCell="C1" sqref="C1:I2"/>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338</v>
      </c>
      <c r="D2" s="74"/>
      <c r="E2" s="74"/>
      <c r="F2" s="74"/>
      <c r="G2" s="74"/>
      <c r="H2" s="74"/>
      <c r="I2" s="74"/>
      <c r="J2" s="75"/>
    </row>
    <row r="3" spans="1:10" ht="90">
      <c r="A3" s="70" t="s">
        <v>81</v>
      </c>
      <c r="B3" s="70"/>
      <c r="C3" s="18" t="s">
        <v>93</v>
      </c>
      <c r="D3" s="55" t="s">
        <v>188</v>
      </c>
      <c r="E3" s="122" t="s">
        <v>415</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28.5" customHeight="1">
      <c r="A5" s="52">
        <v>1</v>
      </c>
      <c r="B5" s="122" t="s">
        <v>272</v>
      </c>
      <c r="C5" s="122"/>
      <c r="D5" s="122"/>
      <c r="E5" s="123"/>
      <c r="F5" s="123" t="s">
        <v>63</v>
      </c>
      <c r="G5" s="55"/>
      <c r="H5" s="123">
        <v>10</v>
      </c>
      <c r="I5" s="124">
        <f>IF(H5="","",((H5*10)/SUM($H$5:$H$17)))</f>
        <v>1.2195121951219512</v>
      </c>
      <c r="J5" s="125">
        <f>IF(F5="X",((H5*10)/SUM($H$5:$H$17)),0)</f>
        <v>1.2195121951219512</v>
      </c>
    </row>
    <row r="6" spans="1:10" ht="28.5" customHeight="1">
      <c r="A6" s="52">
        <v>2</v>
      </c>
      <c r="B6" s="122" t="s">
        <v>406</v>
      </c>
      <c r="C6" s="122"/>
      <c r="D6" s="122"/>
      <c r="E6" s="123" t="s">
        <v>63</v>
      </c>
      <c r="F6" s="123"/>
      <c r="G6" s="55"/>
      <c r="H6" s="123">
        <v>10</v>
      </c>
      <c r="I6" s="124">
        <f t="shared" ref="I6:I17" si="0">IF(H6="","",((H6*10)/SUM($H$5:$H$17)))</f>
        <v>1.2195121951219512</v>
      </c>
      <c r="J6" s="125">
        <f t="shared" ref="J6:J17" si="1">IF(F6="X",((H6*10)/SUM($H$5:$H$17)),0)</f>
        <v>0</v>
      </c>
    </row>
    <row r="7" spans="1:10" ht="42.75" customHeight="1">
      <c r="A7" s="52">
        <v>3</v>
      </c>
      <c r="B7" s="122" t="s">
        <v>416</v>
      </c>
      <c r="C7" s="122"/>
      <c r="D7" s="122"/>
      <c r="E7" s="123" t="s">
        <v>63</v>
      </c>
      <c r="F7" s="123"/>
      <c r="G7" s="55"/>
      <c r="H7" s="123">
        <v>10</v>
      </c>
      <c r="I7" s="124">
        <f t="shared" si="0"/>
        <v>1.2195121951219512</v>
      </c>
      <c r="J7" s="125">
        <f t="shared" si="1"/>
        <v>0</v>
      </c>
    </row>
    <row r="8" spans="1:10" ht="42.75" customHeight="1">
      <c r="A8" s="52">
        <v>4</v>
      </c>
      <c r="B8" s="122" t="s">
        <v>407</v>
      </c>
      <c r="C8" s="122"/>
      <c r="D8" s="122"/>
      <c r="E8" s="123" t="s">
        <v>63</v>
      </c>
      <c r="F8" s="123"/>
      <c r="G8" s="55"/>
      <c r="H8" s="123">
        <v>6</v>
      </c>
      <c r="I8" s="124">
        <f t="shared" si="0"/>
        <v>0.73170731707317072</v>
      </c>
      <c r="J8" s="125">
        <f t="shared" si="1"/>
        <v>0</v>
      </c>
    </row>
    <row r="9" spans="1:10" ht="28.5" customHeight="1">
      <c r="A9" s="52">
        <v>5</v>
      </c>
      <c r="B9" s="122" t="s">
        <v>417</v>
      </c>
      <c r="C9" s="122"/>
      <c r="D9" s="122"/>
      <c r="E9" s="123"/>
      <c r="F9" s="123" t="s">
        <v>63</v>
      </c>
      <c r="G9" s="55"/>
      <c r="H9" s="123">
        <v>10</v>
      </c>
      <c r="I9" s="124">
        <f t="shared" si="0"/>
        <v>1.2195121951219512</v>
      </c>
      <c r="J9" s="125">
        <f t="shared" si="1"/>
        <v>1.2195121951219512</v>
      </c>
    </row>
    <row r="10" spans="1:10" ht="42.75" customHeight="1">
      <c r="A10" s="52">
        <v>6</v>
      </c>
      <c r="B10" s="122" t="s">
        <v>418</v>
      </c>
      <c r="C10" s="122"/>
      <c r="D10" s="122"/>
      <c r="E10" s="123" t="s">
        <v>63</v>
      </c>
      <c r="F10" s="123"/>
      <c r="G10" s="55"/>
      <c r="H10" s="123">
        <v>2</v>
      </c>
      <c r="I10" s="124">
        <f t="shared" si="0"/>
        <v>0.24390243902439024</v>
      </c>
      <c r="J10" s="125">
        <f t="shared" si="1"/>
        <v>0</v>
      </c>
    </row>
    <row r="11" spans="1:10" ht="28.5" customHeight="1">
      <c r="A11" s="52">
        <v>7</v>
      </c>
      <c r="B11" s="122" t="s">
        <v>419</v>
      </c>
      <c r="C11" s="122"/>
      <c r="D11" s="122"/>
      <c r="E11" s="123" t="s">
        <v>63</v>
      </c>
      <c r="F11" s="123"/>
      <c r="G11" s="55"/>
      <c r="H11" s="123">
        <v>6</v>
      </c>
      <c r="I11" s="124">
        <f t="shared" si="0"/>
        <v>0.73170731707317072</v>
      </c>
      <c r="J11" s="125">
        <f t="shared" si="1"/>
        <v>0</v>
      </c>
    </row>
    <row r="12" spans="1:10" ht="28.5" customHeight="1">
      <c r="A12" s="52">
        <v>8</v>
      </c>
      <c r="B12" s="122" t="s">
        <v>420</v>
      </c>
      <c r="C12" s="122"/>
      <c r="D12" s="122"/>
      <c r="E12" s="123"/>
      <c r="F12" s="123" t="s">
        <v>63</v>
      </c>
      <c r="G12" s="55"/>
      <c r="H12" s="123">
        <v>6</v>
      </c>
      <c r="I12" s="124">
        <f t="shared" si="0"/>
        <v>0.73170731707317072</v>
      </c>
      <c r="J12" s="125">
        <f t="shared" si="1"/>
        <v>0.73170731707317072</v>
      </c>
    </row>
    <row r="13" spans="1:10" ht="28.5" customHeight="1">
      <c r="A13" s="52">
        <v>9</v>
      </c>
      <c r="B13" s="122" t="s">
        <v>421</v>
      </c>
      <c r="C13" s="122"/>
      <c r="D13" s="122"/>
      <c r="E13" s="123"/>
      <c r="F13" s="123" t="s">
        <v>63</v>
      </c>
      <c r="G13" s="55"/>
      <c r="H13" s="123">
        <v>2</v>
      </c>
      <c r="I13" s="124">
        <f t="shared" si="0"/>
        <v>0.24390243902439024</v>
      </c>
      <c r="J13" s="125">
        <f t="shared" si="1"/>
        <v>0.24390243902439024</v>
      </c>
    </row>
    <row r="14" spans="1:10" ht="28.5" customHeight="1">
      <c r="A14" s="52">
        <v>10</v>
      </c>
      <c r="B14" s="122" t="s">
        <v>422</v>
      </c>
      <c r="C14" s="122"/>
      <c r="D14" s="122"/>
      <c r="E14" s="123"/>
      <c r="F14" s="123" t="s">
        <v>63</v>
      </c>
      <c r="G14" s="55"/>
      <c r="H14" s="123">
        <v>2</v>
      </c>
      <c r="I14" s="124">
        <f t="shared" si="0"/>
        <v>0.24390243902439024</v>
      </c>
      <c r="J14" s="125">
        <f t="shared" si="1"/>
        <v>0.24390243902439024</v>
      </c>
    </row>
    <row r="15" spans="1:10" ht="28.5" customHeight="1">
      <c r="A15" s="52">
        <v>11</v>
      </c>
      <c r="B15" s="122" t="s">
        <v>423</v>
      </c>
      <c r="C15" s="122"/>
      <c r="D15" s="122"/>
      <c r="E15" s="123" t="s">
        <v>63</v>
      </c>
      <c r="F15" s="123"/>
      <c r="G15" s="55"/>
      <c r="H15" s="123">
        <v>6</v>
      </c>
      <c r="I15" s="124">
        <f t="shared" si="0"/>
        <v>0.73170731707317072</v>
      </c>
      <c r="J15" s="125">
        <f t="shared" si="1"/>
        <v>0</v>
      </c>
    </row>
    <row r="16" spans="1:10" ht="28.5" customHeight="1">
      <c r="A16" s="52">
        <v>12</v>
      </c>
      <c r="B16" s="122" t="s">
        <v>424</v>
      </c>
      <c r="C16" s="122"/>
      <c r="D16" s="122"/>
      <c r="E16" s="123"/>
      <c r="F16" s="123" t="s">
        <v>63</v>
      </c>
      <c r="G16" s="55"/>
      <c r="H16" s="123">
        <v>6</v>
      </c>
      <c r="I16" s="124">
        <f t="shared" si="0"/>
        <v>0.73170731707317072</v>
      </c>
      <c r="J16" s="125">
        <f t="shared" si="1"/>
        <v>0.73170731707317072</v>
      </c>
    </row>
    <row r="17" spans="1:10" ht="28.5" customHeight="1">
      <c r="A17" s="52">
        <v>13</v>
      </c>
      <c r="B17" s="122" t="s">
        <v>425</v>
      </c>
      <c r="C17" s="122"/>
      <c r="D17" s="122"/>
      <c r="E17" s="123"/>
      <c r="F17" s="123" t="s">
        <v>63</v>
      </c>
      <c r="G17" s="55"/>
      <c r="H17" s="123">
        <v>6</v>
      </c>
      <c r="I17" s="124">
        <f t="shared" si="0"/>
        <v>0.73170731707317072</v>
      </c>
      <c r="J17" s="125">
        <f t="shared" si="1"/>
        <v>0.73170731707317072</v>
      </c>
    </row>
    <row r="18" spans="1:10">
      <c r="A18" s="112" t="s">
        <v>71</v>
      </c>
      <c r="B18" s="112"/>
      <c r="C18" s="112"/>
      <c r="D18" s="112"/>
      <c r="E18" s="112"/>
      <c r="F18" s="112"/>
      <c r="G18" s="112"/>
      <c r="H18" s="112"/>
      <c r="I18" s="37">
        <f>SUM(I5:I17)</f>
        <v>10.000000000000002</v>
      </c>
      <c r="J18" s="36">
        <f>SUM(J5:J17)</f>
        <v>5.1219512195121952</v>
      </c>
    </row>
  </sheetData>
  <mergeCells count="21">
    <mergeCell ref="B14:D14"/>
    <mergeCell ref="B15:D15"/>
    <mergeCell ref="B16:D16"/>
    <mergeCell ref="B17:D17"/>
    <mergeCell ref="A18:H18"/>
    <mergeCell ref="A1:B1"/>
    <mergeCell ref="A2:B2"/>
    <mergeCell ref="C1:J1"/>
    <mergeCell ref="C2:J2"/>
    <mergeCell ref="B13:D13"/>
    <mergeCell ref="A3:B3"/>
    <mergeCell ref="E3:J3"/>
    <mergeCell ref="B4:D4"/>
    <mergeCell ref="B5:D5"/>
    <mergeCell ref="B6:D6"/>
    <mergeCell ref="B7:D7"/>
    <mergeCell ref="B8:D8"/>
    <mergeCell ref="B9:D9"/>
    <mergeCell ref="B10:D10"/>
    <mergeCell ref="B11:D11"/>
    <mergeCell ref="B12:D12"/>
  </mergeCells>
  <pageMargins left="0.7" right="0.7" top="0.75" bottom="0.75" header="0.3" footer="0.3"/>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047B6-26AD-4761-9FD9-11F45DF45DF0}">
  <sheetPr>
    <tabColor rgb="FFFF5050"/>
  </sheetPr>
  <dimension ref="A1:J19"/>
  <sheetViews>
    <sheetView workbookViewId="0">
      <pane xSplit="4" ySplit="4" topLeftCell="E5" activePane="bottomRight" state="frozen"/>
      <selection pane="bottomRight" activeCell="B9" sqref="A1:J19"/>
      <selection pane="bottomLeft" activeCell="C1" sqref="C1:I2"/>
      <selection pane="topRight" activeCell="C1" sqref="C1:I2"/>
    </sheetView>
  </sheetViews>
  <sheetFormatPr defaultColWidth="11.42578125" defaultRowHeight="15"/>
  <cols>
    <col min="1" max="1" width="4.7109375" customWidth="1"/>
    <col min="2" max="4" width="17.7109375" customWidth="1"/>
    <col min="5" max="6" width="4.7109375" customWidth="1"/>
    <col min="7" max="7" width="9.7109375" customWidth="1"/>
    <col min="8" max="10" width="12" customWidth="1"/>
  </cols>
  <sheetData>
    <row r="1" spans="1:10">
      <c r="A1" s="70" t="s">
        <v>51</v>
      </c>
      <c r="B1" s="70"/>
      <c r="C1" s="73" t="s">
        <v>339</v>
      </c>
      <c r="D1" s="74"/>
      <c r="E1" s="74"/>
      <c r="F1" s="74"/>
      <c r="G1" s="74"/>
      <c r="H1" s="74"/>
      <c r="I1" s="74"/>
      <c r="J1" s="75"/>
    </row>
    <row r="2" spans="1:10">
      <c r="A2" s="70" t="s">
        <v>0</v>
      </c>
      <c r="B2" s="70"/>
      <c r="C2" s="73" t="s">
        <v>338</v>
      </c>
      <c r="D2" s="74"/>
      <c r="E2" s="74"/>
      <c r="F2" s="74"/>
      <c r="G2" s="74"/>
      <c r="H2" s="74"/>
      <c r="I2" s="74"/>
      <c r="J2" s="75"/>
    </row>
    <row r="3" spans="1:10" ht="30">
      <c r="A3" s="70" t="s">
        <v>81</v>
      </c>
      <c r="B3" s="70"/>
      <c r="C3" s="18" t="s">
        <v>200</v>
      </c>
      <c r="D3" s="55" t="s">
        <v>426</v>
      </c>
      <c r="E3" s="122" t="s">
        <v>427</v>
      </c>
      <c r="F3" s="122"/>
      <c r="G3" s="122"/>
      <c r="H3" s="122"/>
      <c r="I3" s="122"/>
      <c r="J3" s="122"/>
    </row>
    <row r="4" spans="1:10" ht="60">
      <c r="A4" s="52" t="s">
        <v>55</v>
      </c>
      <c r="B4" s="70" t="s">
        <v>56</v>
      </c>
      <c r="C4" s="70"/>
      <c r="D4" s="70"/>
      <c r="E4" s="52" t="s">
        <v>24</v>
      </c>
      <c r="F4" s="52" t="s">
        <v>57</v>
      </c>
      <c r="G4" s="52" t="s">
        <v>58</v>
      </c>
      <c r="H4" s="52" t="s">
        <v>59</v>
      </c>
      <c r="I4" s="52" t="s">
        <v>60</v>
      </c>
      <c r="J4" s="52" t="s">
        <v>61</v>
      </c>
    </row>
    <row r="5" spans="1:10" ht="28.5" customHeight="1">
      <c r="A5" s="52">
        <v>1</v>
      </c>
      <c r="B5" s="122" t="s">
        <v>428</v>
      </c>
      <c r="C5" s="122"/>
      <c r="D5" s="122"/>
      <c r="E5" s="123"/>
      <c r="F5" s="123" t="s">
        <v>63</v>
      </c>
      <c r="G5" s="55"/>
      <c r="H5" s="27">
        <v>6</v>
      </c>
      <c r="I5" s="124">
        <f>IF(H5="","",((H5*10)/SUM($H$5:$H$18)))</f>
        <v>0.5</v>
      </c>
      <c r="J5" s="125">
        <f>IF(F5="X",((H5*10)/SUM($H$5:$H$18)),0)</f>
        <v>0.5</v>
      </c>
    </row>
    <row r="6" spans="1:10" ht="28.5" customHeight="1">
      <c r="A6" s="52">
        <v>2</v>
      </c>
      <c r="B6" s="122" t="s">
        <v>429</v>
      </c>
      <c r="C6" s="122"/>
      <c r="D6" s="122"/>
      <c r="E6" s="123"/>
      <c r="F6" s="123" t="s">
        <v>63</v>
      </c>
      <c r="G6" s="55"/>
      <c r="H6" s="27">
        <v>6</v>
      </c>
      <c r="I6" s="124">
        <f t="shared" ref="I6:I18" si="0">IF(H6="","",((H6*10)/SUM($H$5:$H$18)))</f>
        <v>0.5</v>
      </c>
      <c r="J6" s="125">
        <f t="shared" ref="J6:J18" si="1">IF(F6="X",((H6*10)/SUM($H$5:$H$18)),0)</f>
        <v>0.5</v>
      </c>
    </row>
    <row r="7" spans="1:10" ht="57" customHeight="1">
      <c r="A7" s="52">
        <v>3</v>
      </c>
      <c r="B7" s="122" t="s">
        <v>430</v>
      </c>
      <c r="C7" s="122"/>
      <c r="D7" s="122"/>
      <c r="E7" s="123"/>
      <c r="F7" s="123" t="s">
        <v>63</v>
      </c>
      <c r="G7" s="55"/>
      <c r="H7" s="27">
        <v>10</v>
      </c>
      <c r="I7" s="124">
        <f t="shared" si="0"/>
        <v>0.83333333333333337</v>
      </c>
      <c r="J7" s="125">
        <f t="shared" si="1"/>
        <v>0.83333333333333337</v>
      </c>
    </row>
    <row r="8" spans="1:10" ht="57" customHeight="1">
      <c r="A8" s="52">
        <v>4</v>
      </c>
      <c r="B8" s="122" t="s">
        <v>431</v>
      </c>
      <c r="C8" s="122"/>
      <c r="D8" s="122"/>
      <c r="E8" s="123"/>
      <c r="F8" s="123" t="s">
        <v>63</v>
      </c>
      <c r="G8" s="55"/>
      <c r="H8" s="27">
        <v>10</v>
      </c>
      <c r="I8" s="124">
        <f t="shared" si="0"/>
        <v>0.83333333333333337</v>
      </c>
      <c r="J8" s="125">
        <f t="shared" si="1"/>
        <v>0.83333333333333337</v>
      </c>
    </row>
    <row r="9" spans="1:10" ht="42.75" customHeight="1">
      <c r="A9" s="52">
        <v>5</v>
      </c>
      <c r="B9" s="122" t="s">
        <v>207</v>
      </c>
      <c r="C9" s="122"/>
      <c r="D9" s="122"/>
      <c r="E9" s="123"/>
      <c r="F9" s="123" t="s">
        <v>63</v>
      </c>
      <c r="G9" s="55"/>
      <c r="H9" s="27">
        <v>10</v>
      </c>
      <c r="I9" s="124">
        <f t="shared" si="0"/>
        <v>0.83333333333333337</v>
      </c>
      <c r="J9" s="125">
        <f t="shared" si="1"/>
        <v>0.83333333333333337</v>
      </c>
    </row>
    <row r="10" spans="1:10" ht="28.5" customHeight="1">
      <c r="A10" s="52">
        <v>6</v>
      </c>
      <c r="B10" s="122" t="s">
        <v>432</v>
      </c>
      <c r="C10" s="122"/>
      <c r="D10" s="122"/>
      <c r="E10" s="123"/>
      <c r="F10" s="123" t="s">
        <v>63</v>
      </c>
      <c r="G10" s="55"/>
      <c r="H10" s="27">
        <v>10</v>
      </c>
      <c r="I10" s="124">
        <f t="shared" si="0"/>
        <v>0.83333333333333337</v>
      </c>
      <c r="J10" s="125">
        <f t="shared" si="1"/>
        <v>0.83333333333333337</v>
      </c>
    </row>
    <row r="11" spans="1:10" ht="28.5" customHeight="1">
      <c r="A11" s="52">
        <v>7</v>
      </c>
      <c r="B11" s="122" t="s">
        <v>433</v>
      </c>
      <c r="C11" s="122"/>
      <c r="D11" s="122"/>
      <c r="E11" s="123"/>
      <c r="F11" s="123" t="s">
        <v>63</v>
      </c>
      <c r="G11" s="55"/>
      <c r="H11" s="27">
        <v>6</v>
      </c>
      <c r="I11" s="124">
        <f t="shared" si="0"/>
        <v>0.5</v>
      </c>
      <c r="J11" s="125">
        <f t="shared" si="1"/>
        <v>0.5</v>
      </c>
    </row>
    <row r="12" spans="1:10" ht="42.75" customHeight="1">
      <c r="A12" s="52">
        <v>8</v>
      </c>
      <c r="B12" s="122" t="s">
        <v>434</v>
      </c>
      <c r="C12" s="122"/>
      <c r="D12" s="122"/>
      <c r="E12" s="123" t="s">
        <v>63</v>
      </c>
      <c r="F12" s="123"/>
      <c r="G12" s="55"/>
      <c r="H12" s="27">
        <v>2</v>
      </c>
      <c r="I12" s="124">
        <f t="shared" si="0"/>
        <v>0.16666666666666666</v>
      </c>
      <c r="J12" s="125">
        <f t="shared" si="1"/>
        <v>0</v>
      </c>
    </row>
    <row r="13" spans="1:10" ht="42.75" customHeight="1">
      <c r="A13" s="52">
        <v>9</v>
      </c>
      <c r="B13" s="122" t="s">
        <v>435</v>
      </c>
      <c r="C13" s="122"/>
      <c r="D13" s="122"/>
      <c r="E13" s="123" t="s">
        <v>63</v>
      </c>
      <c r="F13" s="123"/>
      <c r="G13" s="55"/>
      <c r="H13" s="27">
        <v>10</v>
      </c>
      <c r="I13" s="124">
        <f t="shared" si="0"/>
        <v>0.83333333333333337</v>
      </c>
      <c r="J13" s="125">
        <f t="shared" si="1"/>
        <v>0</v>
      </c>
    </row>
    <row r="14" spans="1:10" ht="42.75" customHeight="1">
      <c r="A14" s="52">
        <v>10</v>
      </c>
      <c r="B14" s="122" t="s">
        <v>215</v>
      </c>
      <c r="C14" s="122"/>
      <c r="D14" s="122"/>
      <c r="E14" s="123"/>
      <c r="F14" s="123" t="s">
        <v>63</v>
      </c>
      <c r="G14" s="55"/>
      <c r="H14" s="27">
        <v>10</v>
      </c>
      <c r="I14" s="124">
        <f t="shared" si="0"/>
        <v>0.83333333333333337</v>
      </c>
      <c r="J14" s="125">
        <f t="shared" si="1"/>
        <v>0.83333333333333337</v>
      </c>
    </row>
    <row r="15" spans="1:10" ht="42.75" customHeight="1">
      <c r="A15" s="52">
        <v>11</v>
      </c>
      <c r="B15" s="122" t="s">
        <v>436</v>
      </c>
      <c r="C15" s="122"/>
      <c r="D15" s="122"/>
      <c r="E15" s="123" t="s">
        <v>63</v>
      </c>
      <c r="F15" s="123"/>
      <c r="G15" s="55"/>
      <c r="H15" s="27">
        <v>10</v>
      </c>
      <c r="I15" s="124">
        <f t="shared" si="0"/>
        <v>0.83333333333333337</v>
      </c>
      <c r="J15" s="125">
        <f t="shared" si="1"/>
        <v>0</v>
      </c>
    </row>
    <row r="16" spans="1:10" ht="42.75" customHeight="1">
      <c r="A16" s="52">
        <v>12</v>
      </c>
      <c r="B16" s="122" t="s">
        <v>437</v>
      </c>
      <c r="C16" s="122"/>
      <c r="D16" s="122"/>
      <c r="E16" s="123"/>
      <c r="F16" s="123" t="s">
        <v>63</v>
      </c>
      <c r="G16" s="55"/>
      <c r="H16" s="27">
        <v>10</v>
      </c>
      <c r="I16" s="124">
        <f t="shared" si="0"/>
        <v>0.83333333333333337</v>
      </c>
      <c r="J16" s="125">
        <f t="shared" si="1"/>
        <v>0.83333333333333337</v>
      </c>
    </row>
    <row r="17" spans="1:10" ht="42.75" customHeight="1">
      <c r="A17" s="52">
        <v>13</v>
      </c>
      <c r="B17" s="122" t="s">
        <v>438</v>
      </c>
      <c r="C17" s="122"/>
      <c r="D17" s="122"/>
      <c r="E17" s="123"/>
      <c r="F17" s="123" t="s">
        <v>63</v>
      </c>
      <c r="G17" s="55"/>
      <c r="H17" s="27">
        <v>10</v>
      </c>
      <c r="I17" s="124">
        <f t="shared" si="0"/>
        <v>0.83333333333333337</v>
      </c>
      <c r="J17" s="125">
        <f t="shared" si="1"/>
        <v>0.83333333333333337</v>
      </c>
    </row>
    <row r="18" spans="1:10" ht="42.75" customHeight="1">
      <c r="A18" s="52">
        <v>14</v>
      </c>
      <c r="B18" s="122" t="s">
        <v>439</v>
      </c>
      <c r="C18" s="122"/>
      <c r="D18" s="122"/>
      <c r="E18" s="123"/>
      <c r="F18" s="123" t="s">
        <v>63</v>
      </c>
      <c r="G18" s="55"/>
      <c r="H18" s="27">
        <v>10</v>
      </c>
      <c r="I18" s="124">
        <f t="shared" si="0"/>
        <v>0.83333333333333337</v>
      </c>
      <c r="J18" s="125">
        <f t="shared" si="1"/>
        <v>0.83333333333333337</v>
      </c>
    </row>
    <row r="19" spans="1:10">
      <c r="A19" s="112" t="s">
        <v>71</v>
      </c>
      <c r="B19" s="112"/>
      <c r="C19" s="112"/>
      <c r="D19" s="112"/>
      <c r="E19" s="112"/>
      <c r="F19" s="112"/>
      <c r="G19" s="112"/>
      <c r="H19" s="112"/>
      <c r="I19" s="37">
        <f>SUM(I5:I18)</f>
        <v>10.000000000000002</v>
      </c>
      <c r="J19" s="36">
        <f>SUM(J5:J18)</f>
        <v>8.1666666666666661</v>
      </c>
    </row>
  </sheetData>
  <mergeCells count="22">
    <mergeCell ref="A19:H19"/>
    <mergeCell ref="B8:D8"/>
    <mergeCell ref="B9:D9"/>
    <mergeCell ref="B10:D10"/>
    <mergeCell ref="B11:D11"/>
    <mergeCell ref="B12:D12"/>
    <mergeCell ref="B13:D13"/>
    <mergeCell ref="B14:D14"/>
    <mergeCell ref="B15:D15"/>
    <mergeCell ref="B16:D16"/>
    <mergeCell ref="B17:D17"/>
    <mergeCell ref="B18:D18"/>
    <mergeCell ref="A1:B1"/>
    <mergeCell ref="A2:B2"/>
    <mergeCell ref="C1:J1"/>
    <mergeCell ref="C2:J2"/>
    <mergeCell ref="B7:D7"/>
    <mergeCell ref="A3:B3"/>
    <mergeCell ref="E3:J3"/>
    <mergeCell ref="B4:D4"/>
    <mergeCell ref="B5:D5"/>
    <mergeCell ref="B6:D6"/>
  </mergeCells>
  <pageMargins left="0.7" right="0.7" top="0.75" bottom="0.75" header="0.3" footer="0.3"/>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9FC3E-C385-4E67-B90C-BF89B87C076E}">
  <sheetPr>
    <tabColor rgb="FFFF5050"/>
  </sheetPr>
  <dimension ref="A1:I15"/>
  <sheetViews>
    <sheetView workbookViewId="0">
      <pane xSplit="3" ySplit="4" topLeftCell="D5" activePane="bottomRight" state="frozen"/>
      <selection pane="bottomRight" activeCell="B9" sqref="A1:I15"/>
      <selection pane="bottomLeft" sqref="A1:B1"/>
      <selection pane="topRight" sqref="A1:B1"/>
    </sheetView>
  </sheetViews>
  <sheetFormatPr defaultColWidth="11.42578125" defaultRowHeight="14.25"/>
  <cols>
    <col min="1" max="1" width="4.7109375" style="21" customWidth="1"/>
    <col min="2" max="3" width="17.7109375" style="21" customWidth="1"/>
    <col min="4" max="5" width="4.7109375" style="21" customWidth="1"/>
    <col min="6" max="6" width="9.7109375" style="21" customWidth="1"/>
    <col min="7" max="7" width="12" style="21" bestFit="1" customWidth="1"/>
    <col min="8" max="8" width="12" style="21" customWidth="1"/>
    <col min="9" max="9" width="12" style="21" bestFit="1" customWidth="1"/>
    <col min="10" max="16384" width="11.42578125" style="21"/>
  </cols>
  <sheetData>
    <row r="1" spans="1:9" ht="15">
      <c r="A1" s="70" t="s">
        <v>51</v>
      </c>
      <c r="B1" s="70"/>
      <c r="C1" s="84" t="s">
        <v>339</v>
      </c>
      <c r="D1" s="120"/>
      <c r="E1" s="120"/>
      <c r="F1" s="120"/>
      <c r="G1" s="120"/>
      <c r="H1" s="120"/>
      <c r="I1" s="121"/>
    </row>
    <row r="2" spans="1:9" ht="15">
      <c r="A2" s="70" t="s">
        <v>0</v>
      </c>
      <c r="B2" s="70"/>
      <c r="C2" s="84" t="s">
        <v>338</v>
      </c>
      <c r="D2" s="120"/>
      <c r="E2" s="120"/>
      <c r="F2" s="120"/>
      <c r="G2" s="120"/>
      <c r="H2" s="120"/>
      <c r="I2" s="121"/>
    </row>
    <row r="3" spans="1:9" ht="15">
      <c r="A3" s="70" t="s">
        <v>218</v>
      </c>
      <c r="B3" s="70"/>
      <c r="C3" s="55" t="s">
        <v>219</v>
      </c>
      <c r="D3" s="122">
        <v>130</v>
      </c>
      <c r="E3" s="122"/>
      <c r="F3" s="122"/>
      <c r="G3" s="122"/>
      <c r="H3" s="122"/>
      <c r="I3" s="122"/>
    </row>
    <row r="4" spans="1:9" ht="60">
      <c r="A4" s="52" t="s">
        <v>55</v>
      </c>
      <c r="B4" s="70" t="s">
        <v>56</v>
      </c>
      <c r="C4" s="70"/>
      <c r="D4" s="52" t="s">
        <v>24</v>
      </c>
      <c r="E4" s="52" t="s">
        <v>57</v>
      </c>
      <c r="F4" s="52" t="s">
        <v>58</v>
      </c>
      <c r="G4" s="52" t="s">
        <v>59</v>
      </c>
      <c r="H4" s="52" t="s">
        <v>60</v>
      </c>
      <c r="I4" s="52" t="s">
        <v>61</v>
      </c>
    </row>
    <row r="5" spans="1:9" ht="47.25" customHeight="1">
      <c r="A5" s="52">
        <v>1</v>
      </c>
      <c r="B5" s="122" t="s">
        <v>220</v>
      </c>
      <c r="C5" s="122"/>
      <c r="D5" s="123"/>
      <c r="E5" s="123" t="s">
        <v>63</v>
      </c>
      <c r="F5" s="123"/>
      <c r="G5" s="123">
        <v>10</v>
      </c>
      <c r="H5" s="124">
        <f>(G5*10)/SUM($G$5:$G$14)</f>
        <v>1.7857142857142858</v>
      </c>
      <c r="I5" s="125">
        <f>IF(E5="X",((G5*10)/SUM($G$5:$G$14)),0)</f>
        <v>1.7857142857142858</v>
      </c>
    </row>
    <row r="6" spans="1:9" ht="47.25" customHeight="1">
      <c r="A6" s="52">
        <v>2</v>
      </c>
      <c r="B6" s="122" t="s">
        <v>221</v>
      </c>
      <c r="C6" s="122"/>
      <c r="D6" s="123"/>
      <c r="E6" s="123" t="s">
        <v>63</v>
      </c>
      <c r="F6" s="123"/>
      <c r="G6" s="123">
        <v>2</v>
      </c>
      <c r="H6" s="124">
        <f t="shared" ref="H6:H14" si="0">(G6*10)/SUM($G$5:$G$14)</f>
        <v>0.35714285714285715</v>
      </c>
      <c r="I6" s="125">
        <f t="shared" ref="I6:I14" si="1">IF(E6="X",((G6*10)/SUM($G$5:$G$14)),0)</f>
        <v>0.35714285714285715</v>
      </c>
    </row>
    <row r="7" spans="1:9" ht="31.5" customHeight="1">
      <c r="A7" s="52">
        <v>3</v>
      </c>
      <c r="B7" s="122" t="s">
        <v>222</v>
      </c>
      <c r="C7" s="122"/>
      <c r="D7" s="123"/>
      <c r="E7" s="123" t="s">
        <v>63</v>
      </c>
      <c r="F7" s="123"/>
      <c r="G7" s="123">
        <v>6</v>
      </c>
      <c r="H7" s="124">
        <f t="shared" si="0"/>
        <v>1.0714285714285714</v>
      </c>
      <c r="I7" s="125">
        <f t="shared" si="1"/>
        <v>1.0714285714285714</v>
      </c>
    </row>
    <row r="8" spans="1:9" ht="59.25" customHeight="1">
      <c r="A8" s="52">
        <v>4</v>
      </c>
      <c r="B8" s="122" t="s">
        <v>223</v>
      </c>
      <c r="C8" s="122"/>
      <c r="D8" s="123"/>
      <c r="E8" s="123" t="s">
        <v>63</v>
      </c>
      <c r="F8" s="123"/>
      <c r="G8" s="123">
        <v>10</v>
      </c>
      <c r="H8" s="124">
        <f t="shared" si="0"/>
        <v>1.7857142857142858</v>
      </c>
      <c r="I8" s="125">
        <f t="shared" si="1"/>
        <v>1.7857142857142858</v>
      </c>
    </row>
    <row r="9" spans="1:9" ht="43.5" customHeight="1">
      <c r="A9" s="52">
        <v>5</v>
      </c>
      <c r="B9" s="122" t="s">
        <v>224</v>
      </c>
      <c r="C9" s="122"/>
      <c r="D9" s="123" t="s">
        <v>63</v>
      </c>
      <c r="E9" s="123"/>
      <c r="F9" s="123"/>
      <c r="G9" s="123">
        <v>6</v>
      </c>
      <c r="H9" s="124">
        <f t="shared" si="0"/>
        <v>1.0714285714285714</v>
      </c>
      <c r="I9" s="125">
        <f t="shared" si="1"/>
        <v>0</v>
      </c>
    </row>
    <row r="10" spans="1:9" ht="58.5" customHeight="1">
      <c r="A10" s="52">
        <v>6</v>
      </c>
      <c r="B10" s="122" t="s">
        <v>225</v>
      </c>
      <c r="C10" s="122"/>
      <c r="D10" s="123"/>
      <c r="E10" s="123" t="s">
        <v>63</v>
      </c>
      <c r="F10" s="123"/>
      <c r="G10" s="123">
        <v>6</v>
      </c>
      <c r="H10" s="124">
        <f t="shared" si="0"/>
        <v>1.0714285714285714</v>
      </c>
      <c r="I10" s="125">
        <f t="shared" si="1"/>
        <v>1.0714285714285714</v>
      </c>
    </row>
    <row r="11" spans="1:9" ht="47.25" customHeight="1">
      <c r="A11" s="52">
        <v>7</v>
      </c>
      <c r="B11" s="122" t="s">
        <v>226</v>
      </c>
      <c r="C11" s="122"/>
      <c r="D11" s="123"/>
      <c r="E11" s="123" t="s">
        <v>63</v>
      </c>
      <c r="F11" s="123"/>
      <c r="G11" s="123">
        <v>6</v>
      </c>
      <c r="H11" s="124">
        <f t="shared" si="0"/>
        <v>1.0714285714285714</v>
      </c>
      <c r="I11" s="125">
        <f t="shared" si="1"/>
        <v>1.0714285714285714</v>
      </c>
    </row>
    <row r="12" spans="1:9" ht="47.25" customHeight="1">
      <c r="A12" s="52">
        <v>8</v>
      </c>
      <c r="B12" s="122" t="s">
        <v>227</v>
      </c>
      <c r="C12" s="122"/>
      <c r="D12" s="123"/>
      <c r="E12" s="123" t="s">
        <v>63</v>
      </c>
      <c r="F12" s="123"/>
      <c r="G12" s="123">
        <v>6</v>
      </c>
      <c r="H12" s="124">
        <f t="shared" si="0"/>
        <v>1.0714285714285714</v>
      </c>
      <c r="I12" s="125">
        <f t="shared" si="1"/>
        <v>1.0714285714285714</v>
      </c>
    </row>
    <row r="13" spans="1:9" ht="47.25" customHeight="1">
      <c r="A13" s="52">
        <v>9</v>
      </c>
      <c r="B13" s="122" t="s">
        <v>228</v>
      </c>
      <c r="C13" s="122"/>
      <c r="D13" s="123"/>
      <c r="E13" s="123" t="s">
        <v>63</v>
      </c>
      <c r="F13" s="123"/>
      <c r="G13" s="123">
        <v>2</v>
      </c>
      <c r="H13" s="124">
        <f t="shared" si="0"/>
        <v>0.35714285714285715</v>
      </c>
      <c r="I13" s="125">
        <f t="shared" si="1"/>
        <v>0.35714285714285715</v>
      </c>
    </row>
    <row r="14" spans="1:9" ht="63" customHeight="1">
      <c r="A14" s="52">
        <v>10</v>
      </c>
      <c r="B14" s="122" t="s">
        <v>229</v>
      </c>
      <c r="C14" s="122"/>
      <c r="D14" s="123"/>
      <c r="E14" s="123" t="s">
        <v>63</v>
      </c>
      <c r="F14" s="123"/>
      <c r="G14" s="123">
        <v>2</v>
      </c>
      <c r="H14" s="124">
        <f t="shared" si="0"/>
        <v>0.35714285714285715</v>
      </c>
      <c r="I14" s="125">
        <f t="shared" si="1"/>
        <v>0.35714285714285715</v>
      </c>
    </row>
    <row r="15" spans="1:9" ht="15.75" customHeight="1">
      <c r="A15" s="83" t="s">
        <v>71</v>
      </c>
      <c r="B15" s="83"/>
      <c r="C15" s="83"/>
      <c r="D15" s="83"/>
      <c r="E15" s="83"/>
      <c r="F15" s="83"/>
      <c r="G15" s="83"/>
      <c r="H15" s="28">
        <f>SUM(H5:H14)</f>
        <v>10</v>
      </c>
      <c r="I15" s="20">
        <f>SUM(I5:I14)</f>
        <v>8.9285714285714288</v>
      </c>
    </row>
  </sheetData>
  <mergeCells count="18">
    <mergeCell ref="B14:C14"/>
    <mergeCell ref="A15:G15"/>
    <mergeCell ref="B8:C8"/>
    <mergeCell ref="B9:C9"/>
    <mergeCell ref="B10:C10"/>
    <mergeCell ref="B11:C11"/>
    <mergeCell ref="B12:C12"/>
    <mergeCell ref="B13:C13"/>
    <mergeCell ref="A1:B1"/>
    <mergeCell ref="A2:B2"/>
    <mergeCell ref="C2:I2"/>
    <mergeCell ref="C1:I1"/>
    <mergeCell ref="B7:C7"/>
    <mergeCell ref="A3:B3"/>
    <mergeCell ref="D3:I3"/>
    <mergeCell ref="B4:C4"/>
    <mergeCell ref="B5:C5"/>
    <mergeCell ref="B6:C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BUCHELI GARCIA JORGE ALEXANDER</dc:creator>
  <cp:keywords/>
  <dc:description/>
  <cp:lastModifiedBy/>
  <cp:revision/>
  <dcterms:created xsi:type="dcterms:W3CDTF">2025-11-06T16:15:55Z</dcterms:created>
  <dcterms:modified xsi:type="dcterms:W3CDTF">2026-08-03T12:50:07Z</dcterms:modified>
  <cp:category/>
  <cp:contentStatus/>
</cp:coreProperties>
</file>