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mantha\Downloads\"/>
    </mc:Choice>
  </mc:AlternateContent>
  <xr:revisionPtr revIDLastSave="0" documentId="13_ncr:1_{313EC066-C54F-4731-8B92-C8636148DEFB}" xr6:coauthVersionLast="47" xr6:coauthVersionMax="47" xr10:uidLastSave="{00000000-0000-0000-0000-000000000000}"/>
  <bookViews>
    <workbookView xWindow="-120" yWindow="-120" windowWidth="20730" windowHeight="11160" xr2:uid="{A88745B3-630F-452E-B0E5-432E1393F28E}"/>
  </bookViews>
  <sheets>
    <sheet name="E-Resumen" sheetId="1" r:id="rId1"/>
    <sheet name="E-RL-OI" sheetId="103" r:id="rId2"/>
    <sheet name="E-RM-CDN" sheetId="49" r:id="rId3"/>
    <sheet name="E-RM-CMN" sheetId="40" r:id="rId4"/>
    <sheet name="E-RM-COD" sheetId="51" r:id="rId5"/>
    <sheet name="E-RM-COM" sheetId="41" r:id="rId6"/>
    <sheet name="E-RM-CGOH" sheetId="42" r:id="rId7"/>
    <sheet name="E-RM-PFP" sheetId="43" r:id="rId8"/>
    <sheet name="E-RM-APEO" sheetId="44" r:id="rId9"/>
    <sheet name="E-RM-AGV" sheetId="45" r:id="rId10"/>
    <sheet name="E-RM-ORAa" sheetId="46" r:id="rId11"/>
    <sheet name="E-RM-ORAb" sheetId="47" r:id="rId12"/>
    <sheet name="E-RE-CE" sheetId="48" r:id="rId13"/>
    <sheet name="E-RIM-CTa" sheetId="88" r:id="rId14"/>
    <sheet name="E-RIM-CTb" sheetId="89" r:id="rId15"/>
    <sheet name="E-RIM-CTc" sheetId="90" r:id="rId16"/>
    <sheet name="E-RC-RF-R" sheetId="110" r:id="rId17"/>
    <sheet name="E-RC-RF-V" sheetId="117" r:id="rId18"/>
    <sheet name="E-RC-RF-RI" sheetId="170" r:id="rId19"/>
    <sheet name="E-RC-RF-I" sheetId="113" r:id="rId20"/>
    <sheet name="E-OP-RM-CMN (2)" sheetId="171" state="hidden" r:id="rId21"/>
    <sheet name="E-OP-RM-CGOH (2)" sheetId="172" state="hidden" r:id="rId22"/>
    <sheet name="E-RC-RE-S" sheetId="115" r:id="rId23"/>
    <sheet name="E-RC-RQ-ESN" sheetId="150" r:id="rId24"/>
    <sheet name="I-Resumen" sheetId="265" r:id="rId25"/>
    <sheet name="I-RL-OI" sheetId="183" r:id="rId26"/>
    <sheet name="I-RM-CDN" sheetId="186" r:id="rId27"/>
    <sheet name="I-RM-CMN" sheetId="187" r:id="rId28"/>
    <sheet name="I-RM-COD" sheetId="188" r:id="rId29"/>
    <sheet name="I-RM-COM" sheetId="189" r:id="rId30"/>
    <sheet name="I-RM-GCOH" sheetId="190" r:id="rId31"/>
    <sheet name="I-RM-PFP" sheetId="191" r:id="rId32"/>
    <sheet name="I-RM-APEO" sheetId="192" r:id="rId33"/>
    <sheet name="I-RM-AVM" sheetId="193" r:id="rId34"/>
    <sheet name="I-RM-AGV" sheetId="226" r:id="rId35"/>
    <sheet name="I-RM-ORAa" sheetId="195" r:id="rId36"/>
    <sheet name="I-RM-ORAb" sheetId="196" r:id="rId37"/>
    <sheet name="I-RM-OE-AI" sheetId="185" r:id="rId38"/>
    <sheet name="I-RE-CE" sheetId="197" r:id="rId39"/>
    <sheet name="I-RIM-CTa" sheetId="266" r:id="rId40"/>
    <sheet name="I-RIM-CTb" sheetId="267" r:id="rId41"/>
    <sheet name="I-RIM-CTc" sheetId="268" r:id="rId42"/>
    <sheet name="I-RC-RF-R" sheetId="181" r:id="rId43"/>
    <sheet name="I-RC-RF-V" sheetId="184" r:id="rId44"/>
    <sheet name="I-RC-RF-RI" sheetId="269" r:id="rId45"/>
    <sheet name="I-RC-RF-I" sheetId="182" r:id="rId46"/>
    <sheet name="I-RC-RQ-ESN" sheetId="270" r:id="rId47"/>
    <sheet name="I-RC-RE-S" sheetId="199" r:id="rId48"/>
  </sheets>
  <definedNames>
    <definedName name="_Hlk210070090" localSheetId="14">'E-RIM-CTb'!$A$3</definedName>
    <definedName name="_Hlk210070090" localSheetId="40">'I-RIM-CTb'!$A$3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5" i="270" l="1"/>
  <c r="H15" i="270"/>
  <c r="I14" i="270"/>
  <c r="H14" i="270"/>
  <c r="I13" i="270"/>
  <c r="H13" i="270"/>
  <c r="I12" i="270"/>
  <c r="H12" i="270"/>
  <c r="I11" i="270"/>
  <c r="H11" i="270"/>
  <c r="I10" i="270"/>
  <c r="H10" i="270"/>
  <c r="I9" i="270"/>
  <c r="H9" i="270"/>
  <c r="I8" i="270"/>
  <c r="H8" i="270"/>
  <c r="I7" i="270"/>
  <c r="H7" i="270"/>
  <c r="I6" i="270"/>
  <c r="H6" i="270"/>
  <c r="I5" i="270"/>
  <c r="I16" i="270" s="1"/>
  <c r="H5" i="270"/>
  <c r="H16" i="270" s="1"/>
  <c r="I18" i="269"/>
  <c r="H18" i="269"/>
  <c r="I17" i="269"/>
  <c r="H17" i="269"/>
  <c r="I16" i="269"/>
  <c r="H16" i="269"/>
  <c r="I15" i="269"/>
  <c r="H15" i="269"/>
  <c r="I14" i="269"/>
  <c r="H14" i="269"/>
  <c r="I13" i="269"/>
  <c r="H13" i="269"/>
  <c r="I12" i="269"/>
  <c r="H12" i="269"/>
  <c r="I11" i="269"/>
  <c r="H11" i="269"/>
  <c r="I10" i="269"/>
  <c r="H10" i="269"/>
  <c r="I9" i="269"/>
  <c r="H9" i="269"/>
  <c r="I8" i="269"/>
  <c r="H8" i="269"/>
  <c r="I7" i="269"/>
  <c r="H7" i="269"/>
  <c r="I6" i="269"/>
  <c r="H6" i="269"/>
  <c r="I5" i="269"/>
  <c r="I19" i="269" s="1"/>
  <c r="H5" i="269"/>
  <c r="H19" i="269" s="1"/>
  <c r="J12" i="268"/>
  <c r="I12" i="268"/>
  <c r="J11" i="268"/>
  <c r="I11" i="268"/>
  <c r="J10" i="268"/>
  <c r="I10" i="268"/>
  <c r="J9" i="268"/>
  <c r="I9" i="268"/>
  <c r="J8" i="268"/>
  <c r="I8" i="268"/>
  <c r="J7" i="268"/>
  <c r="I7" i="268"/>
  <c r="J6" i="268"/>
  <c r="I6" i="268"/>
  <c r="J5" i="268"/>
  <c r="J13" i="268" s="1"/>
  <c r="I5" i="268"/>
  <c r="I13" i="268" s="1"/>
  <c r="J17" i="267"/>
  <c r="I17" i="267"/>
  <c r="J16" i="267"/>
  <c r="I16" i="267"/>
  <c r="J15" i="267"/>
  <c r="I15" i="267"/>
  <c r="J14" i="267"/>
  <c r="I14" i="267"/>
  <c r="J13" i="267"/>
  <c r="I13" i="267"/>
  <c r="J12" i="267"/>
  <c r="I12" i="267"/>
  <c r="J11" i="267"/>
  <c r="I11" i="267"/>
  <c r="J10" i="267"/>
  <c r="I10" i="267"/>
  <c r="J9" i="267"/>
  <c r="I9" i="267"/>
  <c r="J8" i="267"/>
  <c r="I8" i="267"/>
  <c r="J7" i="267"/>
  <c r="I7" i="267"/>
  <c r="J6" i="267"/>
  <c r="I6" i="267"/>
  <c r="I18" i="267" s="1"/>
  <c r="J5" i="267"/>
  <c r="J18" i="267" s="1"/>
  <c r="I5" i="267"/>
  <c r="J13" i="266"/>
  <c r="I13" i="266"/>
  <c r="J12" i="266"/>
  <c r="I12" i="266"/>
  <c r="J11" i="266"/>
  <c r="I11" i="266"/>
  <c r="J10" i="266"/>
  <c r="I10" i="266"/>
  <c r="J9" i="266"/>
  <c r="I9" i="266"/>
  <c r="J8" i="266"/>
  <c r="I8" i="266"/>
  <c r="J7" i="266"/>
  <c r="I7" i="266"/>
  <c r="J6" i="266"/>
  <c r="I6" i="266"/>
  <c r="I14" i="266" s="1"/>
  <c r="J5" i="266"/>
  <c r="J14" i="266" s="1"/>
  <c r="I5" i="266"/>
  <c r="R15" i="265"/>
  <c r="O15" i="265"/>
  <c r="P15" i="265" s="1"/>
  <c r="Q15" i="265" s="1"/>
  <c r="N15" i="265"/>
  <c r="K15" i="265"/>
  <c r="L15" i="265" s="1"/>
  <c r="J15" i="265"/>
  <c r="H15" i="265"/>
  <c r="F15" i="265"/>
  <c r="E15" i="265"/>
  <c r="C15" i="265"/>
  <c r="R14" i="265"/>
  <c r="O14" i="265"/>
  <c r="P14" i="265" s="1"/>
  <c r="Q14" i="265" s="1"/>
  <c r="N14" i="265"/>
  <c r="K14" i="265"/>
  <c r="L14" i="265" s="1"/>
  <c r="J14" i="265"/>
  <c r="H14" i="265"/>
  <c r="F14" i="265"/>
  <c r="E14" i="265"/>
  <c r="C14" i="265"/>
  <c r="R13" i="265"/>
  <c r="O13" i="265"/>
  <c r="P13" i="265" s="1"/>
  <c r="Q13" i="265" s="1"/>
  <c r="N13" i="265"/>
  <c r="K13" i="265"/>
  <c r="L13" i="265" s="1"/>
  <c r="J13" i="265"/>
  <c r="H13" i="265"/>
  <c r="F13" i="265"/>
  <c r="E13" i="265"/>
  <c r="C13" i="265"/>
  <c r="R12" i="265"/>
  <c r="O12" i="265"/>
  <c r="P12" i="265" s="1"/>
  <c r="Q12" i="265" s="1"/>
  <c r="N12" i="265"/>
  <c r="K12" i="265"/>
  <c r="L12" i="265" s="1"/>
  <c r="J12" i="265"/>
  <c r="H12" i="265"/>
  <c r="F12" i="265"/>
  <c r="E12" i="265"/>
  <c r="C12" i="265"/>
  <c r="R11" i="265"/>
  <c r="O11" i="265"/>
  <c r="P11" i="265" s="1"/>
  <c r="Q11" i="265" s="1"/>
  <c r="N11" i="265"/>
  <c r="K11" i="265"/>
  <c r="L11" i="265" s="1"/>
  <c r="J11" i="265"/>
  <c r="H11" i="265"/>
  <c r="F11" i="265"/>
  <c r="E11" i="265"/>
  <c r="C11" i="265"/>
  <c r="R10" i="265"/>
  <c r="O10" i="265"/>
  <c r="P10" i="265" s="1"/>
  <c r="Q10" i="265" s="1"/>
  <c r="N10" i="265"/>
  <c r="K10" i="265"/>
  <c r="L10" i="265" s="1"/>
  <c r="J10" i="265"/>
  <c r="H10" i="265"/>
  <c r="F10" i="265"/>
  <c r="E10" i="265"/>
  <c r="C10" i="265"/>
  <c r="R9" i="265"/>
  <c r="O9" i="265"/>
  <c r="P9" i="265" s="1"/>
  <c r="Q9" i="265" s="1"/>
  <c r="N9" i="265"/>
  <c r="K9" i="265"/>
  <c r="L9" i="265" s="1"/>
  <c r="J9" i="265"/>
  <c r="H9" i="265"/>
  <c r="F9" i="265"/>
  <c r="E9" i="265"/>
  <c r="C9" i="265"/>
  <c r="R8" i="265"/>
  <c r="O8" i="265"/>
  <c r="P8" i="265" s="1"/>
  <c r="Q8" i="265" s="1"/>
  <c r="N8" i="265"/>
  <c r="K8" i="265"/>
  <c r="L8" i="265" s="1"/>
  <c r="J8" i="265"/>
  <c r="H8" i="265"/>
  <c r="F8" i="265"/>
  <c r="E8" i="265"/>
  <c r="C8" i="265"/>
  <c r="R7" i="265"/>
  <c r="O7" i="265"/>
  <c r="P7" i="265" s="1"/>
  <c r="Q7" i="265" s="1"/>
  <c r="N7" i="265"/>
  <c r="K7" i="265"/>
  <c r="L7" i="265" s="1"/>
  <c r="J7" i="265"/>
  <c r="H7" i="265"/>
  <c r="F7" i="265"/>
  <c r="E7" i="265"/>
  <c r="C7" i="265"/>
  <c r="R6" i="265"/>
  <c r="O6" i="265"/>
  <c r="P6" i="265" s="1"/>
  <c r="Q6" i="265" s="1"/>
  <c r="N6" i="265"/>
  <c r="K6" i="265"/>
  <c r="L6" i="265" s="1"/>
  <c r="J6" i="265"/>
  <c r="H6" i="265"/>
  <c r="F6" i="265"/>
  <c r="E6" i="265"/>
  <c r="C6" i="265"/>
  <c r="R5" i="265"/>
  <c r="O5" i="265"/>
  <c r="P5" i="265" s="1"/>
  <c r="Q5" i="265" s="1"/>
  <c r="N5" i="265"/>
  <c r="K5" i="265"/>
  <c r="L5" i="265" s="1"/>
  <c r="J5" i="265"/>
  <c r="H5" i="265"/>
  <c r="F5" i="265"/>
  <c r="E5" i="265"/>
  <c r="C5" i="265"/>
  <c r="R4" i="265"/>
  <c r="O4" i="265"/>
  <c r="P4" i="265" s="1"/>
  <c r="Q4" i="265" s="1"/>
  <c r="N4" i="265"/>
  <c r="K4" i="265"/>
  <c r="L4" i="265" s="1"/>
  <c r="J4" i="265"/>
  <c r="H4" i="265"/>
  <c r="F4" i="265"/>
  <c r="E4" i="265"/>
  <c r="C4" i="265"/>
  <c r="R3" i="265"/>
  <c r="O3" i="265"/>
  <c r="P3" i="265" s="1"/>
  <c r="Q3" i="265" s="1"/>
  <c r="N3" i="265"/>
  <c r="K3" i="265"/>
  <c r="L3" i="265" s="1"/>
  <c r="J3" i="265"/>
  <c r="H3" i="265"/>
  <c r="F3" i="265"/>
  <c r="E3" i="265"/>
  <c r="C3" i="265"/>
  <c r="R4" i="1"/>
  <c r="R5" i="1"/>
  <c r="R6" i="1"/>
  <c r="R7" i="1"/>
  <c r="R8" i="1"/>
  <c r="R9" i="1"/>
  <c r="R10" i="1"/>
  <c r="R11" i="1"/>
  <c r="R12" i="1"/>
  <c r="R13" i="1"/>
  <c r="R14" i="1"/>
  <c r="R15" i="1"/>
  <c r="R3" i="1"/>
  <c r="O3" i="1"/>
  <c r="O4" i="1"/>
  <c r="O5" i="1"/>
  <c r="O6" i="1"/>
  <c r="O7" i="1"/>
  <c r="O8" i="1"/>
  <c r="O9" i="1"/>
  <c r="O10" i="1"/>
  <c r="O11" i="1"/>
  <c r="O12" i="1"/>
  <c r="O13" i="1"/>
  <c r="O14" i="1"/>
  <c r="O15" i="1"/>
  <c r="J15" i="226"/>
  <c r="I15" i="226"/>
  <c r="J14" i="226"/>
  <c r="I14" i="226"/>
  <c r="J13" i="226"/>
  <c r="I13" i="226"/>
  <c r="J12" i="226"/>
  <c r="I12" i="226"/>
  <c r="J11" i="226"/>
  <c r="I11" i="226"/>
  <c r="J10" i="226"/>
  <c r="I10" i="226"/>
  <c r="J9" i="226"/>
  <c r="I9" i="226"/>
  <c r="J8" i="226"/>
  <c r="I8" i="226"/>
  <c r="J7" i="226"/>
  <c r="I7" i="226"/>
  <c r="J6" i="226"/>
  <c r="I6" i="226"/>
  <c r="J5" i="226"/>
  <c r="I5" i="226"/>
  <c r="I6" i="185"/>
  <c r="J6" i="185"/>
  <c r="I7" i="185"/>
  <c r="J7" i="185"/>
  <c r="I8" i="185"/>
  <c r="J8" i="185"/>
  <c r="I9" i="185"/>
  <c r="J9" i="185"/>
  <c r="I10" i="185"/>
  <c r="J10" i="185"/>
  <c r="I11" i="185"/>
  <c r="J11" i="185"/>
  <c r="I12" i="185"/>
  <c r="J12" i="185"/>
  <c r="I13" i="185"/>
  <c r="J13" i="185"/>
  <c r="I14" i="185"/>
  <c r="J14" i="185"/>
  <c r="J5" i="185"/>
  <c r="I5" i="185"/>
  <c r="I6" i="193"/>
  <c r="J6" i="193"/>
  <c r="I7" i="193"/>
  <c r="J7" i="193"/>
  <c r="I8" i="193"/>
  <c r="J8" i="193"/>
  <c r="I9" i="193"/>
  <c r="J9" i="193"/>
  <c r="I10" i="193"/>
  <c r="J10" i="193"/>
  <c r="I11" i="193"/>
  <c r="J11" i="193"/>
  <c r="I12" i="193"/>
  <c r="J12" i="193"/>
  <c r="I13" i="193"/>
  <c r="J13" i="193"/>
  <c r="I14" i="193"/>
  <c r="J14" i="193"/>
  <c r="I15" i="193"/>
  <c r="J15" i="193"/>
  <c r="I16" i="193"/>
  <c r="J16" i="193"/>
  <c r="I17" i="193"/>
  <c r="J17" i="193"/>
  <c r="J5" i="193"/>
  <c r="I5" i="193"/>
  <c r="I6" i="188"/>
  <c r="J6" i="188"/>
  <c r="I7" i="188"/>
  <c r="J7" i="188"/>
  <c r="I8" i="188"/>
  <c r="J8" i="188"/>
  <c r="I9" i="188"/>
  <c r="J9" i="188"/>
  <c r="I10" i="188"/>
  <c r="J10" i="188"/>
  <c r="I11" i="188"/>
  <c r="J11" i="188"/>
  <c r="I12" i="188"/>
  <c r="J12" i="188"/>
  <c r="I13" i="188"/>
  <c r="J13" i="188"/>
  <c r="J5" i="188"/>
  <c r="I5" i="188"/>
  <c r="I6" i="186"/>
  <c r="I7" i="186"/>
  <c r="I8" i="186"/>
  <c r="I9" i="186"/>
  <c r="I10" i="186"/>
  <c r="I11" i="186"/>
  <c r="I12" i="186"/>
  <c r="I13" i="186"/>
  <c r="J6" i="186"/>
  <c r="J7" i="186"/>
  <c r="J8" i="186"/>
  <c r="J9" i="186"/>
  <c r="J10" i="186"/>
  <c r="J11" i="186"/>
  <c r="J12" i="186"/>
  <c r="J13" i="186"/>
  <c r="J5" i="186"/>
  <c r="I5" i="186"/>
  <c r="H5" i="199"/>
  <c r="H6" i="199"/>
  <c r="H7" i="199"/>
  <c r="H8" i="199"/>
  <c r="H9" i="199"/>
  <c r="H10" i="199"/>
  <c r="H11" i="199"/>
  <c r="H12" i="199"/>
  <c r="H13" i="199"/>
  <c r="H14" i="199"/>
  <c r="H5" i="170"/>
  <c r="H6" i="170"/>
  <c r="H7" i="170"/>
  <c r="H8" i="170"/>
  <c r="H9" i="170"/>
  <c r="H10" i="170"/>
  <c r="H11" i="170"/>
  <c r="H12" i="170"/>
  <c r="H13" i="170"/>
  <c r="H14" i="170"/>
  <c r="H15" i="170"/>
  <c r="H16" i="170"/>
  <c r="H17" i="170"/>
  <c r="H18" i="170"/>
  <c r="I6" i="197"/>
  <c r="J6" i="197"/>
  <c r="I7" i="197"/>
  <c r="J7" i="197"/>
  <c r="I8" i="197"/>
  <c r="J8" i="197"/>
  <c r="I9" i="197"/>
  <c r="J9" i="197"/>
  <c r="I10" i="197"/>
  <c r="J10" i="197"/>
  <c r="I11" i="197"/>
  <c r="J11" i="197"/>
  <c r="I12" i="197"/>
  <c r="J12" i="197"/>
  <c r="I13" i="197"/>
  <c r="J13" i="197"/>
  <c r="I14" i="197"/>
  <c r="J14" i="197"/>
  <c r="I15" i="197"/>
  <c r="J15" i="197"/>
  <c r="I16" i="197"/>
  <c r="J16" i="197"/>
  <c r="I17" i="197"/>
  <c r="J17" i="197"/>
  <c r="I18" i="197"/>
  <c r="J18" i="197"/>
  <c r="J5" i="197"/>
  <c r="I5" i="197"/>
  <c r="I6" i="196"/>
  <c r="J6" i="196"/>
  <c r="I7" i="196"/>
  <c r="J7" i="196"/>
  <c r="I8" i="196"/>
  <c r="J8" i="196"/>
  <c r="I9" i="196"/>
  <c r="J9" i="196"/>
  <c r="I10" i="196"/>
  <c r="J10" i="196"/>
  <c r="I11" i="196"/>
  <c r="J11" i="196"/>
  <c r="I12" i="196"/>
  <c r="J12" i="196"/>
  <c r="I13" i="196"/>
  <c r="J13" i="196"/>
  <c r="I14" i="196"/>
  <c r="J14" i="196"/>
  <c r="I15" i="196"/>
  <c r="J15" i="196"/>
  <c r="I16" i="196"/>
  <c r="J16" i="196"/>
  <c r="I17" i="196"/>
  <c r="J17" i="196"/>
  <c r="J5" i="196"/>
  <c r="I5" i="196"/>
  <c r="I18" i="196" s="1"/>
  <c r="I6" i="195"/>
  <c r="J6" i="195"/>
  <c r="I7" i="195"/>
  <c r="J7" i="195"/>
  <c r="I8" i="195"/>
  <c r="J8" i="195"/>
  <c r="I9" i="195"/>
  <c r="J9" i="195"/>
  <c r="I10" i="195"/>
  <c r="J10" i="195"/>
  <c r="I11" i="195"/>
  <c r="J11" i="195"/>
  <c r="I12" i="195"/>
  <c r="J12" i="195"/>
  <c r="I13" i="195"/>
  <c r="J13" i="195"/>
  <c r="I14" i="195"/>
  <c r="J14" i="195"/>
  <c r="I15" i="195"/>
  <c r="J15" i="195"/>
  <c r="I16" i="195"/>
  <c r="J16" i="195"/>
  <c r="J5" i="195"/>
  <c r="I5" i="195"/>
  <c r="I17" i="195" s="1"/>
  <c r="I6" i="192"/>
  <c r="J6" i="192"/>
  <c r="I7" i="192"/>
  <c r="J7" i="192"/>
  <c r="I8" i="192"/>
  <c r="J8" i="192"/>
  <c r="I9" i="192"/>
  <c r="J9" i="192"/>
  <c r="I10" i="192"/>
  <c r="J10" i="192"/>
  <c r="I11" i="192"/>
  <c r="J11" i="192"/>
  <c r="I12" i="192"/>
  <c r="J12" i="192"/>
  <c r="I13" i="192"/>
  <c r="J13" i="192"/>
  <c r="I14" i="192"/>
  <c r="J14" i="192"/>
  <c r="I15" i="192"/>
  <c r="J15" i="192"/>
  <c r="I16" i="192"/>
  <c r="J16" i="192"/>
  <c r="J5" i="192"/>
  <c r="I5" i="192"/>
  <c r="I6" i="191"/>
  <c r="J6" i="191"/>
  <c r="I7" i="191"/>
  <c r="J7" i="191"/>
  <c r="I8" i="191"/>
  <c r="J8" i="191"/>
  <c r="I9" i="191"/>
  <c r="J9" i="191"/>
  <c r="I10" i="191"/>
  <c r="J10" i="191"/>
  <c r="I11" i="191"/>
  <c r="J11" i="191"/>
  <c r="I12" i="191"/>
  <c r="J12" i="191"/>
  <c r="I13" i="191"/>
  <c r="J13" i="191"/>
  <c r="J5" i="191"/>
  <c r="I5" i="191"/>
  <c r="J6" i="189"/>
  <c r="J7" i="189"/>
  <c r="J8" i="189"/>
  <c r="J9" i="189"/>
  <c r="J10" i="189"/>
  <c r="J11" i="189"/>
  <c r="J12" i="189"/>
  <c r="J13" i="189"/>
  <c r="J14" i="189"/>
  <c r="J15" i="189"/>
  <c r="J5" i="189"/>
  <c r="I6" i="190"/>
  <c r="J6" i="190"/>
  <c r="I7" i="190"/>
  <c r="J7" i="190"/>
  <c r="I8" i="190"/>
  <c r="J8" i="190"/>
  <c r="I9" i="190"/>
  <c r="J9" i="190"/>
  <c r="I10" i="190"/>
  <c r="J10" i="190"/>
  <c r="I11" i="190"/>
  <c r="J11" i="190"/>
  <c r="I12" i="190"/>
  <c r="J12" i="190"/>
  <c r="I13" i="190"/>
  <c r="J13" i="190"/>
  <c r="I14" i="190"/>
  <c r="J14" i="190"/>
  <c r="I15" i="190"/>
  <c r="J15" i="190"/>
  <c r="I16" i="190"/>
  <c r="J16" i="190"/>
  <c r="I17" i="190"/>
  <c r="J17" i="190"/>
  <c r="I18" i="190"/>
  <c r="J18" i="190"/>
  <c r="J5" i="190"/>
  <c r="I5" i="190"/>
  <c r="I6" i="189"/>
  <c r="I7" i="189"/>
  <c r="I8" i="189"/>
  <c r="I9" i="189"/>
  <c r="I10" i="189"/>
  <c r="I11" i="189"/>
  <c r="I12" i="189"/>
  <c r="I13" i="189"/>
  <c r="I14" i="189"/>
  <c r="I15" i="189"/>
  <c r="I5" i="189"/>
  <c r="I6" i="187"/>
  <c r="I7" i="187"/>
  <c r="I8" i="187"/>
  <c r="I9" i="187"/>
  <c r="I10" i="187"/>
  <c r="I11" i="187"/>
  <c r="I12" i="187"/>
  <c r="I13" i="187"/>
  <c r="I14" i="187"/>
  <c r="I5" i="187"/>
  <c r="J6" i="187"/>
  <c r="J7" i="187"/>
  <c r="J8" i="187"/>
  <c r="J9" i="187"/>
  <c r="J10" i="187"/>
  <c r="J11" i="187"/>
  <c r="J12" i="187"/>
  <c r="J13" i="187"/>
  <c r="J14" i="187"/>
  <c r="J5" i="187"/>
  <c r="I14" i="199"/>
  <c r="I13" i="199"/>
  <c r="I12" i="199"/>
  <c r="I11" i="199"/>
  <c r="I10" i="199"/>
  <c r="I9" i="199"/>
  <c r="I8" i="199"/>
  <c r="I7" i="199"/>
  <c r="I6" i="199"/>
  <c r="I5" i="199"/>
  <c r="I12" i="184"/>
  <c r="H12" i="184"/>
  <c r="I11" i="184"/>
  <c r="H11" i="184"/>
  <c r="I10" i="184"/>
  <c r="H10" i="184"/>
  <c r="I9" i="184"/>
  <c r="H9" i="184"/>
  <c r="I8" i="184"/>
  <c r="H8" i="184"/>
  <c r="I7" i="184"/>
  <c r="H7" i="184"/>
  <c r="I6" i="184"/>
  <c r="H6" i="184"/>
  <c r="I5" i="184"/>
  <c r="H5" i="184"/>
  <c r="H13" i="184" s="1"/>
  <c r="J13" i="183"/>
  <c r="I13" i="183"/>
  <c r="J12" i="183"/>
  <c r="I12" i="183"/>
  <c r="J11" i="183"/>
  <c r="I11" i="183"/>
  <c r="J10" i="183"/>
  <c r="I10" i="183"/>
  <c r="J9" i="183"/>
  <c r="I9" i="183"/>
  <c r="J8" i="183"/>
  <c r="I8" i="183"/>
  <c r="J7" i="183"/>
  <c r="I7" i="183"/>
  <c r="J6" i="183"/>
  <c r="I6" i="183"/>
  <c r="J5" i="183"/>
  <c r="I5" i="183"/>
  <c r="I14" i="183" s="1"/>
  <c r="I11" i="182"/>
  <c r="H11" i="182"/>
  <c r="I10" i="182"/>
  <c r="H10" i="182"/>
  <c r="I9" i="182"/>
  <c r="H9" i="182"/>
  <c r="I8" i="182"/>
  <c r="H8" i="182"/>
  <c r="I7" i="182"/>
  <c r="H7" i="182"/>
  <c r="I6" i="182"/>
  <c r="H6" i="182"/>
  <c r="I5" i="182"/>
  <c r="H5" i="182"/>
  <c r="H12" i="182" s="1"/>
  <c r="I12" i="181"/>
  <c r="H12" i="181"/>
  <c r="I11" i="181"/>
  <c r="H11" i="181"/>
  <c r="I10" i="181"/>
  <c r="H10" i="181"/>
  <c r="I9" i="181"/>
  <c r="H9" i="181"/>
  <c r="I8" i="181"/>
  <c r="H8" i="181"/>
  <c r="I7" i="181"/>
  <c r="H7" i="181"/>
  <c r="I6" i="181"/>
  <c r="H6" i="181"/>
  <c r="I5" i="181"/>
  <c r="H5" i="181"/>
  <c r="H13" i="181" s="1"/>
  <c r="C4" i="1"/>
  <c r="C5" i="1"/>
  <c r="C6" i="1"/>
  <c r="C7" i="1"/>
  <c r="C8" i="1"/>
  <c r="C9" i="1"/>
  <c r="C10" i="1"/>
  <c r="C11" i="1"/>
  <c r="C12" i="1"/>
  <c r="C13" i="1"/>
  <c r="C14" i="1"/>
  <c r="C15" i="1"/>
  <c r="C3" i="1"/>
  <c r="I6" i="90"/>
  <c r="I7" i="90"/>
  <c r="I8" i="90"/>
  <c r="I9" i="90"/>
  <c r="I10" i="90"/>
  <c r="I11" i="90"/>
  <c r="I12" i="90"/>
  <c r="I5" i="90"/>
  <c r="I6" i="89"/>
  <c r="I7" i="89"/>
  <c r="I8" i="89"/>
  <c r="I9" i="89"/>
  <c r="I10" i="89"/>
  <c r="I11" i="89"/>
  <c r="I12" i="89"/>
  <c r="I13" i="89"/>
  <c r="I14" i="89"/>
  <c r="I15" i="89"/>
  <c r="I16" i="89"/>
  <c r="I17" i="89"/>
  <c r="I5" i="89"/>
  <c r="I5" i="88"/>
  <c r="I6" i="88"/>
  <c r="I7" i="88"/>
  <c r="I8" i="88"/>
  <c r="I9" i="88"/>
  <c r="I10" i="88"/>
  <c r="I11" i="88"/>
  <c r="I12" i="88"/>
  <c r="I13" i="88"/>
  <c r="H6" i="150"/>
  <c r="H7" i="150"/>
  <c r="H8" i="150"/>
  <c r="H9" i="150"/>
  <c r="H10" i="150"/>
  <c r="H11" i="150"/>
  <c r="H12" i="150"/>
  <c r="H13" i="150"/>
  <c r="H14" i="150"/>
  <c r="H15" i="150"/>
  <c r="H5" i="150"/>
  <c r="I6" i="51"/>
  <c r="I7" i="51"/>
  <c r="I8" i="51"/>
  <c r="I9" i="51"/>
  <c r="I10" i="51"/>
  <c r="I11" i="51"/>
  <c r="I12" i="51"/>
  <c r="I13" i="51"/>
  <c r="I14" i="51"/>
  <c r="I15" i="51"/>
  <c r="I16" i="51"/>
  <c r="I5" i="51"/>
  <c r="I6" i="49"/>
  <c r="I7" i="49"/>
  <c r="I8" i="49"/>
  <c r="I9" i="49"/>
  <c r="I10" i="49"/>
  <c r="I11" i="49"/>
  <c r="I12" i="49"/>
  <c r="I13" i="49"/>
  <c r="I14" i="49"/>
  <c r="I15" i="49"/>
  <c r="I16" i="49"/>
  <c r="I17" i="49"/>
  <c r="I18" i="49"/>
  <c r="I19" i="49"/>
  <c r="I5" i="49"/>
  <c r="H6" i="117"/>
  <c r="H7" i="117"/>
  <c r="H8" i="117"/>
  <c r="H9" i="117"/>
  <c r="H10" i="117"/>
  <c r="H11" i="117"/>
  <c r="H12" i="117"/>
  <c r="H5" i="117"/>
  <c r="H13" i="117" s="1"/>
  <c r="I5" i="117"/>
  <c r="H6" i="115"/>
  <c r="H7" i="115"/>
  <c r="H8" i="115"/>
  <c r="H9" i="115"/>
  <c r="H10" i="115"/>
  <c r="H11" i="115"/>
  <c r="H12" i="115"/>
  <c r="H13" i="115"/>
  <c r="H14" i="115"/>
  <c r="H5" i="115"/>
  <c r="I6" i="48"/>
  <c r="I7" i="48"/>
  <c r="I8" i="48"/>
  <c r="I9" i="48"/>
  <c r="I10" i="48"/>
  <c r="I11" i="48"/>
  <c r="I12" i="48"/>
  <c r="I13" i="48"/>
  <c r="I14" i="48"/>
  <c r="I15" i="48"/>
  <c r="I16" i="48"/>
  <c r="I17" i="48"/>
  <c r="I18" i="48"/>
  <c r="I19" i="48"/>
  <c r="I5" i="48"/>
  <c r="I6" i="47"/>
  <c r="I7" i="47"/>
  <c r="I8" i="47"/>
  <c r="I9" i="47"/>
  <c r="I10" i="47"/>
  <c r="I11" i="47"/>
  <c r="I12" i="47"/>
  <c r="I13" i="47"/>
  <c r="I14" i="47"/>
  <c r="I5" i="47"/>
  <c r="I6" i="46"/>
  <c r="I7" i="46"/>
  <c r="I8" i="46"/>
  <c r="I9" i="46"/>
  <c r="I10" i="46"/>
  <c r="I11" i="46"/>
  <c r="I12" i="46"/>
  <c r="I13" i="46"/>
  <c r="I14" i="46"/>
  <c r="I5" i="46"/>
  <c r="J5" i="46"/>
  <c r="I6" i="45"/>
  <c r="I7" i="45"/>
  <c r="I8" i="45"/>
  <c r="I9" i="45"/>
  <c r="I10" i="45"/>
  <c r="I11" i="45"/>
  <c r="I12" i="45"/>
  <c r="I13" i="45"/>
  <c r="I14" i="45"/>
  <c r="I15" i="45"/>
  <c r="I16" i="45"/>
  <c r="I17" i="45"/>
  <c r="I18" i="45"/>
  <c r="I5" i="45"/>
  <c r="I6" i="44"/>
  <c r="I7" i="44"/>
  <c r="I8" i="44"/>
  <c r="I9" i="44"/>
  <c r="I10" i="44"/>
  <c r="I11" i="44"/>
  <c r="I12" i="44"/>
  <c r="I13" i="44"/>
  <c r="I14" i="44"/>
  <c r="I15" i="44"/>
  <c r="I16" i="44"/>
  <c r="I5" i="44"/>
  <c r="I6" i="43"/>
  <c r="I7" i="43"/>
  <c r="I8" i="43"/>
  <c r="I9" i="43"/>
  <c r="I10" i="43"/>
  <c r="I11" i="43"/>
  <c r="I12" i="43"/>
  <c r="I5" i="43"/>
  <c r="I6" i="42"/>
  <c r="I7" i="42"/>
  <c r="I8" i="42"/>
  <c r="I9" i="42"/>
  <c r="I10" i="42"/>
  <c r="I11" i="42"/>
  <c r="I12" i="42"/>
  <c r="I13" i="42"/>
  <c r="I14" i="42"/>
  <c r="I15" i="42"/>
  <c r="I16" i="42"/>
  <c r="I5" i="42"/>
  <c r="I5" i="41"/>
  <c r="I6" i="41"/>
  <c r="I7" i="41"/>
  <c r="I8" i="41"/>
  <c r="I9" i="41"/>
  <c r="I10" i="41"/>
  <c r="I12" i="41"/>
  <c r="I13" i="41"/>
  <c r="I14" i="41"/>
  <c r="I15" i="41"/>
  <c r="I16" i="41"/>
  <c r="I11" i="41"/>
  <c r="I6" i="40"/>
  <c r="I7" i="40"/>
  <c r="I8" i="40"/>
  <c r="I9" i="40"/>
  <c r="I10" i="40"/>
  <c r="I11" i="40"/>
  <c r="I12" i="40"/>
  <c r="I13" i="40"/>
  <c r="I14" i="40"/>
  <c r="I5" i="40"/>
  <c r="I6" i="103"/>
  <c r="I7" i="103"/>
  <c r="I8" i="103"/>
  <c r="I9" i="103"/>
  <c r="I10" i="103"/>
  <c r="I11" i="103"/>
  <c r="I12" i="103"/>
  <c r="I13" i="103"/>
  <c r="I5" i="103"/>
  <c r="H6" i="113"/>
  <c r="H7" i="113"/>
  <c r="H8" i="113"/>
  <c r="H9" i="113"/>
  <c r="H10" i="113"/>
  <c r="H11" i="113"/>
  <c r="H5" i="113"/>
  <c r="H6" i="110"/>
  <c r="H7" i="110"/>
  <c r="H8" i="110"/>
  <c r="H9" i="110"/>
  <c r="H10" i="110"/>
  <c r="H11" i="110"/>
  <c r="H12" i="110"/>
  <c r="H5" i="110"/>
  <c r="I6" i="170"/>
  <c r="I7" i="170"/>
  <c r="I8" i="170"/>
  <c r="I9" i="170"/>
  <c r="I10" i="170"/>
  <c r="I11" i="170"/>
  <c r="I12" i="170"/>
  <c r="I13" i="170"/>
  <c r="I14" i="170"/>
  <c r="I15" i="170"/>
  <c r="I16" i="170"/>
  <c r="I17" i="170"/>
  <c r="I18" i="170"/>
  <c r="I5" i="170"/>
  <c r="J6" i="48"/>
  <c r="J7" i="48"/>
  <c r="J8" i="48"/>
  <c r="J9" i="48"/>
  <c r="J10" i="48"/>
  <c r="J11" i="48"/>
  <c r="J12" i="48"/>
  <c r="J13" i="48"/>
  <c r="J14" i="48"/>
  <c r="J15" i="48"/>
  <c r="J16" i="48"/>
  <c r="J17" i="48"/>
  <c r="J18" i="48"/>
  <c r="J19" i="48"/>
  <c r="J6" i="44"/>
  <c r="J7" i="44"/>
  <c r="J8" i="44"/>
  <c r="J9" i="44"/>
  <c r="J10" i="44"/>
  <c r="J11" i="44"/>
  <c r="J12" i="44"/>
  <c r="J13" i="44"/>
  <c r="J14" i="44"/>
  <c r="J15" i="44"/>
  <c r="J16" i="44"/>
  <c r="J6" i="43"/>
  <c r="J7" i="43"/>
  <c r="J8" i="43"/>
  <c r="J9" i="43"/>
  <c r="J10" i="43"/>
  <c r="J11" i="43"/>
  <c r="J12" i="43"/>
  <c r="J6" i="40"/>
  <c r="J7" i="40"/>
  <c r="J8" i="40"/>
  <c r="J9" i="40"/>
  <c r="J10" i="40"/>
  <c r="J11" i="40"/>
  <c r="J12" i="40"/>
  <c r="J13" i="40"/>
  <c r="J14" i="40"/>
  <c r="J6" i="90"/>
  <c r="J7" i="90"/>
  <c r="J8" i="90"/>
  <c r="J9" i="90"/>
  <c r="J10" i="90"/>
  <c r="J11" i="90"/>
  <c r="J12" i="90"/>
  <c r="J5" i="90"/>
  <c r="J6" i="89"/>
  <c r="J7" i="89"/>
  <c r="J8" i="89"/>
  <c r="J9" i="89"/>
  <c r="J10" i="89"/>
  <c r="J11" i="89"/>
  <c r="J12" i="89"/>
  <c r="J13" i="89"/>
  <c r="J14" i="89"/>
  <c r="J15" i="89"/>
  <c r="J16" i="89"/>
  <c r="J17" i="89"/>
  <c r="J5" i="89"/>
  <c r="J6" i="88"/>
  <c r="J7" i="88"/>
  <c r="J8" i="88"/>
  <c r="J9" i="88"/>
  <c r="J10" i="88"/>
  <c r="J11" i="88"/>
  <c r="J12" i="88"/>
  <c r="J13" i="88"/>
  <c r="J5" i="88"/>
  <c r="J5" i="40"/>
  <c r="J6" i="49"/>
  <c r="J7" i="49"/>
  <c r="J8" i="49"/>
  <c r="J9" i="49"/>
  <c r="J10" i="49"/>
  <c r="J11" i="49"/>
  <c r="J12" i="49"/>
  <c r="J13" i="49"/>
  <c r="J14" i="49"/>
  <c r="J15" i="49"/>
  <c r="J16" i="49"/>
  <c r="J17" i="49"/>
  <c r="J18" i="49"/>
  <c r="J19" i="49"/>
  <c r="J5" i="49"/>
  <c r="I11" i="150"/>
  <c r="I12" i="150"/>
  <c r="I13" i="150"/>
  <c r="I14" i="150"/>
  <c r="I15" i="150"/>
  <c r="I5" i="150"/>
  <c r="I6" i="150"/>
  <c r="I7" i="150"/>
  <c r="I8" i="150"/>
  <c r="I9" i="150"/>
  <c r="I10" i="150"/>
  <c r="I5" i="115"/>
  <c r="I6" i="115"/>
  <c r="I7" i="115"/>
  <c r="I8" i="115"/>
  <c r="I9" i="115"/>
  <c r="I10" i="115"/>
  <c r="I11" i="115"/>
  <c r="I12" i="115"/>
  <c r="I13" i="115"/>
  <c r="I14" i="115"/>
  <c r="J6" i="51"/>
  <c r="J7" i="51"/>
  <c r="J8" i="51"/>
  <c r="J9" i="51"/>
  <c r="J10" i="51"/>
  <c r="J11" i="51"/>
  <c r="J12" i="51"/>
  <c r="J13" i="51"/>
  <c r="J14" i="51"/>
  <c r="J15" i="51"/>
  <c r="J16" i="51"/>
  <c r="J5" i="51"/>
  <c r="I6" i="117"/>
  <c r="I7" i="117"/>
  <c r="I8" i="117"/>
  <c r="I9" i="117"/>
  <c r="I10" i="117"/>
  <c r="I11" i="117"/>
  <c r="I12" i="117"/>
  <c r="J5" i="48"/>
  <c r="J6" i="47"/>
  <c r="J7" i="47"/>
  <c r="J8" i="47"/>
  <c r="J9" i="47"/>
  <c r="J10" i="47"/>
  <c r="J11" i="47"/>
  <c r="J12" i="47"/>
  <c r="J13" i="47"/>
  <c r="J14" i="47"/>
  <c r="J5" i="47"/>
  <c r="J6" i="46"/>
  <c r="J7" i="46"/>
  <c r="J8" i="46"/>
  <c r="J9" i="46"/>
  <c r="J10" i="46"/>
  <c r="J11" i="46"/>
  <c r="J12" i="46"/>
  <c r="J13" i="46"/>
  <c r="J14" i="46"/>
  <c r="J6" i="45"/>
  <c r="J7" i="45"/>
  <c r="J8" i="45"/>
  <c r="J9" i="45"/>
  <c r="J10" i="45"/>
  <c r="J11" i="45"/>
  <c r="J12" i="45"/>
  <c r="J13" i="45"/>
  <c r="J14" i="45"/>
  <c r="J15" i="45"/>
  <c r="J16" i="45"/>
  <c r="J17" i="45"/>
  <c r="J18" i="45"/>
  <c r="J5" i="45"/>
  <c r="J5" i="44"/>
  <c r="J5" i="43"/>
  <c r="J9" i="42"/>
  <c r="J6" i="42"/>
  <c r="J7" i="42"/>
  <c r="J8" i="42"/>
  <c r="J10" i="42"/>
  <c r="J11" i="42"/>
  <c r="J12" i="42"/>
  <c r="J13" i="42"/>
  <c r="J14" i="42"/>
  <c r="J15" i="42"/>
  <c r="J16" i="42"/>
  <c r="J5" i="42"/>
  <c r="J16" i="41"/>
  <c r="J6" i="41"/>
  <c r="J7" i="41"/>
  <c r="J8" i="41"/>
  <c r="J9" i="41"/>
  <c r="J10" i="41"/>
  <c r="J11" i="41"/>
  <c r="J12" i="41"/>
  <c r="J13" i="41"/>
  <c r="J14" i="41"/>
  <c r="J15" i="41"/>
  <c r="J5" i="41"/>
  <c r="J11" i="103"/>
  <c r="J6" i="103"/>
  <c r="J7" i="103"/>
  <c r="J8" i="103"/>
  <c r="J9" i="103"/>
  <c r="J10" i="103"/>
  <c r="J12" i="103"/>
  <c r="J13" i="103"/>
  <c r="J5" i="103"/>
  <c r="I6" i="113"/>
  <c r="I7" i="113"/>
  <c r="I8" i="113"/>
  <c r="I9" i="113"/>
  <c r="I10" i="113"/>
  <c r="I11" i="113"/>
  <c r="I5" i="113"/>
  <c r="H16" i="172"/>
  <c r="J14" i="172" s="1"/>
  <c r="I14" i="172"/>
  <c r="J13" i="172"/>
  <c r="I13" i="172"/>
  <c r="I12" i="172"/>
  <c r="J11" i="172"/>
  <c r="I11" i="172"/>
  <c r="I10" i="172"/>
  <c r="J9" i="172"/>
  <c r="I9" i="172"/>
  <c r="I8" i="172"/>
  <c r="J7" i="172"/>
  <c r="I7" i="172"/>
  <c r="I6" i="172"/>
  <c r="J5" i="172"/>
  <c r="I5" i="172"/>
  <c r="I4" i="172"/>
  <c r="J3" i="172"/>
  <c r="I3" i="172"/>
  <c r="I15" i="172" s="1"/>
  <c r="I12" i="110"/>
  <c r="I11" i="110"/>
  <c r="I10" i="110"/>
  <c r="I9" i="110"/>
  <c r="I8" i="110"/>
  <c r="I7" i="110"/>
  <c r="I6" i="110"/>
  <c r="I5" i="110"/>
  <c r="H14" i="171"/>
  <c r="I12" i="171" s="1"/>
  <c r="I10" i="171"/>
  <c r="I9" i="171"/>
  <c r="I6" i="171"/>
  <c r="I5" i="171"/>
  <c r="I3" i="171"/>
  <c r="J15" i="1"/>
  <c r="J14" i="1"/>
  <c r="I19" i="190" l="1"/>
  <c r="I17" i="51"/>
  <c r="I14" i="88"/>
  <c r="I20" i="49"/>
  <c r="I18" i="89"/>
  <c r="I13" i="90"/>
  <c r="I14" i="103"/>
  <c r="I15" i="46"/>
  <c r="I13" i="43"/>
  <c r="I17" i="44"/>
  <c r="I19" i="45"/>
  <c r="I17" i="42"/>
  <c r="I20" i="48"/>
  <c r="I15" i="40"/>
  <c r="I15" i="47"/>
  <c r="I17" i="41"/>
  <c r="H19" i="170"/>
  <c r="H16" i="150"/>
  <c r="H15" i="115"/>
  <c r="H13" i="110"/>
  <c r="H12" i="113"/>
  <c r="J14" i="186"/>
  <c r="J14" i="191"/>
  <c r="I15" i="185"/>
  <c r="J15" i="185"/>
  <c r="I18" i="193"/>
  <c r="J18" i="193"/>
  <c r="I14" i="188"/>
  <c r="J14" i="188"/>
  <c r="I14" i="186"/>
  <c r="I19" i="197"/>
  <c r="J19" i="197"/>
  <c r="J18" i="196"/>
  <c r="J17" i="195"/>
  <c r="I16" i="226"/>
  <c r="J16" i="226"/>
  <c r="I17" i="192"/>
  <c r="J17" i="192"/>
  <c r="I14" i="191"/>
  <c r="J19" i="190"/>
  <c r="I16" i="189"/>
  <c r="J16" i="189"/>
  <c r="J15" i="187"/>
  <c r="H15" i="199"/>
  <c r="I15" i="199"/>
  <c r="I15" i="187"/>
  <c r="J14" i="183"/>
  <c r="I12" i="182"/>
  <c r="I13" i="184"/>
  <c r="I13" i="181"/>
  <c r="J17" i="42"/>
  <c r="J4" i="172"/>
  <c r="J6" i="172"/>
  <c r="J8" i="172"/>
  <c r="J10" i="172"/>
  <c r="J12" i="172"/>
  <c r="J3" i="171"/>
  <c r="J14" i="171" s="1"/>
  <c r="I7" i="171"/>
  <c r="I11" i="171"/>
  <c r="I4" i="171"/>
  <c r="I13" i="171" s="1"/>
  <c r="I8" i="171"/>
  <c r="I19" i="170"/>
  <c r="J13" i="90" l="1"/>
  <c r="J18" i="89"/>
  <c r="J14" i="88"/>
  <c r="J17" i="51"/>
  <c r="J20" i="49"/>
  <c r="J19" i="45"/>
  <c r="J13" i="43"/>
  <c r="J15" i="47"/>
  <c r="J20" i="48"/>
  <c r="J15" i="46"/>
  <c r="J17" i="44"/>
  <c r="J17" i="41"/>
  <c r="J15" i="40"/>
  <c r="J14" i="103"/>
  <c r="I12" i="113"/>
  <c r="I13" i="110"/>
  <c r="H3" i="1" s="1"/>
  <c r="H5" i="1" l="1"/>
  <c r="H4" i="1"/>
  <c r="N15" i="1"/>
  <c r="E15" i="1"/>
  <c r="F15" i="1"/>
  <c r="E3" i="1"/>
  <c r="F3" i="1"/>
  <c r="E4" i="1"/>
  <c r="F4" i="1"/>
  <c r="J3" i="1"/>
  <c r="K3" i="1"/>
  <c r="N3" i="1"/>
  <c r="J4" i="1"/>
  <c r="N4" i="1"/>
  <c r="F6" i="1"/>
  <c r="F7" i="1"/>
  <c r="F8" i="1"/>
  <c r="F9" i="1"/>
  <c r="F10" i="1"/>
  <c r="F11" i="1"/>
  <c r="F12" i="1"/>
  <c r="F13" i="1"/>
  <c r="F14" i="1"/>
  <c r="F5" i="1"/>
  <c r="J5" i="1"/>
  <c r="K5" i="1"/>
  <c r="N5" i="1"/>
  <c r="E5" i="1"/>
  <c r="N7" i="1"/>
  <c r="N8" i="1"/>
  <c r="N9" i="1"/>
  <c r="N10" i="1"/>
  <c r="N11" i="1"/>
  <c r="N12" i="1"/>
  <c r="N13" i="1"/>
  <c r="N14" i="1"/>
  <c r="J7" i="1"/>
  <c r="J8" i="1"/>
  <c r="J9" i="1"/>
  <c r="J10" i="1"/>
  <c r="J11" i="1"/>
  <c r="J12" i="1"/>
  <c r="J13" i="1"/>
  <c r="E7" i="1"/>
  <c r="E8" i="1"/>
  <c r="E9" i="1"/>
  <c r="E10" i="1"/>
  <c r="E11" i="1"/>
  <c r="E12" i="1"/>
  <c r="E13" i="1"/>
  <c r="E14" i="1"/>
  <c r="E6" i="1"/>
  <c r="H14" i="1"/>
  <c r="H13" i="1"/>
  <c r="H12" i="1"/>
  <c r="H11" i="1"/>
  <c r="H10" i="1"/>
  <c r="H9" i="1"/>
  <c r="H8" i="1"/>
  <c r="H7" i="1"/>
  <c r="H6" i="1"/>
  <c r="L3" i="1" l="1"/>
  <c r="L5" i="1"/>
  <c r="K4" i="1"/>
  <c r="K9" i="1"/>
  <c r="K13" i="1"/>
  <c r="K11" i="1"/>
  <c r="K14" i="1"/>
  <c r="K7" i="1"/>
  <c r="K12" i="1"/>
  <c r="K10" i="1"/>
  <c r="K8" i="1"/>
  <c r="P3" i="1"/>
  <c r="Q3" i="1" s="1"/>
  <c r="P5" i="1"/>
  <c r="Q5" i="1" s="1"/>
  <c r="L8" i="1" l="1"/>
  <c r="P8" i="1"/>
  <c r="Q8" i="1" s="1"/>
  <c r="L11" i="1"/>
  <c r="P11" i="1"/>
  <c r="Q11" i="1" s="1"/>
  <c r="L13" i="1"/>
  <c r="P13" i="1"/>
  <c r="Q13" i="1" s="1"/>
  <c r="L9" i="1"/>
  <c r="P9" i="1"/>
  <c r="Q9" i="1" s="1"/>
  <c r="L10" i="1"/>
  <c r="P10" i="1"/>
  <c r="Q10" i="1" s="1"/>
  <c r="L12" i="1"/>
  <c r="P12" i="1"/>
  <c r="Q12" i="1" s="1"/>
  <c r="L4" i="1"/>
  <c r="P4" i="1"/>
  <c r="Q4" i="1" s="1"/>
  <c r="L7" i="1"/>
  <c r="P7" i="1"/>
  <c r="Q7" i="1" s="1"/>
  <c r="L14" i="1"/>
  <c r="P14" i="1"/>
  <c r="Q14" i="1" s="1"/>
  <c r="K6" i="1"/>
  <c r="N6" i="1"/>
  <c r="J6" i="1"/>
  <c r="L6" i="1" l="1"/>
  <c r="P6" i="1"/>
  <c r="Q6" i="1" s="1"/>
  <c r="I15" i="115" l="1"/>
  <c r="H15" i="1" l="1"/>
  <c r="K15" i="1"/>
  <c r="L15" i="1" l="1"/>
  <c r="P15" i="1"/>
  <c r="Q15" i="1" s="1"/>
  <c r="I13" i="117"/>
  <c r="I16" i="15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Samantha Nicole Muñoz Morales</author>
  </authors>
  <commentList>
    <comment ref="G2" authorId="0" shapeId="0" xr:uid="{1F483848-9034-46FC-85CD-75299B1BCC8B}">
      <text>
        <r>
          <rPr>
            <b/>
            <sz val="9"/>
            <color indexed="81"/>
            <rFont val="Tahoma"/>
            <family val="2"/>
          </rPr>
          <t xml:space="preserve">10: Muy Deficiente (MD): </t>
        </r>
        <r>
          <rPr>
            <sz val="9"/>
            <color indexed="81"/>
            <rFont val="Tahoma"/>
            <family val="2"/>
          </rPr>
          <t xml:space="preserve">Se han detectado factores de riesgo significativos que determinan como muy posible la generación de fallos.
</t>
        </r>
        <r>
          <rPr>
            <b/>
            <sz val="9"/>
            <color indexed="81"/>
            <rFont val="Tahoma"/>
            <family val="2"/>
          </rPr>
          <t xml:space="preserve">
6: Deficiente (D): </t>
        </r>
        <r>
          <rPr>
            <sz val="9"/>
            <color indexed="81"/>
            <rFont val="Tahoma"/>
            <family val="2"/>
          </rPr>
          <t xml:space="preserve">Se ha detectado algún factor de riesgo significativo que precise ser corregido.
</t>
        </r>
        <r>
          <rPr>
            <b/>
            <sz val="9"/>
            <color indexed="81"/>
            <rFont val="Tahoma"/>
            <family val="2"/>
          </rPr>
          <t xml:space="preserve">
2: Mejorable (M): </t>
        </r>
        <r>
          <rPr>
            <sz val="9"/>
            <color indexed="81"/>
            <rFont val="Tahoma"/>
            <family val="2"/>
          </rPr>
          <t xml:space="preserve">Se han detectado factores de riesgo de menor importancia. 
</t>
        </r>
        <r>
          <rPr>
            <b/>
            <sz val="9"/>
            <color indexed="81"/>
            <rFont val="Tahoma"/>
            <family val="2"/>
          </rPr>
          <t xml:space="preserve">
0: Aceptable (B): </t>
        </r>
        <r>
          <rPr>
            <sz val="9"/>
            <color indexed="81"/>
            <rFont val="Tahoma"/>
            <family val="2"/>
          </rPr>
          <t>No se ha detectado anomalía destacable alguna.</t>
        </r>
      </text>
    </comment>
    <comment ref="I2" authorId="0" shapeId="0" xr:uid="{B3E8FCCA-D74D-4EF5-A4DD-C58558F46718}">
      <text>
        <r>
          <rPr>
            <b/>
            <sz val="9"/>
            <color indexed="81"/>
            <rFont val="Tahoma"/>
            <family val="2"/>
          </rPr>
          <t xml:space="preserve">4: Continuada (EC): </t>
        </r>
        <r>
          <rPr>
            <sz val="9"/>
            <color indexed="81"/>
            <rFont val="Tahoma"/>
            <family val="2"/>
          </rPr>
          <t xml:space="preserve">Continuamente. Varias veces en su jornada laboral con tiempo prolongado.
</t>
        </r>
        <r>
          <rPr>
            <b/>
            <sz val="9"/>
            <color indexed="81"/>
            <rFont val="Tahoma"/>
            <family val="2"/>
          </rPr>
          <t>3: Frecuente (EF):</t>
        </r>
        <r>
          <rPr>
            <sz val="9"/>
            <color indexed="81"/>
            <rFont val="Tahoma"/>
            <family val="2"/>
          </rPr>
          <t xml:space="preserve"> Varias veces en su jornada laboral, aunque sea en tiempos cortos.
</t>
        </r>
        <r>
          <rPr>
            <b/>
            <sz val="9"/>
            <color indexed="81"/>
            <rFont val="Tahoma"/>
            <family val="2"/>
          </rPr>
          <t>2: Ocasional (EO):</t>
        </r>
        <r>
          <rPr>
            <sz val="9"/>
            <color indexed="81"/>
            <rFont val="Tahoma"/>
            <family val="2"/>
          </rPr>
          <t xml:space="preserve"> Alguna vez en su jornada laboral y con periodo corto de tiempo.
</t>
        </r>
        <r>
          <rPr>
            <b/>
            <sz val="9"/>
            <color indexed="81"/>
            <rFont val="Tahoma"/>
            <family val="2"/>
          </rPr>
          <t xml:space="preserve">1: Esporádica (EE): </t>
        </r>
        <r>
          <rPr>
            <sz val="9"/>
            <color indexed="81"/>
            <rFont val="Tahoma"/>
            <family val="2"/>
          </rPr>
          <t xml:space="preserve">Irregularmente.
</t>
        </r>
      </text>
    </comment>
    <comment ref="M2" authorId="0" shapeId="0" xr:uid="{1F4488E3-AF35-4CD2-9C22-6D28DC965598}">
      <text>
        <r>
          <rPr>
            <b/>
            <sz val="9"/>
            <color indexed="81"/>
            <rFont val="Tahoma"/>
            <family val="2"/>
          </rPr>
          <t xml:space="preserve">100: Mortal o Catastrófico (M): </t>
        </r>
        <r>
          <rPr>
            <sz val="9"/>
            <color indexed="81"/>
            <rFont val="Tahoma"/>
            <family val="2"/>
          </rPr>
          <t xml:space="preserve">1 muerto o más.
</t>
        </r>
        <r>
          <rPr>
            <b/>
            <sz val="9"/>
            <color indexed="81"/>
            <rFont val="Tahoma"/>
            <family val="2"/>
          </rPr>
          <t>60: Muy Grave (MG):</t>
        </r>
        <r>
          <rPr>
            <sz val="9"/>
            <color indexed="81"/>
            <rFont val="Tahoma"/>
            <family val="2"/>
          </rPr>
          <t xml:space="preserve"> Lesiones graves que pueden ser irreparables.
</t>
        </r>
        <r>
          <rPr>
            <b/>
            <sz val="9"/>
            <color indexed="81"/>
            <rFont val="Tahoma"/>
            <family val="2"/>
          </rPr>
          <t xml:space="preserve">25: Grave (G): </t>
        </r>
        <r>
          <rPr>
            <sz val="9"/>
            <color indexed="81"/>
            <rFont val="Tahoma"/>
            <family val="2"/>
          </rPr>
          <t xml:space="preserve">Lesiones con incapacidad laboral transitoria (I. L. T.).
</t>
        </r>
        <r>
          <rPr>
            <b/>
            <sz val="9"/>
            <color indexed="81"/>
            <rFont val="Tahoma"/>
            <family val="2"/>
          </rPr>
          <t>10: Leve (L):</t>
        </r>
        <r>
          <rPr>
            <sz val="9"/>
            <color indexed="81"/>
            <rFont val="Tahoma"/>
            <family val="2"/>
          </rPr>
          <t xml:space="preserve"> Pequeñas lesiones que no requieren hospitalización.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Samantha Nicole Muñoz Morales</author>
  </authors>
  <commentList>
    <comment ref="G2" authorId="0" shapeId="0" xr:uid="{D3072AD0-8743-4BD9-ADF3-A93EBC1A1597}">
      <text>
        <r>
          <rPr>
            <b/>
            <sz val="9"/>
            <color indexed="81"/>
            <rFont val="Tahoma"/>
            <family val="2"/>
          </rPr>
          <t xml:space="preserve">10: Muy Deficiente (MD): </t>
        </r>
        <r>
          <rPr>
            <sz val="9"/>
            <color indexed="81"/>
            <rFont val="Tahoma"/>
            <family val="2"/>
          </rPr>
          <t xml:space="preserve">Se han detectado factores de riesgo significativos que determinan como muy posible la generación de fallos.
</t>
        </r>
        <r>
          <rPr>
            <b/>
            <sz val="9"/>
            <color indexed="81"/>
            <rFont val="Tahoma"/>
            <family val="2"/>
          </rPr>
          <t xml:space="preserve">
6: Deficiente (D): </t>
        </r>
        <r>
          <rPr>
            <sz val="9"/>
            <color indexed="81"/>
            <rFont val="Tahoma"/>
            <family val="2"/>
          </rPr>
          <t xml:space="preserve">Se ha detectado algún factor de riesgo significativo que precise ser corregido.
</t>
        </r>
        <r>
          <rPr>
            <b/>
            <sz val="9"/>
            <color indexed="81"/>
            <rFont val="Tahoma"/>
            <family val="2"/>
          </rPr>
          <t xml:space="preserve">
2: Mejorable (M): </t>
        </r>
        <r>
          <rPr>
            <sz val="9"/>
            <color indexed="81"/>
            <rFont val="Tahoma"/>
            <family val="2"/>
          </rPr>
          <t xml:space="preserve">Se han detectado factores de riesgo de menor importancia. 
</t>
        </r>
        <r>
          <rPr>
            <b/>
            <sz val="9"/>
            <color indexed="81"/>
            <rFont val="Tahoma"/>
            <family val="2"/>
          </rPr>
          <t xml:space="preserve">
0: Aceptable (B): </t>
        </r>
        <r>
          <rPr>
            <sz val="9"/>
            <color indexed="81"/>
            <rFont val="Tahoma"/>
            <family val="2"/>
          </rPr>
          <t>No se ha detectado anomalía destacable alguna.</t>
        </r>
      </text>
    </comment>
    <comment ref="I2" authorId="0" shapeId="0" xr:uid="{1A5AA5CF-BA16-4DE7-8E22-131FCEE458D2}">
      <text>
        <r>
          <rPr>
            <b/>
            <sz val="9"/>
            <color indexed="81"/>
            <rFont val="Tahoma"/>
            <family val="2"/>
          </rPr>
          <t xml:space="preserve">4: Continuada (EC): </t>
        </r>
        <r>
          <rPr>
            <sz val="9"/>
            <color indexed="81"/>
            <rFont val="Tahoma"/>
            <family val="2"/>
          </rPr>
          <t xml:space="preserve">Continuamente. Varias veces en su jornada laboral con tiempo prolongado.
</t>
        </r>
        <r>
          <rPr>
            <b/>
            <sz val="9"/>
            <color indexed="81"/>
            <rFont val="Tahoma"/>
            <family val="2"/>
          </rPr>
          <t>3: Frecuente (EF):</t>
        </r>
        <r>
          <rPr>
            <sz val="9"/>
            <color indexed="81"/>
            <rFont val="Tahoma"/>
            <family val="2"/>
          </rPr>
          <t xml:space="preserve"> Varias veces en su jornada laboral, aunque sea en tiempos cortos.
</t>
        </r>
        <r>
          <rPr>
            <b/>
            <sz val="9"/>
            <color indexed="81"/>
            <rFont val="Tahoma"/>
            <family val="2"/>
          </rPr>
          <t>2: Ocasional (EO):</t>
        </r>
        <r>
          <rPr>
            <sz val="9"/>
            <color indexed="81"/>
            <rFont val="Tahoma"/>
            <family val="2"/>
          </rPr>
          <t xml:space="preserve"> Alguna vez en su jornada laboral y con periodo corto de tiempo.
</t>
        </r>
        <r>
          <rPr>
            <b/>
            <sz val="9"/>
            <color indexed="81"/>
            <rFont val="Tahoma"/>
            <family val="2"/>
          </rPr>
          <t xml:space="preserve">1: Esporádica (EE): </t>
        </r>
        <r>
          <rPr>
            <sz val="9"/>
            <color indexed="81"/>
            <rFont val="Tahoma"/>
            <family val="2"/>
          </rPr>
          <t xml:space="preserve">Irregularmente.
</t>
        </r>
      </text>
    </comment>
    <comment ref="M2" authorId="0" shapeId="0" xr:uid="{4AA7A6F6-796F-4D62-8EA8-DE871A367669}">
      <text>
        <r>
          <rPr>
            <b/>
            <sz val="9"/>
            <color indexed="81"/>
            <rFont val="Tahoma"/>
            <family val="2"/>
          </rPr>
          <t xml:space="preserve">100: Mortal o Catastrófico (M): </t>
        </r>
        <r>
          <rPr>
            <sz val="9"/>
            <color indexed="81"/>
            <rFont val="Tahoma"/>
            <family val="2"/>
          </rPr>
          <t xml:space="preserve">1 muerto o más.
</t>
        </r>
        <r>
          <rPr>
            <b/>
            <sz val="9"/>
            <color indexed="81"/>
            <rFont val="Tahoma"/>
            <family val="2"/>
          </rPr>
          <t>60: Muy Grave (MG):</t>
        </r>
        <r>
          <rPr>
            <sz val="9"/>
            <color indexed="81"/>
            <rFont val="Tahoma"/>
            <family val="2"/>
          </rPr>
          <t xml:space="preserve"> Lesiones graves que pueden ser irreparables.
</t>
        </r>
        <r>
          <rPr>
            <b/>
            <sz val="9"/>
            <color indexed="81"/>
            <rFont val="Tahoma"/>
            <family val="2"/>
          </rPr>
          <t xml:space="preserve">25: Grave (G): </t>
        </r>
        <r>
          <rPr>
            <sz val="9"/>
            <color indexed="81"/>
            <rFont val="Tahoma"/>
            <family val="2"/>
          </rPr>
          <t xml:space="preserve">Lesiones con incapacidad laboral transitoria (I. L. T.).
</t>
        </r>
        <r>
          <rPr>
            <b/>
            <sz val="9"/>
            <color indexed="81"/>
            <rFont val="Tahoma"/>
            <family val="2"/>
          </rPr>
          <t>10: Leve (L):</t>
        </r>
        <r>
          <rPr>
            <sz val="9"/>
            <color indexed="81"/>
            <rFont val="Tahoma"/>
            <family val="2"/>
          </rPr>
          <t xml:space="preserve"> Pequeñas lesiones que no requieren hospitalización.</t>
        </r>
      </text>
    </comment>
  </commentList>
</comments>
</file>

<file path=xl/sharedStrings.xml><?xml version="1.0" encoding="utf-8"?>
<sst xmlns="http://schemas.openxmlformats.org/spreadsheetml/2006/main" count="1247" uniqueCount="444">
  <si>
    <t>Proceso</t>
  </si>
  <si>
    <t>Rutinario
(Si/No)</t>
  </si>
  <si>
    <t>Identificación</t>
  </si>
  <si>
    <t>Evaluación del riesgo</t>
  </si>
  <si>
    <t>Criterios para establecer controles</t>
  </si>
  <si>
    <t>Peligro</t>
  </si>
  <si>
    <t>Código</t>
  </si>
  <si>
    <t>Riesgo</t>
  </si>
  <si>
    <t>Clasificación</t>
  </si>
  <si>
    <t>Nivel de Deficiencia
(ND)</t>
  </si>
  <si>
    <t>Interpretación del
Nivel de Deficiencia,(ND)</t>
  </si>
  <si>
    <t>Nivel de Exposición
(NE)</t>
  </si>
  <si>
    <t>Interpretación del
Nivel de Exposición (NE)</t>
  </si>
  <si>
    <t>Nivel de Probabilidad
(NP)
[ND X NE]</t>
  </si>
  <si>
    <t>Interpretación del
Nivel de Probabilidad (NP)</t>
  </si>
  <si>
    <t>Nivel de Consecuencia (NC)</t>
  </si>
  <si>
    <t>Interpretación del
Nivel de Consecuencia (NC)</t>
  </si>
  <si>
    <t>Nivel de Riesgo (NR)</t>
  </si>
  <si>
    <t>Nivel de Intervención (NI)</t>
  </si>
  <si>
    <t>Interpretación del NR</t>
  </si>
  <si>
    <t>Peor consecuencia</t>
  </si>
  <si>
    <t>Existencia Requisito Legal
Específico Asociado (Si/No)</t>
  </si>
  <si>
    <t>Riesgo de seguridad</t>
  </si>
  <si>
    <t>Locativo</t>
  </si>
  <si>
    <t>Organización del trabajo incorrecta</t>
  </si>
  <si>
    <t>N°</t>
  </si>
  <si>
    <t>Acción sujeta a evaluación</t>
  </si>
  <si>
    <t>Si</t>
  </si>
  <si>
    <t>No</t>
  </si>
  <si>
    <t>¿Se identifican y evalúan los riesgos locativos?</t>
  </si>
  <si>
    <t>¿Las áreas de almacenamiento de materiales son seguras y adecuadas para los trabajadores?</t>
  </si>
  <si>
    <t>¿Se dispone de un plan de emergencia en todos los lugares de trabajo donde se almacenen agentes químicos, peligrosos, explosivos, inflamables, tóxicos, corrosivos, entre otros?</t>
  </si>
  <si>
    <t>¿Se dispone de procedimientos, cadenas de mando para combatir una posible emergencia?</t>
  </si>
  <si>
    <t>¿Se dispone de zonas de seguridad y vías de acceso y salida para combatir una posible emergencia?</t>
  </si>
  <si>
    <t>¿Las instalaciones cuentan con señalización de seguridad visible y permanente para indicar zonas de peligro, vías de escape y áreas seguras en caso de emergencia, así como para informar sobre el uso obligatorio de equipos de protección personal?</t>
  </si>
  <si>
    <t>¿Se dispone de la lista actualizada de equipos y elementos para combatir una posible emergencia?</t>
  </si>
  <si>
    <t>¿Se mantiene en condiciones seguras y en buen estado de funcionamiento de los lugares de trabajo, maquinarias, instalaciones, herramientas y equipos?</t>
  </si>
  <si>
    <t>TOTAL</t>
  </si>
  <si>
    <t>Mecánico</t>
  </si>
  <si>
    <t>Caída de personas a distinto nivel</t>
  </si>
  <si>
    <t>010 - E</t>
  </si>
  <si>
    <t>¿Se disponen de permisos de trabajo para realizar labores en altura?</t>
  </si>
  <si>
    <t>¿Se planifican los trabajos en altura como las medidas de control necesarias para garantizar su seguridad?</t>
  </si>
  <si>
    <t>¿Se encuentra delimitada el área, a nivel de piso, donde se realizará el trabajo en altura?</t>
  </si>
  <si>
    <t>¿Los trabajadores que realizan trabajos en altura cuentan con autorización, conocimiento, experiencia y condiciones de salud adecuadas para dicha actividad?</t>
  </si>
  <si>
    <t>¿Se adopta un sistema de protección colectiva como redes de protección, mallas metálicas, plataformas o elementos suficientemente resistentes y del ancho adecuado?</t>
  </si>
  <si>
    <t>¿Se utilizan andamios para los trabajos en altura superiores a lo establecido?</t>
  </si>
  <si>
    <t>¿El diseño, construcción y verificación de andamios se encuentra a cargo de personal autorizado?</t>
  </si>
  <si>
    <t>¿Se utilizan barandillas, rodapiés y pasarelas reglamentarias, u otros medios equivalentes, para apoyo de los trabajadores sobre partes frágiles?</t>
  </si>
  <si>
    <t>¿Se adoptan medidas de protección personal adecuada como arnés de seguridad sujeto a punto fijo o con un sistema de sujeción deslizante?</t>
  </si>
  <si>
    <t>¿Los trabajadores disponen de equipos de protección individual con características que se ajustan de acuerdo con la necesidad del puesto de trabajo y estos se acomodan perfectamente a quien los usa?</t>
  </si>
  <si>
    <t>¿El equipo o sistema de protección individual es sometido a una revisión periódica por parte de un técnico de seguridad en el trabajo, que lleva un registro de las revisiones y mantenimientos realizados?</t>
  </si>
  <si>
    <t>¿Se verifica la resistencia de los elementos que soportan el peso de los trabajadores y materiales, como de los puntos que se utilizan para sujeción de los dispositivos de seguridad?</t>
  </si>
  <si>
    <t>¿Las gradas en proceso de construcción que no disponen de pasamanos definitivos, se encuentran protegidas del lado del hueco por barandillas reglamentaritas o por cualquier otro sistema que evite la caída de quienes circulan por ellas?</t>
  </si>
  <si>
    <t>¿Se detienen los trabajos en altura cuando se detectan condiciones climáticas que impliquen riesgos para los trabajadores?</t>
  </si>
  <si>
    <t>Caída de personas al mismo nivel</t>
  </si>
  <si>
    <t>020 - E</t>
  </si>
  <si>
    <t>¿Todo trabajador que ingresa a la obra recibe inducción en materia de prevención de riesgos laborales?</t>
  </si>
  <si>
    <t>¿Se coloca señalización preventiva y/o informativa fácilmente identificable por el personal que ingresa al área de trabajo?</t>
  </si>
  <si>
    <t>¿El personal de obra respeta la señalización e indicaciones de seguridad?</t>
  </si>
  <si>
    <t>¿Se dispone de accesos que permiten el paso seguro?</t>
  </si>
  <si>
    <t>¿Se colocan los pasos peatonales necesarios para las personas externas e internas de la obra?</t>
  </si>
  <si>
    <t>¿Se mantiene el orden y la limpieza de los accesos, como de la obra, retirando oportuna y ágilmente los escombros?</t>
  </si>
  <si>
    <t>¿Se disponen de pasos y pasarelas con un piso unido y sin resaltes en aquellos lugares por los que deben circular los trabajadores?</t>
  </si>
  <si>
    <t>¿En las plataformas de los andamios, no existen salientes o elementos que puedan provocar tropezones?</t>
  </si>
  <si>
    <t>¿Se prohíbe colocar objetos que obstruyen el paso en aquellos lugares por los que circulan los trabajadores?</t>
  </si>
  <si>
    <t>¿Se colocan de forma organizada los cables y/o mangueras en pasillos, escaleras y accesos?</t>
  </si>
  <si>
    <t>Caída de objetos por desplome</t>
  </si>
  <si>
    <t>030 - E</t>
  </si>
  <si>
    <t>¿Se cuenta con el permiso de trabajo para labores en espacios confinados?</t>
  </si>
  <si>
    <t>¿El personal que realiza actividades en espacios confinados, es sometido a exámenes minuciosos?</t>
  </si>
  <si>
    <t>¿Los trabajos en espacios confinados son realizados por trabajadores que han sido capacitados para el efecto?</t>
  </si>
  <si>
    <t>¿El trabajo en espacios confinados cuenta con un análisis del equipamiento necesario y el uso adecuado de equipos de protección personal?</t>
  </si>
  <si>
    <t>¿Las labores en espacios confinados vienen acompañadas y coordinadas desde el exterior?</t>
  </si>
  <si>
    <t>¿Los trabajadores interrumpen su actividad cuando por motivos razonables, consideran que existe un peligro inminente que ponga en riesgo su seguridad o la de otros?</t>
  </si>
  <si>
    <t>¿Se analiza la condición del suelo circundante al área de trabajo?</t>
  </si>
  <si>
    <t>¿Los bordes de la excavación próximos a vías públicas o con riesgo de caída de personas, se encuentran cercadas y señaladas para advertir los riesgos existentes?</t>
  </si>
  <si>
    <t>¿Se prohíbe la entrada de personal a la excavación cuando ésta se realiza a través de medios mecánicos?</t>
  </si>
  <si>
    <t>¿En zanjas con profundidad superior a lo establecido, se sobre excava la parte superior de la zanja de forma que ésta quede con una profundidad permisible?</t>
  </si>
  <si>
    <t>¿La excavación manual se encuentra acompañada de entibaciones y desentibaciones adecuadas?</t>
  </si>
  <si>
    <t>¿Personal calificado examina diariamente la excavación y sus entibaciones, al inicio de la jornada de trabajo y después de lluvias, vibraciones, sobrecargas o cualquier otra circunstancia, que haya podido afectar su estabilidad?</t>
  </si>
  <si>
    <t>Caída de objetos en manipulación</t>
  </si>
  <si>
    <t>040 - E</t>
  </si>
  <si>
    <t>¿Se coloca marquesina protectora a la entrada – salida de la obra o en zonas de circulación para evitar la caída de objetos?</t>
  </si>
  <si>
    <t>¿Se autoriza y designa al personal responsable de maniobras de izaje, incluyendo a los supervisores de esta operación?</t>
  </si>
  <si>
    <t>¿Los operarios que realizan trabajos de izaje cuentan con la capacitación y entrenamiento para la operación y funcionamiento de los equipos como de los accesorios para dicha actividad?</t>
  </si>
  <si>
    <t>¿Los operarios que manejan dispositivos que elevan y descienden cargas, llevan obligatoriamente equipo de protección individual?</t>
  </si>
  <si>
    <t>¿El equipo de elevación indica las cargas máximas y condiciones de trabajo?</t>
  </si>
  <si>
    <t>¿Se cubre el área circundante de las torres de elevación para evitar el tránsito de personas a través de ellas?</t>
  </si>
  <si>
    <t>¿Durante las operaciones de subida y bajada de componentes o materiales, los trabajadores que se encuentran en el área de influencia son advertidos de la operación?</t>
  </si>
  <si>
    <t>¿Se dispone de resguardos que evitan la caída de objetos sobre el personal que trabaja en una zona inferior?</t>
  </si>
  <si>
    <t>¿Los bordes de la parte alta se encuentran despejados de objetos que pudieran caer?</t>
  </si>
  <si>
    <t>¿Se prohíbe arrojar escombros y materiales desde la planta superior hacia el nivel inferior?</t>
  </si>
  <si>
    <t>¿Se retiran diariamente los escombros o desechos de las superficies altas?</t>
  </si>
  <si>
    <t>¿El ancho del tablón es el adecuado para el almacenamiento de herramientas y materiales imprescindibles para el trabajo a realizar?</t>
  </si>
  <si>
    <t>Golpes/cortes por objetos o herramientas</t>
  </si>
  <si>
    <t>090 - E</t>
  </si>
  <si>
    <t>¿Se suministra a los trabajadores equipo de protección de acuerdo con la labor a realizar?</t>
  </si>
  <si>
    <t>¿Se proporcionan espacios y distancias adecuadas según las operaciones a ejecutar?</t>
  </si>
  <si>
    <t>¿Se dispone de las herramientas adecuadas según la operación a ejecutar?</t>
  </si>
  <si>
    <t>¿Las máquinas que representan riesgo de acción cortante, lacerante, punzante y abrasiva se encuentran protegidas mediante resguardos u otros dispositivos de seguridad, siempre que sea técnica y funcionalmente posible?</t>
  </si>
  <si>
    <t>¿Los trabajadores y supervisores de las actividades de corte o suelda, están adecuadamente capacitados en la operación segura de sus máquinas?</t>
  </si>
  <si>
    <t>¿Los mangos de las herramientas manuales presentan la dimensión adecuada, sin bordes agudos ni superficies resbaladizas, se encuentran sólidamente fijados a la herramienta, sin pernos, clavos u otros elementos sobresalientes que presenten aristas o superficies cortantes?</t>
  </si>
  <si>
    <t>¿Se prohíbe el uso de extensiones con tubos u otros materiales similares para aumentar el brazo de palanca?</t>
  </si>
  <si>
    <t>¿Se realizan las labores de corte en superficies planas y estables?</t>
  </si>
  <si>
    <t>¿Las herramientas manuales se colocan en portaherramientas o estantes adecuados?</t>
  </si>
  <si>
    <t>¿Las herramientas manuales se encuentran libres de grasas, aceites u otras sustancias deslizantes?</t>
  </si>
  <si>
    <t>¿Las partes cortantes o punzantes de las herramientas manuales se encuentran debidamente afiladas?</t>
  </si>
  <si>
    <t>¿Se retiran los materiales de fácil combustión o altamente volátiles previo a la realización de trabajos que involucren el uso de máquinas que generen fuentes de ignición?</t>
  </si>
  <si>
    <t>Proyección de fragmentos o partículas</t>
  </si>
  <si>
    <t>100 - E</t>
  </si>
  <si>
    <t>¿Los lugares y/o puestos de trabajo en los que es obligatorio el uso de algún medio de protección personal, se encuentran señalizados?</t>
  </si>
  <si>
    <t>¿Se informa a los trabajadores por escrito y por cualquier otro medio sobre los riesgos laborales a los que están expuestos y como prevenirlos?</t>
  </si>
  <si>
    <t>¿Se informa a los trabajadores sobre los riesgos específicos que el equipo protege, así como sobre las actividades y situaciones en las que es necesario su uso?</t>
  </si>
  <si>
    <t>¿El personal de obra respeta las indicaciones de seguridad?</t>
  </si>
  <si>
    <t>¿Se suministra equipo de protección individual de acuerdo con las necesidades de la acción a ejecutar?</t>
  </si>
  <si>
    <t>¿Se suministra ropa de trabajo, cuando la actividad a ejecutar implica por sus características, un determinado riesgo de accidente o enfermedad profesional?</t>
  </si>
  <si>
    <t>¿Se coordinan las actividades cuando dos o más empleados desarrollan simultáneamente una labor de acción proyectiva en el mismo lugar de trabajo?</t>
  </si>
  <si>
    <t>¿Las máquinas que representen riesgo de acción proyectiva se encuentran protegidas por resguardos u otros dispositivos de seguridad?</t>
  </si>
  <si>
    <t>Atrapamiento por o entre objetos</t>
  </si>
  <si>
    <t>110 - E</t>
  </si>
  <si>
    <t>¿Se asignan supervisores de acuerdo con las competencias de su formación como de su experiencia con el cargo o función?</t>
  </si>
  <si>
    <t>¿El personal que supervisa las actividades dentro de la obra se encuentra capacitado para monitorear y colaborar en la implementación de medidas de prevención y protección?</t>
  </si>
  <si>
    <t>¿Durante la descarga de componentes o materiales, se prohíbe la presencia de personas sobre la plataforma?</t>
  </si>
  <si>
    <t>¿Los equipos de protección personal proporcionan una protección eficaz frente a los riesgos que motivan su uso, sin suponer, ni ocasionar por sí mismos riesgos adicionales o molestias innecesarias?</t>
  </si>
  <si>
    <t>¿La ropa de trabajo carece de partes sueltas, de elementos que cuelgan o sobresalen, ajustándose sin perjuicio a la comodidad del trabajador y a su facilidad de movimiento, además se verifica que el individuo no porte elementos que generen enganche, como tirantes, pulseras, cadenas, collares y anillos?</t>
  </si>
  <si>
    <t>¿Se aplican bloqueos a los equipos dependientes de fuentes de energía, para evitar el accionamiento involuntario?</t>
  </si>
  <si>
    <t>¿Se entrena al personal sobre el correcto manejo de levantamiento de cargas y de acuerdo con la carga máxima a levantar para hombres y mujeres?</t>
  </si>
  <si>
    <t>¿Antes de cualquier trabajo de carga o descarga, se comprueba que el terreno no presente hundimientos durante la ejecución de la maniobra y desestabilicen la carga?</t>
  </si>
  <si>
    <t>¿Se adoptan medidas de seguridad como la instalación de resguardos y dispositivos en las partes fijas o móviles de máquinas que representen riesgo de acción atrapante y aplastante?</t>
  </si>
  <si>
    <t>¿Los encofrados se aseguran con puntales en número, disposición y arrostramiento de acuerdo con las cargas a soportar?</t>
  </si>
  <si>
    <t>¿El desencofrado se empieza por un solo lado y se continúa hasta el final con cuidado, evitando impactos y vibraciones?</t>
  </si>
  <si>
    <t>¿Se retiran o doblan las puntas de los clavos expuestos?</t>
  </si>
  <si>
    <t>Atropellos o golpes con vehículos</t>
  </si>
  <si>
    <t>230 - E</t>
  </si>
  <si>
    <t>¿Se asignan supervisores de acuerdo con la función a desempeñar?</t>
  </si>
  <si>
    <t>¿Se establecen los caminos internos de la obra con señalización necesaria, organizando las direcciones obligatorias y preferenciales?</t>
  </si>
  <si>
    <t>¿Las máquinas son inspeccionadas diariamente y antes de comenzar cada turno para asegurarse que el equipo y los accesorios estén en condiciones seguras de funcionamiento y libres de averías?</t>
  </si>
  <si>
    <t>¿La operación de maquinaria pesada de obra se efectúa únicamente por personal calificado y autorizado con licencia para el efecto?</t>
  </si>
  <si>
    <t>¿Se evita dejar las máquinas estacionadas en zonas de circulación y en el caso de no ser posible se indica la presencia de las máquinas mediante señalización adecuada?</t>
  </si>
  <si>
    <t>¿Durante el tiempo de parada de las maquinas, si están dentro de la zona de trabajo, se marca su entorno con señales de peligro para evitar los riesgos por falta de frenos o atropello durante la puesta en marcha?</t>
  </si>
  <si>
    <t>¿Se prohíbe trabajar o permanecer dentro del radio de acción de la maquinaria?</t>
  </si>
  <si>
    <t>¿No se trabaja en la proximidad de las líneas eléctricas hasta que se hayan tomado las precauciones y protecciones necesarias contra contactos eléctricos?</t>
  </si>
  <si>
    <t>¿Se prohíbe terminantemente el transporte de personas sobre máquinas?</t>
  </si>
  <si>
    <t>¿No se realiza ningún tipo de trabajo en las zonas en donde estén operando las máquinas sin antes haber sido determinado claramente el radio de acción de la máquina?</t>
  </si>
  <si>
    <t>¿Se refuerzan las prohibiciones con carteles y avisos?</t>
  </si>
  <si>
    <t>¿Las máquinas destinadas a la remoción de tierras están equipadas con un sistema de señalización acústica de marcha atrás?</t>
  </si>
  <si>
    <t>¿Cuándo un vehículo debe aproximarse a un borde de talud o corte, con el consiguiente riesgo de vuelco, se dispone en el suelo de cuñas y obstáculos que indiquen el límite de aproximación?</t>
  </si>
  <si>
    <t>¿Cuándo la visibilidad disminuye a causa del polvo producto de la propia circulación de las máquinas, se establece un sistema de riego, que sin encharcar o hacer deslizante la vía de circulación impida la formación de polvo?</t>
  </si>
  <si>
    <t>250 (a) - E</t>
  </si>
  <si>
    <t>¿Se disponen de permisos de trabajo para la realización de labores que involucren una fuente de ignición como uso de amoladoras, soldadoras, esmeriles, etc.?</t>
  </si>
  <si>
    <t>¿Existe señalización clara del riesgo en el lugar de trabajo donde se manipulan máquinas fijas o portátiles?</t>
  </si>
  <si>
    <t>¿Los operarios de máquinas disponen de equipos de protección personal de acuerdo con la labor a ejecutar?</t>
  </si>
  <si>
    <t>¿Se capacita a los operarios de máquinas para su uso y operación?</t>
  </si>
  <si>
    <t>¿Las máquinas se utilizan únicamente en las funciones para las que han sido diseñadas?</t>
  </si>
  <si>
    <t>¿Se realiza una inspección completa de las máquinas portátiles, por personal calificado, a intervalos regulares, en función de su estado de conservación y de la frecuencia de su empleo?</t>
  </si>
  <si>
    <t>¿Se realiza el mantenimiento preventivo y programado de las maquinas?</t>
  </si>
  <si>
    <t>¿Se proporciona un espacio suficiente y un apoyo estable de los pies, para el manejo de las herramientas mecánicas?</t>
  </si>
  <si>
    <t>¿Se desconectan las máquinas portátiles de su fuente de alimentación?</t>
  </si>
  <si>
    <t>¿Las partes agresivas por acción atrapante, cortante, lacerante, punzante, prensante, abrasiva y proyectiva, disponen de una protección eficaz?</t>
  </si>
  <si>
    <t>250 (b) - E</t>
  </si>
  <si>
    <t>¿Se dispone de la adecuada protección individual de acuerdo con la necesidad particular de cada puesto de trabajo?</t>
  </si>
  <si>
    <t>¿Se informa a los superiores acerca de cualquier situación de trabajo que represente un peligro para la vida o salud de los trabajadores?</t>
  </si>
  <si>
    <t>¿Las herramientas que se utilizan no se encuentran deterioradas, se inspeccionan y se da un mantenimiento regular?</t>
  </si>
  <si>
    <t>¿Se notifican los desperfectos de las herramientas?</t>
  </si>
  <si>
    <t>¿Se mantienen las herramientas almacenadas, limpias y en buen estado?</t>
  </si>
  <si>
    <t>¿Se sigue un plan de mantenimiento preventivo y/o se reporta la necesidad de mantenimiento correctivo de las herramientas manuales?</t>
  </si>
  <si>
    <t>¿Se selecciona y usa las herramientas de acuerdo con el trabajo a realizar?</t>
  </si>
  <si>
    <t>¿Las herramientas proporcionadas cuentan con un mango de grosor, longitud y forma que faciliten un cómodo manejo?</t>
  </si>
  <si>
    <t>¿Las herramientas se utilizan únicamente para los fines específicos para los que han sido diseñadas?</t>
  </si>
  <si>
    <t>¿Se informa oportunamente sobre cualquier dolencia que sufran y que se haya originado como consecuencia de las labores que realizan o de las condiciones de trabajo?</t>
  </si>
  <si>
    <t>Eléctricos</t>
  </si>
  <si>
    <t>Contactos Eléctricos</t>
  </si>
  <si>
    <t>160 - E</t>
  </si>
  <si>
    <t>¿Se realizan evaluaciones regulares de riesgos eléctricos en el lugar de trabajo para identificar peligros potenciales y tomar medidas preventivas?</t>
  </si>
  <si>
    <t>¿Se dispone de señalización adecuada que advierte a los trabajadores sobre la presencia de riesgos asociados a los trabajos eléctricos?</t>
  </si>
  <si>
    <t>¿Se proporciona formación y entrenamiento necesario para la ejecución de actividades con energía eléctrica?</t>
  </si>
  <si>
    <t>¿Se solicita el permiso de trabajo correspondiente cuando se realizan trabajos en equipos eléctricos, conexionado, cableado, etc.?</t>
  </si>
  <si>
    <t>¿Toda persona que realice trabajos eléctricos dispone del adecuado equipo de protección, que se adapte a las condiciones y necesidades del puesto de trabajo?</t>
  </si>
  <si>
    <t>¿Se prohíbe el uso de elementos metálicos en áreas donde existe riesgo eléctrico por contacto directo?</t>
  </si>
  <si>
    <t>¿La construcción e instalación, de equipos e instalaciones eléctricas se encuentra a cargo de personal especializado para tal efecto?</t>
  </si>
  <si>
    <t>¿Se realizan los trabajos eléctricos en presencia de más de una persona que brinde soporte en caso de emergencia?</t>
  </si>
  <si>
    <t>¿Se inspecciona toda conexión eléctrica antes de su uso, cerciorándose sí es la apropiada para el fin que se destine?</t>
  </si>
  <si>
    <t>¿Se verifica que las instalaciones eléctricas estén correctamente conectadas a tierra?</t>
  </si>
  <si>
    <t>¿Se garantiza que no exista riesgo de electrocución o electrificación en los sistemas eléctricos que se encuentran en el piso?</t>
  </si>
  <si>
    <t>¿Se realiza el mantenimiento regular de los sistemas eléctricos?</t>
  </si>
  <si>
    <t>¿Se prohíbe trabajar en la proximidad de las líneas eléctricas hasta que se hayan tomado las precauciones y protecciones necesarias contra contactos eléctricos?</t>
  </si>
  <si>
    <t>¿Los electricistas disponen de herramientas adecuadas y en número suficiente?</t>
  </si>
  <si>
    <t>¿Las herramientas, extensiones o enchufes se encuentran protegidos adecuadamente por material aislante?</t>
  </si>
  <si>
    <t>Industriales mayores</t>
  </si>
  <si>
    <t>¿Todo trabajador que ingresa a obra recibe inducción en materia de prevención de riesgos laborales?</t>
  </si>
  <si>
    <t>¿Se dispone de permiso de trabajo para realizar labores de suelda?</t>
  </si>
  <si>
    <t>¿Se disponen de permisos de trabajo para realizar labores de izaje?</t>
  </si>
  <si>
    <t>¿Se asegura que los soldadores y sus supervisores están adecuadamente capacitados en la operación segura de las máquinas?</t>
  </si>
  <si>
    <t>¿Se utiliza casco, protección ocular y/o facial y protectores de manos resistentes al calor durante las operaciones de soldadura?</t>
  </si>
  <si>
    <t>¿Se dota del equipo de protección personal a los trabajadores que intervienen en la maniobra y labores de izaje?</t>
  </si>
  <si>
    <t>¿Se planifican los trabajos de altura y las medidas de control necesarias para garantizar su realización segura?</t>
  </si>
  <si>
    <t>¿Se socializa un procedimiento de trabajo seguro de los equipos y accesorios de izaje?</t>
  </si>
  <si>
    <t>¿Se capacita y entrena a los trabajadores sobre la operación y funcionamiento de equipos y accesorios de izaje?</t>
  </si>
  <si>
    <t>¿La operación de equipos elevadores es realizada únicamente por personal debidamente capacitado?</t>
  </si>
  <si>
    <t>¿La operación de equipos elevadores es realizada únicamente por operarios que cuentan con la licencia para tal efecto?</t>
  </si>
  <si>
    <t>¿Aquellos trabajadores que operan los aparatos elevadores disponen de la certificación especifica por competencias laborales en prevención de riesgos laborales?</t>
  </si>
  <si>
    <t>¿Aquellos trabajadores que realizan el montaje y desmontaje de estructuras metálicas cuentan con la certificación especifica por competencias laborales en prevención de riesgos laborales?</t>
  </si>
  <si>
    <t>¿Se delimita el área a nivel de piso donde se realiza el trabajo de izaje y/o altura, que evite el tránsito de personas por dicha zona?</t>
  </si>
  <si>
    <t>¿Se indican las cargas máximas y las condiciones de izaje?</t>
  </si>
  <si>
    <t>¿En las grúas torre se dispone de dispositivos limitadores del momento de carga, de modo que se impida sobrepasar la carga máxima de seguridad permitida?</t>
  </si>
  <si>
    <t>¿Se inspecciona el equipo de izaje y accesorios, antes de cada uso?</t>
  </si>
  <si>
    <t>¿Se comprueba las condiciones del terreno durante la ejecución del trabajo de izaje?</t>
  </si>
  <si>
    <t>¿Se reubica o desenergiza las líneas eléctricas en el área de trabajo en altura que represente un riesgo para los trabajadores?</t>
  </si>
  <si>
    <t>¿Se coloca señalización preventiva, informativa y de obligación, fácilmente identificable por quienes ingresan a las áreas de trabajo?</t>
  </si>
  <si>
    <t>¿Se establecen procedimientos y medidas de seguridad para la realización de trabajos en caliente?</t>
  </si>
  <si>
    <t>¿Se verifican las condiciones del lugar de trabajo para la ejecución de trabajos en caliente?</t>
  </si>
  <si>
    <t>¿Las operaciones de soldadura en espacios confinados se encuentran adecuadamente ventiladas?</t>
  </si>
  <si>
    <t>¿Se adoptan medidas de protección contra la caída de partículas incandescentes a niveles inferiores?</t>
  </si>
  <si>
    <t>¿Se colocan de forma organizada los cables de las máquinas soldadoras en las zonas por las cuales deben circular los trabajadores?</t>
  </si>
  <si>
    <t>¿Se desconectan las máquinas soldadoras de la fuente de energía al finalizar la labor?</t>
  </si>
  <si>
    <t>¿Se protegen cables o cuerdas que pasen por superficies ásperas que puedan provocar cortes por abrasión?</t>
  </si>
  <si>
    <t>¿Se disponen de permisos de trabajo de acuerdo con la tarea a ejecutar?</t>
  </si>
  <si>
    <t>Riesgo físico</t>
  </si>
  <si>
    <t>Ruido</t>
  </si>
  <si>
    <t>¿Se realizan mediciones de los niveles de ruido en aquellos lugares susceptibles de exposición?</t>
  </si>
  <si>
    <t>¿Los riesgos derivados de la exposición al ruido se eliminan en su origen o se reducen al nivel más bajo posible?</t>
  </si>
  <si>
    <t>¿Se monitorean continuamente las condiciones del ambiente de trabajo con relación al ruido?</t>
  </si>
  <si>
    <t>¿Se disminuye el tiempo de exposición al ruido a través de métodos organizativos?</t>
  </si>
  <si>
    <t>¿Cuándo no es técnicamente factible implementar medidas de control asociadas a la exposición al ruido se provee de Equipos de Protección Personal (EPP)?</t>
  </si>
  <si>
    <t>¿Para medir la exposición al ruido se define cada actividad o tarea que se realiza en el puesto de trabajo?</t>
  </si>
  <si>
    <t>¿Se establecen los valores límites de exposición al ruido, así como los valores que dan lugar a una acción?</t>
  </si>
  <si>
    <t>¿Se realizan revisiones periódicas de las medidas de control implementadas y asociadas a la exposición ocupacional al ruido?</t>
  </si>
  <si>
    <t>Vibración</t>
  </si>
  <si>
    <t>¿Los riesgos derivados de la exposición a vibraciones se eliminan en su origen o se reducen al nivel más bajo posible?</t>
  </si>
  <si>
    <t>¿Se monitorean continuamente las condiciones del ambiente de trabajo con relación a la vibración?</t>
  </si>
  <si>
    <t>¿Se implementan métodos de trabajo que reduzcan la exposición a vibración?</t>
  </si>
  <si>
    <t>¿Cuándo no es técnicamente factible implementar medidas de control asociadas a la exposición a vibración se provee de Equipos de Protección Personal (EPP)?</t>
  </si>
  <si>
    <t>¿Se realizan mediciones de vibración en aquellos lugares susceptibles de exposición?</t>
  </si>
  <si>
    <t>¿Se establecen los valores límites de exposición a vibración, así como los valores que dan lugar a una acción?</t>
  </si>
  <si>
    <t>¿Los instrumentos utilizados para la medición de vibraciones cuentan con certificación de calibración periódica y vigente?</t>
  </si>
  <si>
    <t>¿Se realizan revisiones periódicas de las medidas de control implementadas y asociadas a la exposición ocupacional a vibración?</t>
  </si>
  <si>
    <t>Riesgo químico</t>
  </si>
  <si>
    <t>Radiaciones ionizantes</t>
  </si>
  <si>
    <t>¿Se disponen de permisos de trabajo en aquellas actividades que involucren radiaciones ionizantes?</t>
  </si>
  <si>
    <t>¿Se dispone de personal de Seguridad Radiológica que acompañe las necesidades de los usuarios de los equipos de radiación?</t>
  </si>
  <si>
    <t>¿Se realiza el control y registro periódico de los límites permisibles de radiación que pueden recibir las personas ocupacionalmente expuestas?</t>
  </si>
  <si>
    <t>¿El personal que manipula los equipos generadores de radiación dispone de la licencia de trabajo?</t>
  </si>
  <si>
    <t>¿Se dispone de la licencia para poseer equipos generadores de radiación?</t>
  </si>
  <si>
    <t>¿El operador de la fuente de radiación se encuentra correctamente instruido en el manejo del equipo?</t>
  </si>
  <si>
    <t>¿Todo licenciatario está obligado a usar detectores de control de dosimetría personal?</t>
  </si>
  <si>
    <t>¿Se informa a las personas que trabajan en un área restringida sobre la existencia de radiación?</t>
  </si>
  <si>
    <t>¿Se inspeccionan los equipos generadores de radiación y se mantiene un registro de estas?</t>
  </si>
  <si>
    <t>¿Se registra el uso de los equipos generadores de radiación?</t>
  </si>
  <si>
    <t>¿El operador del equipo generador de radiación conoce los procedimientos requeridos en caso de una emergencia?</t>
  </si>
  <si>
    <t>¿Se somete a exámenes médicos al personal directamente involucrado en trabajos con radiaciones ionizantes ?</t>
  </si>
  <si>
    <t>¿Se calibran los equipos generadores de radiación, periódicamente o después de cualquier cambio o reemplazo?</t>
  </si>
  <si>
    <t>Riesgo Físico</t>
  </si>
  <si>
    <t>Iluminación</t>
  </si>
  <si>
    <t>¿Se proporciona alumbrado adecuado y suficiente cuándo la iluminación natural no es suficiente para garantizar la seguridad de los trabajadores ?</t>
  </si>
  <si>
    <t>¿Se disponen de sistemas de iluminación de emergencia?</t>
  </si>
  <si>
    <t>¿Se disponen de sistemas de iluminación de emergencia adecuados y suficientes?</t>
  </si>
  <si>
    <t>¿En la noche se iluminan los avisos importantes con reflectores o luz blanca o varias luces con destellos?</t>
  </si>
  <si>
    <t>¿Se dispone de iluminación en todos los lugares/sectores de trabajo/obra?</t>
  </si>
  <si>
    <t>¿En la noche se iluminan aquellas zonas que obstaculicen la libre y segura circulación?</t>
  </si>
  <si>
    <t>Exposición a sustancias nocivas</t>
  </si>
  <si>
    <t>¿Se identifican y evalúan los riesgos derivados de la exposición a agentes químicos?</t>
  </si>
  <si>
    <t>¿Se establecen programas de vigilancia de la salud en función de los riesgos derivados de la exposición de los trabajadores a los agentes químicos?</t>
  </si>
  <si>
    <t>¿Los riesgos derivados de la exposición a agentes químicos se eliminan en su origen o se reducen al nivel más bajo posible?</t>
  </si>
  <si>
    <t>¿Se establece la protección adecuada cuando no se ha podido controlar la exposición a agentes químicos?</t>
  </si>
  <si>
    <t>¿Se garantiza la adecuada ventilación en las áreas de trabajo donde se manejan agentes químicos peligrosos?</t>
  </si>
  <si>
    <t>¿Se encuentran definidos los procedimientos de medición y validación de resultados de la exposición por vía inhalatoria de los agentes químicos?</t>
  </si>
  <si>
    <t>¿Se conoce el valor límite ambiental (VLA) de las concentraciones del agente o producto químico en el aire?</t>
  </si>
  <si>
    <t>¿Se realizan mediciones en condiciones de trabajo habituales en la zona de respiración del trabajador?</t>
  </si>
  <si>
    <t>¿Se designa un área específica para el almacenamiento y custodia de los agentes químicos?</t>
  </si>
  <si>
    <t>¿Se realizan inspecciones periódicas y mantenimientos regulares a los sistemas de ventilación?</t>
  </si>
  <si>
    <t>Riesgo ergonómico</t>
  </si>
  <si>
    <t>Sobreesfuerzos</t>
  </si>
  <si>
    <t>¿Se identifican y estiman las condiciones críticas en la ejecución de tareas y actividades?</t>
  </si>
  <si>
    <t>¿Se diseñan los puestos de trabajo de acuerdo con la antropometría del personal?</t>
  </si>
  <si>
    <t>¿Se evitan condiciones ergonómicas o ambientales desfavorables?</t>
  </si>
  <si>
    <t>¿Se dispone del equipo de protección personal necesario de acuerdo con el puesto y entorno de trabajo?</t>
  </si>
  <si>
    <t>¿Se excluyen los soportes o fajas lumbares como una medida de protección?</t>
  </si>
  <si>
    <t>¿Se adoptan medidas técnicas u organizativas orientadas al levantamiento o descenso de cargas?</t>
  </si>
  <si>
    <t>¿Se adoptan medidas técnicas u organizativas orientadas al empuje y/o tracción de cargas?</t>
  </si>
  <si>
    <t>¿Se realiza un mayor seguimiento de capacidad funcional a los trabajadores adultos mayores?</t>
  </si>
  <si>
    <t>¿Se establecen pausas laborales enfocadas a la recuperación de los grupos musculares afectados?</t>
  </si>
  <si>
    <t>¿Se desarrollan controles sobre las posturas corporales y movimientos de trabajo para evitar la fatiga muscular?</t>
  </si>
  <si>
    <t>X</t>
  </si>
  <si>
    <t>No aplica
(N/A)</t>
  </si>
  <si>
    <t>Otros riesgos de accidente
a) inherentes a la manipulación de herramientas eléctricas</t>
  </si>
  <si>
    <t>Otros riesgos de accidente
b) inherentes a la manipulación de herramientas manuales</t>
  </si>
  <si>
    <t>Contactos térmicos
a) inherentes al trabajador</t>
  </si>
  <si>
    <t>Contactos térmicos
b) inherentes a la manipulación de elementos estructurales</t>
  </si>
  <si>
    <t>Contactos térmicos
c) inherentes al proceso de soldadura</t>
  </si>
  <si>
    <t>150a - E</t>
  </si>
  <si>
    <t>150b - E</t>
  </si>
  <si>
    <t>150c - E</t>
  </si>
  <si>
    <t>¿Se iluminan las zonas por las que debe circular el peatón cuando se trabaja en zonas urbanas con propiedades colindantes?</t>
  </si>
  <si>
    <t>Nivel de deficiencia real
(NDR)</t>
  </si>
  <si>
    <t>Nivel de deficiencia ponderado
(NDP)</t>
  </si>
  <si>
    <t>ND detectado</t>
  </si>
  <si>
    <t>nd detectado</t>
  </si>
  <si>
    <t>Nivel de deficiencia detectado
(NDD)</t>
  </si>
  <si>
    <t>¿Se cuenta con la certificación de competencias laborales en prevención de riesgos laborales?</t>
  </si>
  <si>
    <r>
      <t>¿Existe una</t>
    </r>
    <r>
      <rPr>
        <b/>
        <sz val="11"/>
        <color theme="1"/>
        <rFont val="Arial"/>
        <family val="2"/>
      </rPr>
      <t xml:space="preserve"> </t>
    </r>
    <r>
      <rPr>
        <sz val="11"/>
        <color theme="1"/>
        <rFont val="Arial"/>
        <family val="2"/>
      </rPr>
      <t>persona competente que supervise, asista y oriente los trabajos en altura?</t>
    </r>
  </si>
  <si>
    <t>010 - I</t>
  </si>
  <si>
    <t>¿Se prohíbe el ingreso de personas ajenas a la obra, con excepción de aquellas que han sido autorizadas para tal efecto?</t>
  </si>
  <si>
    <t>¿Se encuentran cercados y señalados los bordes de toda excavación próximos a vías públicas o con riesgo de caída de personas?</t>
  </si>
  <si>
    <t>¿La comunicación entre plataformas de trabajo a diferentes alturas se realiza a través de gradas o escaleras fijadas sólidamente en cabeza y base?</t>
  </si>
  <si>
    <t>¿Se inspeccionan las escaleras manuales o portátiles, así como los sistemas de sujeción y apoyo?</t>
  </si>
  <si>
    <t>¿El ascenso, descenso y trabajo a través de escaleras manuales o portátiles se realizan de frente a la escalera?</t>
  </si>
  <si>
    <t>¿Se prohíbe que dos trabajadores utilicen simultáneamente la misma escalera?</t>
  </si>
  <si>
    <t>¿Se protegen las aberturas de los pozos con barandas y rodapiés reglamentarios?</t>
  </si>
  <si>
    <t>¿Se prohíbe la realización de trabajos cuándo se presentan condiciones climatológicas desfavorables, que amenacen la estabilidad de las instalaciones o de las personas?</t>
  </si>
  <si>
    <t>020 - I</t>
  </si>
  <si>
    <t>¿Se formula e integra programas de seguridad y salud en el trabajo al interior de las obras?</t>
  </si>
  <si>
    <t>¿Se proporciona un adecuado lugar de trabajo que garantice la salud, seguridad y bienestar de los trabajadores?</t>
  </si>
  <si>
    <t>¿Las salidas se encuentran señalizadas, en perfecto estado de conservación y libres de obstáculos?</t>
  </si>
  <si>
    <t>¿Se disponen de accesos a intervalos no mayores de 12.00 m, que permitan la rápida y segura entrada y salida de los trabajadores a la excavación ?</t>
  </si>
  <si>
    <t>¿Se colocan los pasos peatonales necesarios, debidamente señalizados, para quienes transitan por el lugar de influencia?</t>
  </si>
  <si>
    <t>¿Se disponen de pasos y pasarelas reglamentarias en aquellos lugares por los que deben circular los trabajadores, y que por lo reciente de su construcción o por cualquier otra causa ofrezcan peligro?</t>
  </si>
  <si>
    <t>¿Se mantiene el orden y limpieza de la obra como de las vías de acceso, retirando ágil y oportunamente los escombros?</t>
  </si>
  <si>
    <t>¿Se prohíbe colocar elementos que obstruyen el paso en aquellos lugares por los que circulan los trabajadores?</t>
  </si>
  <si>
    <t>¿Se colocan de forma organizada los cables o mangueras en el interior de la obra?</t>
  </si>
  <si>
    <t>030 - I</t>
  </si>
  <si>
    <t>¿Se realizan los correspondientes análisis de suelo, a fin de establecer medidas de seguridad oportunas, que se ajusten a las condiciones del terreno y naturaleza de los trabajos?</t>
  </si>
  <si>
    <t>¿Se adoptan los ángulos de talud de acuerdo con la naturaleza del terreno o en su defecto según lo dispuesto por la dirección técnica competente de la obra?</t>
  </si>
  <si>
    <t>¿Cuándo se disponen de taludes no estables en los trabajos de excavación, se dispone de una adecuada entibación o contención a partir de 1.50 m?</t>
  </si>
  <si>
    <t>¿La excavación manual que necesita entibación, se realiza a medida que se profundiza y por franjas, acorde a las condiciones del terreno y en ningún caso se supera los 1.50 m de profundidad?</t>
  </si>
  <si>
    <t>¿En terrenos de defectuosa o dudosa estabilidad, el desentibado se efectúa simultáneamente al relleno o se da por perdida la entibación?</t>
  </si>
  <si>
    <t>¿En la excavación de zanjas se cumple con el ancho mínimo, de acuerdo a la profundidad y en ningún caso se supera los 5.00 m o se sobre excava de tal forma que no se supere ésta?</t>
  </si>
  <si>
    <t>¿Se examina el buen estado de la excavación y sus entibaciones, con personal calificado, diariamente, al comenzar la jornada de trabajo o después de cualquier circunstancia que haya podido afectar su estabilidad?</t>
  </si>
  <si>
    <t>¿Se dispone de un adecuado sistema de excavación, estableciendo o reforzando la entibación cuando la presencia de aguas subterráneas u otros factores perjudiquen su estabilidad?</t>
  </si>
  <si>
    <t>040 - I</t>
  </si>
  <si>
    <t>¿Se dispone de señalización preventiva, informativa o de obligación, fácilmente identificable por el personal que ingresa a las áreas de trabajo?</t>
  </si>
  <si>
    <t>¿Se designa y autoriza al personal responsable de las maniobras de izaje, incluyendo a los supervisores de esta operación?</t>
  </si>
  <si>
    <t>¿El equipo de elevación muestra las cargas máximas y condiciones de trabajo en el que puede utilizarse?</t>
  </si>
  <si>
    <t>¿Los objetos y materiales que se encuentran en las proximidades de la futura excavación son eliminados o apuntalados previa ejecución de los trabajos?</t>
  </si>
  <si>
    <t>¿Previo al retiro de elementos próximos a la excavación, se verifica su influencia sobre la estabilidad del terreno?</t>
  </si>
  <si>
    <t>¿Se despejan las paredes y los bordes de la excavación de objetos que pudieran caer, y éstos se depositan según el criterio de distancias de seguridad?</t>
  </si>
  <si>
    <t>¿Previo a las operaciones de izaje se acordona la zona de carga del elevador en un entorno de al menos 2.00 m?</t>
  </si>
  <si>
    <t>¿Los trabajadores que se encuentran en el interior de la excavación son advertidos de las operaciones de subida y bajada de materiales?</t>
  </si>
  <si>
    <t>¿Al utilizar máquinas o elementos que generen vibraciones se vigila el efecto de estas sobre la excavación y la entibación?</t>
  </si>
  <si>
    <t>¿La madera usada en el entibado cuenta con un espesor no menor a 4.00 cm para profundidades menores a 2.50 m y 7.00 cm para profundidades mayores?</t>
  </si>
  <si>
    <t>090 - I</t>
  </si>
  <si>
    <t>¿Existen avisos preventivos que instruyan al personal sobre los peligros existentes y el cuidado de estos?</t>
  </si>
  <si>
    <t>¿Se proporciona ropa de trabajo acorde al riesgo laboral al que se encuentran expuestos los trabajadores?</t>
  </si>
  <si>
    <t>¿Se provee a los trabajadores elementos de protección personal y colectiva que se adapten a la exigencia de la labor a ejecutar?</t>
  </si>
  <si>
    <t>¿Se identifican y evalúan los riesgos de forma inicial y periódica?</t>
  </si>
  <si>
    <t>¿Se informa a los trabajadores por escrito o por cualquier otro medio sobre los riesgos laborales a los que están expuestos?</t>
  </si>
  <si>
    <t>¿Se usan adecuadamente los equipos de protección personal?</t>
  </si>
  <si>
    <t>¿Se prohíbe el uso de extensiones con tubo u otro material similar para aumentar el brazo de palanca?</t>
  </si>
  <si>
    <t>¿Se vigila el buen uso y funcionamiento de los dispositivos destinados a elevar y descender cargas?</t>
  </si>
  <si>
    <t>¿Se informa oportunamente sobre cualquier dolencia que se haya originado como consecuencia de la realización de las labores o de las condiciones y ambiente de trabajo?</t>
  </si>
  <si>
    <t>¿Los trabajadores tienen derecho a interrumpir sus actividades cuando se considere la existencia de un peligro inminente que ponga en riesgo su seguridad o la de los otros trabajadores?</t>
  </si>
  <si>
    <t>¿Cuándo hay más de un trabajador en la zanja, el espacio entre cada uno de ellos es de al menos 4.00 m?</t>
  </si>
  <si>
    <t>¿Se cumplen con las instrucciones de los programas de seguridad y salud en el trabajo?</t>
  </si>
  <si>
    <t>100 - I</t>
  </si>
  <si>
    <t>¿Se encuentran señalizados los lugares o puestos de trabajo en los que es obligatorio el uso de algún medio de protección personal?</t>
  </si>
  <si>
    <t>¿Se suministra ropa de trabajo, cuando la actividad implica por sus características, un determinado riesgo de accidente, enfermedad profesional o es marcadamente sucia?</t>
  </si>
  <si>
    <t>¿Las partes fijas o móviles de las máquinas que representan riesgo por acción proyectiva se encuentran protegidas mediante resguardos cuando son técnica y funcionalmente posible?</t>
  </si>
  <si>
    <t>¿Se provee a los trabajadores protecciones de rostro, cuerpo y extremidades, apropiados para los trabajos que involucren proyección de partículas?</t>
  </si>
  <si>
    <t>¿Se provee a los trabajadores protectores de ojos en las actividades con alto riesgo de proyección de solidos?</t>
  </si>
  <si>
    <t>¿Al utilizar palas cargadoras se prohíbe el manejo de grandes cargas bajo la influencia de fuertes vientos?</t>
  </si>
  <si>
    <t>¿Se riega la carga con agua a fin de evitar la producción de polvo?</t>
  </si>
  <si>
    <t>¿En el transporte de materiales pétreos o tierra, se cubre la carga con una lona?</t>
  </si>
  <si>
    <t>110 - I</t>
  </si>
  <si>
    <t>¿Se prohíbe el ingreso de personal no autorizado a espacios confinados?</t>
  </si>
  <si>
    <t>¿Se somete a los trabajadores a los exámenes médicos acorde a los riesgos a los que están expuestos?</t>
  </si>
  <si>
    <t>¿Se adaptan los puestos de trabajo de acuerdo con las capacidades de los trabajadores?</t>
  </si>
  <si>
    <t>¿Se disponen de sistemas de respuesta a emergencias en caso de accidentes mayores?</t>
  </si>
  <si>
    <t>¿En el ascenso o descenso de cargas se prohíbe la sujeción del arnés de seguridad a la estructura del elevador?</t>
  </si>
  <si>
    <t>¿Cuándo el terreno lo requiere se procede a entibar, de forma continua y paralela a la extracción de tierras?</t>
  </si>
  <si>
    <t>¿El desentibado se realiza de abajo hacia arriba, sin superar la altura máxima de 1.50 m?</t>
  </si>
  <si>
    <t>¿Se prohíbe el ingreso de personas, a excavaciones realizadas por medios mecánicos, con taludes no estables y de profundidad superior a 1.50 m ?</t>
  </si>
  <si>
    <t>¿El entibado de excavaciones por medios mecánicos, se realiza desde el exterior y en cuyo caso que requiera el ingreso de trabajadores, se efectúa a través de jaulas de seguridad o medios equivalentes?</t>
  </si>
  <si>
    <t>Atrapamiento por vuelco de máquinas</t>
  </si>
  <si>
    <t>120 - I</t>
  </si>
  <si>
    <t>¿Se comprueba la maquinaria periódicamente y se lleva un registro de mantenimiento preventivo y correctivo el estado de los sistemas antivuelco y anti-impacto?</t>
  </si>
  <si>
    <t>¿Se utiliza la maquinaria para los fines y terrenos para los cuales ha sido diseñada?</t>
  </si>
  <si>
    <t>¿La operación de maquinaria en obra se encuentra a cargo de personal calificado y autorizado para tal efecto?</t>
  </si>
  <si>
    <t>¿Se respeta la velocidad máxima establecida al interior de la obra?</t>
  </si>
  <si>
    <t>¿Se respeta el límite establecido de carga de acuerdo con las condiciones del vehículo?</t>
  </si>
  <si>
    <t>¿Se evita dejar las máquinas estacionadas en las zonas de circulación y cuando esto no sea posible se indica la presencia de estas?</t>
  </si>
  <si>
    <t>¿Se coloca tacos inmovilizadores de las ruedas de la maquinaria previo al retiro del freno de mano?</t>
  </si>
  <si>
    <t>¿Se dispone de cuñas u obstáculos a nivel de piso, que indiquen el límite de aproximación cuándo un vehículo deba aproximarse a un borde de talud o corte?</t>
  </si>
  <si>
    <t>¿Cuándo se transportan materiales que impiden la visibilidad se cuenta con un guía?</t>
  </si>
  <si>
    <t>¿Se cuenta con un ayudante o señalero que guíe al conductor por medio de señales cuando se descarga materiales de la maquinaria?</t>
  </si>
  <si>
    <t>¿Se establece un sistema de riego, sin encharcar o hacer deslizante la vía, cuando la visibilidad disminuye a causa del polvo producido de la propia circulación de la maquinaria?</t>
  </si>
  <si>
    <t>¿En los elevadores mecánicos se indica el peso máximo autorizado?</t>
  </si>
  <si>
    <t>230 - I</t>
  </si>
  <si>
    <t>¿El conductor usa casco y equipo de protección para cada situación cuando abandona la cabina protegida de la maquinaria?</t>
  </si>
  <si>
    <t>¿Se inspecciona la maquinaria diariamente y antes de comenzar la jornada a fin de verificar las condiciones seguras de funcionamiento?</t>
  </si>
  <si>
    <t>¿Se establece en los planos de la obra los caminos internos, organizando las direcciones obligatorias y preferenciales?</t>
  </si>
  <si>
    <t>¿La maquinaria se encuentra equipada de señales acústicas de reversa?</t>
  </si>
  <si>
    <t>¿Se prohíbe el trasporte de personas sobre la maquinaria?</t>
  </si>
  <si>
    <t>¿Se prohíbe dormir o comer a la sombra de la maquinaria?</t>
  </si>
  <si>
    <t>¿Se marca el contorno de la maquinaria durante el tiempo de parada cuando esta se encuentra dentro de la zona de trabajo?</t>
  </si>
  <si>
    <t>250a - I</t>
  </si>
  <si>
    <t>¿Existe señalización preventiva, y formativa o de obligación que permita la identificación del riesgo por parte de los trabajadores o personal que ingresa al área de trabajo?</t>
  </si>
  <si>
    <t>¿Se dispone de medios de protección individual que se ajustan a la necesidad particular del puesto de trabajo?</t>
  </si>
  <si>
    <t>¿Los equipos de protección individual se ajustan perfectamente a quien los usa y no representan por sí mismo un riesgo adicional para el trabajador?</t>
  </si>
  <si>
    <t>¿El personal de obra cuenta con el respectivo permiso de trabajo de acuerdo con la tarea a ejecutar?</t>
  </si>
  <si>
    <t>¿Se manipula las máquinas previa autorización y capacitación?</t>
  </si>
  <si>
    <t>¿Se proporciona el espacio suficiente y estable para el apoyo de los pies en el manejo de las máquinas?</t>
  </si>
  <si>
    <t>¿Se realiza una inspección de la máquina previo al inicio y fin de la jornada de trabajo u operación de la misma?</t>
  </si>
  <si>
    <t>¿Las máquinas disponen de resguardos de protección, aunque estas se encuentren fijas a un banco de trabajo?</t>
  </si>
  <si>
    <t>¿Se mantienen el buen estado las máquinas con mantenimiento regular en función de su estado de conservación y de la frecuencia de su uso?</t>
  </si>
  <si>
    <t>¿Se desconectan las máquinas de su fuente de alimentación, al dejarlas de utilizar incluso por periodos breves?</t>
  </si>
  <si>
    <t>250b - I</t>
  </si>
  <si>
    <t>¿Se proveen guantes protectores de cuero, caucho u otro material adecuado cuando existe riesgo de lesión en las manos?</t>
  </si>
  <si>
    <t>¿Se manipula las herramientas previa autorización y capacitación?</t>
  </si>
  <si>
    <t>¿Se proporciona el suficiente espacio de trabajo de tal forma que exista una distancia mínima entre trabajadores?</t>
  </si>
  <si>
    <t>¿Se selecciona y usa la herramienta adecuada según el trabajo a realizar?</t>
  </si>
  <si>
    <t>¿Se proporcionan herramientas de adecuado grosor, longitud y forma que faciliten un cómodo manejo?</t>
  </si>
  <si>
    <t>¿Se inspeccionan y se da mantenimiento regular a las herramientas?</t>
  </si>
  <si>
    <t>¿Las herramientas se encuentran libres de grasas, aceites u otras sustancias deslizantes?</t>
  </si>
  <si>
    <t>¿Se mantienen afiladas las partes cortantes o punzantes de las herramientas de corte?</t>
  </si>
  <si>
    <t>¿Se notifica a un superior los desperfectos de las herramientas?</t>
  </si>
  <si>
    <t>¿Se reemplazan las herramientas deterioradas a fin de garantizar condiciones seguras de operación?</t>
  </si>
  <si>
    <t>¿Se realiza una evaluación de riesgos antes de iniciar cualquier trabajo subterráneo y se realiza una revisión periódica de estos?</t>
  </si>
  <si>
    <t>¿El personal de obra cuenta con el respectivo permiso de trabajo de acuerdo con la labor a ejecutar?</t>
  </si>
  <si>
    <t>¿Se verifica que los trabajadores cuenten con la aptitud médica para realizar trabajos en espacios confinados?</t>
  </si>
  <si>
    <t>¿Se dispone de un vigía que mantenga comunicación y contacto con aquellos trabajadores que hayan ingresado a la excavación o espacio confinado?</t>
  </si>
  <si>
    <t>¿Se capacita y entrena a todo trabajador que ingresa a espacios confinados a fin de que realice sus actividades de forma segura?</t>
  </si>
  <si>
    <t>¿Se comprueba el estado de la atmosfera antes del ingreso de los trabajadores a la excavación, cuando se teme la existencia de un ambiente peligroso?</t>
  </si>
  <si>
    <t>¿Se cuenta con la adecuada ventilación antes del ingreso y durante las actividades que se ejecutan en su interior?</t>
  </si>
  <si>
    <t>¿Se dispone de un sistema de ventilación que mantenga la pureza del ambiente cuando no se tiene la suficiente ventilación natural?</t>
  </si>
  <si>
    <t>¿Se vigila, acompaña y coordina desde el exterior de la excavación cuando esta presenta peligro de asfixia o intoxicación?</t>
  </si>
  <si>
    <t>¿Se provee a los trabajadores de protectores respiratorios, adecuados para trabajos en atmosferas contaminadas?</t>
  </si>
  <si>
    <t>Otra exposición
a) asfixia o intoxicación</t>
  </si>
  <si>
    <t>Contactos eléctricos</t>
  </si>
  <si>
    <t>160 - I</t>
  </si>
  <si>
    <t>¿Se dispone de señalización que advierta sobre el peligro en el área donde existe riesgo eléctrico?</t>
  </si>
  <si>
    <t>¿Se delimita el área de trabajo para evitar el ingreso y circulación de personal no autorizado?</t>
  </si>
  <si>
    <t>¿Se solicitan permisos eléctricos cuando se realizan trabajos de cableado, conexionado o en equipos eléctricos y otros permisos de acuerdo con el lugar de trabajo?</t>
  </si>
  <si>
    <t>¿El personal que realiza actividades con energía eléctrica cuenta con la formación, conocimiento y entrenamiento necesario para trabajar de manera segura?</t>
  </si>
  <si>
    <t>¿Toda persona que ejecuta trabajos eléctricos se encuentra aislada eléctricamente?</t>
  </si>
  <si>
    <t>¿Se verifica el buen estado y uso de los elementos de protección personal?</t>
  </si>
  <si>
    <t>¿Se protegen las instalaciones eléctricas de condiciones climáticas que pueden comprometer o poner en riesgo a los trabajadores?</t>
  </si>
  <si>
    <t>¿Se suspenden los trabajos de instalaciones eléctricas durante el tiempo de pruebas eléctricas, tormentas u otra situación que involucre por sí mismo un riesgo?</t>
  </si>
  <si>
    <t>¿Se adoptan medidas preventivas frente a la presencia de instalaciones subterráneas que puedan encontrarse en la zona de trabajo?</t>
  </si>
  <si>
    <t>¿Se prohíbe la realización y dirección de trabajos simultáneos, con o sin tensión, por el mismo trabajador, en la misma área de trabajo?</t>
  </si>
  <si>
    <t>¿Se entrena al personal de obra en medidas de respuesta a emergencias, en caso de contacto accidental con las líneas eléctricas?</t>
  </si>
  <si>
    <t>¿Se prohíbe realizar, alterar o cambiar instalaciones o sistemas eléctricos sin conocimientos o previa autorización?</t>
  </si>
  <si>
    <t>¿Se implementa un sistema óptimo de protección radiológica que asegure que el número, probabilidad y magnitud sean tan bajos como sea razonablemente alcanzable?</t>
  </si>
  <si>
    <t>I-Resumen'!A1</t>
  </si>
  <si>
    <t>Actividad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</si>
</sst>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Aptos Narrow"/>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sz val="11"/>
      <color theme="1"/>
      <name val="Times New Roman"/>
      <family val="1"/>
    </font>
    <font>
      <b/>
      <sz val="11"/>
      <color rgb="FF000000"/>
      <name val="Times New Roman"/>
      <family val="1"/>
    </font>
    <font>
      <b/>
      <sz val="11"/>
      <color theme="1"/>
      <name val="Times New Roman"/>
      <family val="1"/>
    </font>
    <font>
      <sz val="8"/>
      <name val="Aptos Narrow"/>
      <family val="2"/>
      <scheme val="minor"/>
    </font>
    <font>
      <b/>
      <sz val="9"/>
      <color indexed="81"/>
      <name val="Tahoma"/>
      <family val="2"/>
    </font>
    <font>
      <sz val="9"/>
      <color indexed="81"/>
      <name val="Tahoma"/>
      <family val="2"/>
    </font>
    <font>
      <b/>
      <sz val="11"/>
      <color theme="1"/>
      <name val="Arial"/>
      <family val="2"/>
    </font>
    <font>
      <b/>
      <sz val="11"/>
      <name val="Arial"/>
      <family val="2"/>
    </font>
    <font>
      <sz val="11"/>
      <color theme="1"/>
      <name val="Arial"/>
      <family val="2"/>
    </font>
    <font>
      <sz val="11"/>
      <name val="Arial"/>
      <family val="2"/>
    </font>
    <font>
      <b/>
      <sz val="11"/>
      <color rgb="FF000000"/>
      <name val="Arial"/>
      <family val="2"/>
    </font>
    <font>
      <sz val="11"/>
      <color rgb="FF000000"/>
      <name val="Arial"/>
      <family val="2"/>
    </font>
    <font>
      <sz val="11"/>
      <color rgb="FF0070C0"/>
      <name val="Arial"/>
      <family val="2"/>
    </font>
    <font>
      <sz val="11"/>
      <color theme="1"/>
      <name val="Aptos"/>
      <family val="2"/>
    </font>
    <font>
      <b/>
      <sz val="11"/>
      <color theme="1"/>
      <name val="Aptos"/>
      <family val="2"/>
    </font>
    <font>
      <b/>
      <sz val="11"/>
      <color rgb="FF000000"/>
      <name val="Aptos"/>
      <family val="2"/>
    </font>
    <font>
      <u/>
      <sz val="11"/>
      <color theme="10"/>
      <name val="Aptos Narrow"/>
      <family val="2"/>
      <scheme val="minor"/>
    </font>
    <font>
      <b/>
      <sz val="11"/>
      <color theme="10"/>
      <name val="Arial"/>
      <family val="2"/>
    </font>
    <font>
      <sz val="6"/>
      <color theme="1"/>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2F2F2"/>
        <bgColor indexed="64"/>
      </patternFill>
    </fill>
    <fill>
      <patternFill patternType="solid">
        <fgColor rgb="FF00B0F0"/>
        <bgColor indexed="64"/>
      </patternFill>
    </fill>
  </fills>
  <borders count="1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top/>
      <bottom style="thin">
        <color theme="0" tint="-0.499984740745262"/>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s>
  <cellStyleXfs count="2">
    <xf numFmtId="0" fontId="0" fillId="0" borderId="0"/>
    <xf numFmtId="0" fontId="27" fillId="0" borderId="0" applyNumberFormat="0" applyFill="0" applyBorder="0" applyAlignment="0" applyProtection="0"/>
  </cellStyleXfs>
  <cellXfs count="112">
    <xf numFmtId="0" fontId="0" fillId="0" borderId="0" xfId="0"/>
    <xf numFmtId="0" fontId="0" fillId="0" borderId="0" xfId="0" applyAlignment="1">
      <alignment horizontal="center"/>
    </xf>
    <xf numFmtId="0" fontId="9" fillId="4"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2" fillId="4"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10" fillId="4" borderId="1" xfId="0" applyFont="1" applyFill="1" applyBorder="1" applyAlignment="1">
      <alignment horizontal="center" vertical="center" wrapText="1"/>
    </xf>
    <xf numFmtId="2" fontId="13" fillId="0" borderId="1" xfId="0" applyNumberFormat="1" applyFont="1" applyBorder="1" applyAlignment="1">
      <alignment horizontal="center" vertical="center" wrapText="1"/>
    </xf>
    <xf numFmtId="2" fontId="11" fillId="0" borderId="1" xfId="0" applyNumberFormat="1" applyFont="1" applyBorder="1" applyAlignment="1">
      <alignment horizontal="center" vertical="center"/>
    </xf>
    <xf numFmtId="0" fontId="7" fillId="0" borderId="0" xfId="0" applyFont="1" applyAlignment="1">
      <alignment horizontal="center" vertical="center" wrapText="1"/>
    </xf>
    <xf numFmtId="0" fontId="17" fillId="0" borderId="1" xfId="0" applyFont="1" applyBorder="1" applyAlignment="1">
      <alignment horizontal="center" vertical="center" textRotation="90" wrapText="1"/>
    </xf>
    <xf numFmtId="0" fontId="19" fillId="0" borderId="1" xfId="0" applyFont="1" applyBorder="1" applyAlignment="1">
      <alignment horizontal="center" vertical="center" wrapText="1"/>
    </xf>
    <xf numFmtId="49" fontId="20" fillId="0" borderId="1" xfId="0" applyNumberFormat="1" applyFont="1" applyBorder="1" applyAlignment="1">
      <alignment horizontal="center" vertical="center"/>
    </xf>
    <xf numFmtId="2" fontId="19" fillId="0" borderId="1" xfId="0" applyNumberFormat="1" applyFont="1" applyBorder="1" applyAlignment="1">
      <alignment horizontal="center"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xf>
    <xf numFmtId="2" fontId="20" fillId="0" borderId="1" xfId="0" applyNumberFormat="1" applyFont="1" applyBorder="1" applyAlignment="1">
      <alignment horizontal="center" vertical="center"/>
    </xf>
    <xf numFmtId="2" fontId="19" fillId="0" borderId="1" xfId="0" applyNumberFormat="1" applyFont="1" applyBorder="1" applyAlignment="1">
      <alignment horizontal="center" vertical="center"/>
    </xf>
    <xf numFmtId="0" fontId="9" fillId="4" borderId="5" xfId="0" applyFont="1" applyFill="1" applyBorder="1" applyAlignment="1">
      <alignment horizontal="center" vertical="center" wrapText="1"/>
    </xf>
    <xf numFmtId="2" fontId="0" fillId="0" borderId="0" xfId="0" applyNumberFormat="1"/>
    <xf numFmtId="0" fontId="7" fillId="3" borderId="1" xfId="0" applyFont="1" applyFill="1" applyBorder="1" applyAlignment="1">
      <alignment horizontal="center" vertical="center" wrapText="1"/>
    </xf>
    <xf numFmtId="0" fontId="18" fillId="0" borderId="1" xfId="0" applyFont="1" applyBorder="1" applyAlignment="1">
      <alignment horizontal="center" vertical="center" textRotation="90" wrapText="1"/>
    </xf>
    <xf numFmtId="0" fontId="21" fillId="4" borderId="5" xfId="0" applyFont="1" applyFill="1" applyBorder="1" applyAlignment="1">
      <alignment horizontal="center" vertical="center" wrapText="1"/>
    </xf>
    <xf numFmtId="0" fontId="19" fillId="0" borderId="0" xfId="0" applyFont="1" applyAlignment="1">
      <alignment horizontal="center" vertical="center" wrapText="1"/>
    </xf>
    <xf numFmtId="0" fontId="17" fillId="0" borderId="6" xfId="0" applyFont="1" applyBorder="1" applyAlignment="1">
      <alignment horizontal="center" vertical="center" wrapText="1"/>
    </xf>
    <xf numFmtId="0" fontId="21" fillId="4" borderId="6"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19" fillId="0" borderId="6" xfId="0" applyFont="1" applyBorder="1" applyAlignment="1">
      <alignment horizontal="center" vertical="center" wrapText="1"/>
    </xf>
    <xf numFmtId="2" fontId="19" fillId="0" borderId="6" xfId="0" applyNumberFormat="1" applyFont="1" applyBorder="1" applyAlignment="1">
      <alignment horizontal="center" vertical="center"/>
    </xf>
    <xf numFmtId="2" fontId="17" fillId="0" borderId="6" xfId="0" applyNumberFormat="1" applyFont="1" applyBorder="1" applyAlignment="1">
      <alignment horizontal="center" vertical="center" wrapText="1"/>
    </xf>
    <xf numFmtId="2" fontId="19" fillId="0" borderId="6" xfId="0" applyNumberFormat="1" applyFont="1" applyBorder="1" applyAlignment="1">
      <alignment horizontal="center" vertical="center" wrapText="1"/>
    </xf>
    <xf numFmtId="2" fontId="21" fillId="0" borderId="6" xfId="0" applyNumberFormat="1" applyFont="1" applyBorder="1" applyAlignment="1">
      <alignment horizontal="center" vertical="center" wrapText="1"/>
    </xf>
    <xf numFmtId="0" fontId="19" fillId="0" borderId="0" xfId="0" applyFont="1" applyAlignment="1">
      <alignment vertical="center"/>
    </xf>
    <xf numFmtId="0" fontId="21" fillId="4" borderId="3" xfId="0" applyFont="1" applyFill="1" applyBorder="1" applyAlignment="1">
      <alignment horizontal="center" vertical="center" wrapText="1"/>
    </xf>
    <xf numFmtId="0" fontId="19" fillId="0" borderId="6" xfId="0" applyFont="1" applyBorder="1" applyAlignment="1">
      <alignment horizontal="center" vertical="center"/>
    </xf>
    <xf numFmtId="0" fontId="19" fillId="0" borderId="0" xfId="0" applyFont="1" applyAlignment="1">
      <alignment horizontal="center" vertical="center"/>
    </xf>
    <xf numFmtId="0" fontId="17" fillId="0" borderId="0" xfId="0" applyFont="1" applyAlignment="1">
      <alignment horizontal="center" vertical="center" wrapText="1"/>
    </xf>
    <xf numFmtId="49" fontId="23" fillId="0" borderId="0" xfId="0" applyNumberFormat="1" applyFont="1" applyAlignment="1">
      <alignment horizontal="center" vertical="center"/>
    </xf>
    <xf numFmtId="49" fontId="19" fillId="0" borderId="0" xfId="0" applyNumberFormat="1" applyFont="1" applyAlignment="1">
      <alignment horizontal="center" vertical="center"/>
    </xf>
    <xf numFmtId="0" fontId="24" fillId="0" borderId="6" xfId="0" applyFont="1" applyBorder="1" applyAlignment="1">
      <alignment horizontal="center" vertical="center" wrapText="1"/>
    </xf>
    <xf numFmtId="0" fontId="6" fillId="0" borderId="6" xfId="0" applyFont="1" applyBorder="1" applyAlignment="1">
      <alignment horizontal="center" vertical="center" wrapText="1"/>
    </xf>
    <xf numFmtId="2" fontId="17" fillId="4" borderId="6" xfId="0" applyNumberFormat="1" applyFont="1" applyFill="1" applyBorder="1" applyAlignment="1">
      <alignment horizontal="center" vertical="center" wrapText="1"/>
    </xf>
    <xf numFmtId="2" fontId="17" fillId="4" borderId="9" xfId="0" applyNumberFormat="1" applyFont="1" applyFill="1" applyBorder="1" applyAlignment="1">
      <alignment horizontal="center" vertical="center" wrapText="1"/>
    </xf>
    <xf numFmtId="2" fontId="17" fillId="0" borderId="9" xfId="0" applyNumberFormat="1" applyFont="1" applyBorder="1" applyAlignment="1">
      <alignment horizontal="center" vertical="center" wrapText="1"/>
    </xf>
    <xf numFmtId="2" fontId="19" fillId="0" borderId="10" xfId="0" applyNumberFormat="1" applyFont="1" applyBorder="1" applyAlignment="1">
      <alignment horizontal="center" vertical="center" wrapText="1"/>
    </xf>
    <xf numFmtId="0" fontId="5" fillId="0" borderId="6" xfId="0" applyFont="1" applyBorder="1" applyAlignment="1">
      <alignment horizontal="center" vertical="center" wrapText="1"/>
    </xf>
    <xf numFmtId="0" fontId="26" fillId="4" borderId="6" xfId="0" applyFont="1" applyFill="1" applyBorder="1" applyAlignment="1">
      <alignment horizontal="center" vertical="center" wrapText="1"/>
    </xf>
    <xf numFmtId="2" fontId="24" fillId="0" borderId="6" xfId="0" applyNumberFormat="1" applyFont="1" applyBorder="1" applyAlignment="1">
      <alignment horizontal="center" vertical="center" wrapText="1"/>
    </xf>
    <xf numFmtId="2" fontId="21" fillId="4" borderId="6" xfId="0" applyNumberFormat="1" applyFont="1" applyFill="1" applyBorder="1" applyAlignment="1">
      <alignment horizontal="center" vertical="center" wrapText="1"/>
    </xf>
    <xf numFmtId="2" fontId="25" fillId="0" borderId="6" xfId="0" applyNumberFormat="1" applyFont="1" applyBorder="1" applyAlignment="1">
      <alignment horizontal="center" vertical="center" wrapText="1"/>
    </xf>
    <xf numFmtId="2" fontId="5" fillId="0" borderId="6" xfId="0" applyNumberFormat="1" applyFont="1" applyBorder="1" applyAlignment="1">
      <alignment horizontal="center" vertical="center" wrapText="1"/>
    </xf>
    <xf numFmtId="2" fontId="26" fillId="4" borderId="6" xfId="0" applyNumberFormat="1" applyFont="1" applyFill="1" applyBorder="1" applyAlignment="1">
      <alignment horizontal="center" vertical="center" wrapText="1"/>
    </xf>
    <xf numFmtId="0" fontId="4" fillId="0" borderId="6" xfId="0" applyFont="1" applyBorder="1" applyAlignment="1">
      <alignment horizontal="center" vertical="center" wrapText="1"/>
    </xf>
    <xf numFmtId="49" fontId="17" fillId="0" borderId="1" xfId="0" applyNumberFormat="1" applyFont="1" applyBorder="1" applyAlignment="1">
      <alignment horizontal="center" vertical="center" textRotation="90" wrapText="1"/>
    </xf>
    <xf numFmtId="0" fontId="28" fillId="3" borderId="0" xfId="1" quotePrefix="1" applyFont="1" applyFill="1" applyAlignment="1">
      <alignment horizontal="center" vertical="center" wrapText="1"/>
    </xf>
    <xf numFmtId="0" fontId="3" fillId="0" borderId="1" xfId="0" applyFont="1" applyBorder="1" applyAlignment="1">
      <alignment horizontal="center" vertical="center"/>
    </xf>
    <xf numFmtId="2" fontId="17" fillId="0" borderId="1" xfId="0" applyNumberFormat="1" applyFont="1" applyBorder="1" applyAlignment="1">
      <alignment horizontal="center" vertical="center" textRotation="90" wrapText="1"/>
    </xf>
    <xf numFmtId="2" fontId="19" fillId="0" borderId="0" xfId="0" applyNumberFormat="1" applyFont="1" applyAlignment="1">
      <alignment horizontal="center" vertical="center"/>
    </xf>
    <xf numFmtId="1" fontId="20" fillId="0" borderId="1" xfId="0" applyNumberFormat="1" applyFont="1" applyBorder="1" applyAlignment="1">
      <alignment horizontal="center" vertical="center"/>
    </xf>
    <xf numFmtId="2" fontId="17" fillId="0" borderId="1" xfId="0" applyNumberFormat="1" applyFont="1" applyBorder="1" applyAlignment="1">
      <alignment vertical="center" textRotation="90" wrapText="1"/>
    </xf>
    <xf numFmtId="0" fontId="29" fillId="0" borderId="0" xfId="0" applyFont="1" applyAlignment="1">
      <alignment horizontal="center" vertical="center" wrapText="1"/>
    </xf>
    <xf numFmtId="0" fontId="29" fillId="0" borderId="0" xfId="0" applyFont="1" applyAlignment="1">
      <alignment horizontal="center" vertical="center"/>
    </xf>
    <xf numFmtId="0" fontId="29" fillId="0" borderId="0" xfId="0" applyFont="1" applyAlignment="1">
      <alignment vertical="center" wrapText="1"/>
    </xf>
    <xf numFmtId="0" fontId="20" fillId="0" borderId="0" xfId="0" applyFont="1" applyAlignment="1">
      <alignment horizontal="center" vertical="center"/>
    </xf>
    <xf numFmtId="0" fontId="17" fillId="0" borderId="1" xfId="0" applyFont="1" applyBorder="1" applyAlignment="1">
      <alignment horizontal="center" vertical="center" textRotation="90" wrapText="1"/>
    </xf>
    <xf numFmtId="0" fontId="18" fillId="0" borderId="1" xfId="0" applyFont="1" applyBorder="1" applyAlignment="1">
      <alignment horizontal="center" vertical="center" textRotation="90" wrapText="1"/>
    </xf>
    <xf numFmtId="0" fontId="21" fillId="4"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17" fillId="0" borderId="6" xfId="0" applyFont="1" applyBorder="1" applyAlignment="1">
      <alignment horizontal="center" vertical="center" wrapText="1"/>
    </xf>
    <xf numFmtId="0" fontId="19" fillId="0" borderId="1" xfId="0" applyFont="1" applyBorder="1" applyAlignment="1">
      <alignment horizontal="center" vertical="center" wrapText="1"/>
    </xf>
    <xf numFmtId="0" fontId="4" fillId="0" borderId="6" xfId="0" applyFont="1" applyBorder="1" applyAlignment="1">
      <alignment horizontal="center" vertical="center" wrapText="1"/>
    </xf>
    <xf numFmtId="0" fontId="18" fillId="0" borderId="1" xfId="0" applyFont="1" applyBorder="1" applyAlignment="1">
      <alignment horizontal="center" vertical="center" textRotation="90" wrapText="1"/>
    </xf>
    <xf numFmtId="0" fontId="17" fillId="2" borderId="1" xfId="0" applyFont="1" applyFill="1" applyBorder="1" applyAlignment="1">
      <alignment horizontal="center" vertical="center" wrapText="1"/>
    </xf>
    <xf numFmtId="0" fontId="17" fillId="0" borderId="1" xfId="0" applyFont="1" applyBorder="1" applyAlignment="1">
      <alignment horizontal="center" vertical="center" textRotation="90" wrapText="1"/>
    </xf>
    <xf numFmtId="0" fontId="17" fillId="2" borderId="1" xfId="0" applyFont="1" applyFill="1" applyBorder="1" applyAlignment="1">
      <alignment horizontal="center" vertical="center"/>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4" borderId="6" xfId="0" applyFont="1" applyFill="1" applyBorder="1" applyAlignment="1">
      <alignment horizontal="center" vertical="center" wrapText="1"/>
    </xf>
    <xf numFmtId="0" fontId="3"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6" xfId="0" applyFont="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22" fillId="0" borderId="7"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9" xfId="0" applyFont="1" applyBorder="1" applyAlignment="1">
      <alignment horizontal="center" vertical="center" wrapText="1"/>
    </xf>
    <xf numFmtId="0" fontId="7" fillId="0" borderId="1" xfId="0" applyFont="1" applyBorder="1" applyAlignment="1">
      <alignment horizontal="center" vertical="center" wrapText="1"/>
    </xf>
    <xf numFmtId="0" fontId="13"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3" xfId="0" applyFont="1" applyBorder="1" applyAlignment="1">
      <alignment horizontal="center" vertical="center" wrapText="1"/>
    </xf>
    <xf numFmtId="0" fontId="17" fillId="4" borderId="9" xfId="0" applyFont="1" applyFill="1" applyBorder="1" applyAlignment="1">
      <alignment horizontal="center" vertical="center" wrapText="1"/>
    </xf>
    <xf numFmtId="0" fontId="17" fillId="4" borderId="6" xfId="0" applyFont="1" applyFill="1" applyBorder="1" applyAlignment="1">
      <alignment horizontal="center" vertical="center" wrapText="1"/>
    </xf>
    <xf numFmtId="0" fontId="19" fillId="0" borderId="7" xfId="0" applyFont="1" applyBorder="1" applyAlignment="1">
      <alignment horizontal="center" vertical="center" wrapText="1"/>
    </xf>
    <xf numFmtId="0" fontId="1" fillId="0" borderId="7" xfId="0" applyFont="1" applyBorder="1" applyAlignment="1">
      <alignment horizontal="center" vertical="center" wrapText="1"/>
    </xf>
    <xf numFmtId="0" fontId="22" fillId="0" borderId="12" xfId="0" applyFont="1" applyBorder="1" applyAlignment="1">
      <alignment horizontal="center" vertical="center" wrapText="1"/>
    </xf>
    <xf numFmtId="0" fontId="22" fillId="0" borderId="11" xfId="0" applyFont="1" applyBorder="1" applyAlignment="1">
      <alignment horizontal="center" vertical="center" wrapText="1"/>
    </xf>
    <xf numFmtId="0" fontId="22" fillId="0" borderId="13" xfId="0" applyFont="1" applyBorder="1" applyAlignment="1">
      <alignment horizontal="center" vertical="center" wrapText="1"/>
    </xf>
    <xf numFmtId="0" fontId="3" fillId="0" borderId="6" xfId="0" applyFont="1" applyBorder="1" applyAlignment="1">
      <alignment horizontal="center" vertical="center" wrapText="1"/>
    </xf>
    <xf numFmtId="0" fontId="5" fillId="0" borderId="6" xfId="0" applyFont="1" applyBorder="1" applyAlignment="1">
      <alignment horizontal="center" vertical="center" wrapText="1"/>
    </xf>
    <xf numFmtId="0" fontId="26" fillId="4" borderId="6" xfId="0" applyFont="1" applyFill="1" applyBorder="1" applyAlignment="1">
      <alignment horizontal="center" vertical="center" wrapText="1"/>
    </xf>
    <xf numFmtId="0" fontId="2" fillId="0" borderId="7" xfId="0" applyFont="1" applyBorder="1" applyAlignment="1">
      <alignment horizontal="center" vertical="center" wrapText="1"/>
    </xf>
    <xf numFmtId="0" fontId="4" fillId="0" borderId="6" xfId="0" applyFont="1" applyBorder="1" applyAlignment="1">
      <alignment horizontal="center" vertical="center" wrapText="1"/>
    </xf>
    <xf numFmtId="2" fontId="19" fillId="5" borderId="1" xfId="0" applyNumberFormat="1" applyFont="1" applyFill="1" applyBorder="1" applyAlignment="1">
      <alignment horizontal="center" vertical="center" wrapText="1"/>
    </xf>
    <xf numFmtId="0" fontId="20" fillId="5" borderId="1" xfId="0" applyFont="1" applyFill="1" applyBorder="1" applyAlignment="1">
      <alignment horizontal="center" vertical="center"/>
    </xf>
    <xf numFmtId="49" fontId="20" fillId="5" borderId="1" xfId="0" applyNumberFormat="1" applyFont="1" applyFill="1" applyBorder="1" applyAlignment="1">
      <alignment horizontal="center" vertical="center"/>
    </xf>
    <xf numFmtId="0" fontId="18" fillId="5" borderId="1" xfId="0" applyFont="1" applyFill="1" applyBorder="1" applyAlignment="1">
      <alignment horizontal="center" vertical="center" textRotation="90"/>
    </xf>
    <xf numFmtId="0" fontId="3" fillId="5" borderId="1" xfId="0" applyFont="1" applyFill="1" applyBorder="1" applyAlignment="1">
      <alignment horizontal="center" vertical="center"/>
    </xf>
  </cellXfs>
  <cellStyles count="2">
    <cellStyle name="Hipervínculo" xfId="1" builtinId="8"/>
    <cellStyle name="Normal" xfId="0" builtinId="0"/>
  </cellStyles>
  <dxfs count="42">
    <dxf>
      <font>
        <b/>
        <i val="0"/>
        <color theme="0"/>
      </font>
      <fill>
        <patternFill>
          <bgColor rgb="FFFF0000"/>
        </patternFill>
      </fill>
    </dxf>
    <dxf>
      <font>
        <b/>
        <i val="0"/>
      </font>
      <fill>
        <patternFill>
          <bgColor rgb="FFFFC000"/>
        </patternFill>
      </fill>
    </dxf>
    <dxf>
      <font>
        <b/>
        <i val="0"/>
        <color auto="1"/>
      </font>
      <fill>
        <patternFill>
          <bgColor rgb="FFFFFF00"/>
        </patternFill>
      </fill>
    </dxf>
    <dxf>
      <font>
        <b/>
        <i val="0"/>
      </font>
      <fill>
        <patternFill>
          <bgColor rgb="FF92D050"/>
        </patternFill>
      </fill>
    </dxf>
    <dxf>
      <font>
        <b/>
        <i val="0"/>
        <color theme="0"/>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FFFF00"/>
        </patternFill>
      </fill>
    </dxf>
    <dxf>
      <font>
        <b/>
        <i val="0"/>
        <strike val="0"/>
        <color auto="1"/>
      </font>
      <fill>
        <patternFill>
          <bgColor rgb="FF92D050"/>
        </patternFill>
      </fill>
    </dxf>
    <dxf>
      <font>
        <b/>
        <i val="0"/>
        <color theme="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FF00"/>
        </patternFill>
      </fill>
    </dxf>
    <dxf>
      <font>
        <strike val="0"/>
      </font>
      <fill>
        <patternFill patternType="none">
          <bgColor auto="1"/>
        </patternFill>
      </fill>
    </dxf>
    <dxf>
      <font>
        <b/>
        <i val="0"/>
        <color theme="0"/>
      </font>
      <fill>
        <patternFill>
          <bgColor rgb="FFFF0000"/>
        </patternFill>
      </fill>
    </dxf>
    <dxf>
      <font>
        <b/>
        <i val="0"/>
      </font>
      <fill>
        <patternFill>
          <bgColor rgb="FFFFC000"/>
        </patternFill>
      </fill>
    </dxf>
    <dxf>
      <font>
        <b/>
        <i val="0"/>
        <color auto="1"/>
      </font>
      <fill>
        <patternFill>
          <bgColor rgb="FFFFFF00"/>
        </patternFill>
      </fill>
    </dxf>
    <dxf>
      <font>
        <b/>
        <i val="0"/>
      </font>
      <fill>
        <patternFill>
          <bgColor rgb="FF92D050"/>
        </patternFill>
      </fill>
    </dxf>
    <dxf>
      <font>
        <b/>
        <i val="0"/>
        <color theme="0"/>
      </font>
      <fill>
        <patternFill>
          <bgColor rgb="FFFF0000"/>
        </patternFill>
      </fill>
    </dxf>
    <dxf>
      <font>
        <b/>
        <i val="0"/>
        <color auto="1"/>
      </font>
      <fill>
        <patternFill>
          <bgColor rgb="FFFFC000"/>
        </patternFill>
      </fill>
    </dxf>
    <dxf>
      <font>
        <b/>
        <i val="0"/>
        <color auto="1"/>
      </font>
      <fill>
        <patternFill>
          <bgColor rgb="FFFFFF00"/>
        </patternFill>
      </fill>
    </dxf>
    <dxf>
      <font>
        <b/>
        <i val="0"/>
        <color auto="1"/>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FFFF00"/>
        </patternFill>
      </fill>
    </dxf>
    <dxf>
      <font>
        <b/>
        <i val="0"/>
        <strike val="0"/>
        <color auto="1"/>
      </font>
      <fill>
        <patternFill>
          <bgColor rgb="FF92D050"/>
        </patternFill>
      </fill>
    </dxf>
    <dxf>
      <font>
        <b/>
        <i val="0"/>
        <color theme="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92D050"/>
        </patternFill>
      </fill>
    </dxf>
    <dxf>
      <font>
        <b/>
        <i val="0"/>
        <strike val="0"/>
        <color theme="0"/>
      </font>
      <fill>
        <patternFill>
          <bgColor rgb="FFFF0000"/>
        </patternFill>
      </fill>
    </dxf>
    <dxf>
      <font>
        <b/>
        <i val="0"/>
        <strike val="0"/>
      </font>
      <fill>
        <patternFill>
          <bgColor rgb="FFFFC000"/>
        </patternFill>
      </fill>
    </dxf>
    <dxf>
      <font>
        <b/>
        <i val="0"/>
        <strike val="0"/>
      </font>
      <fill>
        <patternFill>
          <bgColor rgb="FF92D050"/>
        </patternFill>
      </fill>
    </dxf>
    <dxf>
      <font>
        <b/>
        <i val="0"/>
        <strike val="0"/>
      </font>
      <fill>
        <patternFill>
          <bgColor rgb="FFFFFF00"/>
        </patternFill>
      </fill>
    </dxf>
    <dxf>
      <font>
        <strike val="0"/>
      </font>
      <fill>
        <patternFill patternType="none">
          <bgColor auto="1"/>
        </patternFill>
      </fill>
    </dxf>
  </dxfs>
  <tableStyles count="0" defaultTableStyle="TableStyleMedium2" defaultPivotStyle="PivotStyleLight16"/>
  <colors>
    <mruColors>
      <color rgb="FFF2F2F2"/>
      <color rgb="FFFF5050"/>
      <color rgb="FFFFCC66"/>
      <color rgb="FF00FF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9707-D415-4189-8D04-967D66921CE4}">
  <dimension ref="A1:V22"/>
  <sheetViews>
    <sheetView tabSelected="1" workbookViewId="0">
      <selection activeCell="B3" sqref="B3"/>
    </sheetView>
  </sheetViews>
  <sheetFormatPr baseColWidth="10" defaultColWidth="11.625" defaultRowHeight="14.25"/>
  <cols>
    <col min="1" max="1" width="4.75" style="63" customWidth="1"/>
    <col min="2" max="2" width="5.875" style="35" customWidth="1"/>
    <col min="3" max="3" width="18.875" style="35" bestFit="1" customWidth="1"/>
    <col min="4" max="4" width="6.75" style="38" customWidth="1"/>
    <col min="5" max="5" width="16.875" style="35" customWidth="1"/>
    <col min="6" max="6" width="13.75" style="35" bestFit="1" customWidth="1"/>
    <col min="7" max="10" width="6.625" style="35" bestFit="1" customWidth="1"/>
    <col min="11" max="11" width="9.375" style="57" bestFit="1" customWidth="1"/>
    <col min="12" max="12" width="6.625" style="35" bestFit="1" customWidth="1"/>
    <col min="13" max="13" width="4.375" style="35" bestFit="1" customWidth="1"/>
    <col min="14" max="14" width="6.625" style="35" bestFit="1" customWidth="1"/>
    <col min="15" max="15" width="5.625" style="57" bestFit="1" customWidth="1"/>
    <col min="16" max="16" width="3.75" style="35" bestFit="1" customWidth="1"/>
    <col min="17" max="17" width="16.875" style="35" bestFit="1" customWidth="1"/>
    <col min="18" max="18" width="17" style="35" bestFit="1" customWidth="1"/>
    <col min="19" max="19" width="6.625" style="35" customWidth="1"/>
    <col min="20" max="20" width="11.625" style="61"/>
    <col min="21" max="16384" width="11.625" style="35"/>
  </cols>
  <sheetData>
    <row r="1" spans="1:22" ht="27" customHeight="1">
      <c r="A1" s="71" t="s">
        <v>0</v>
      </c>
      <c r="B1" s="73" t="s">
        <v>1</v>
      </c>
      <c r="C1" s="72" t="s">
        <v>2</v>
      </c>
      <c r="D1" s="72"/>
      <c r="E1" s="72"/>
      <c r="F1" s="72"/>
      <c r="G1" s="74" t="s">
        <v>3</v>
      </c>
      <c r="H1" s="74"/>
      <c r="I1" s="74"/>
      <c r="J1" s="74"/>
      <c r="K1" s="74"/>
      <c r="L1" s="74"/>
      <c r="M1" s="74"/>
      <c r="N1" s="74"/>
      <c r="O1" s="74"/>
      <c r="P1" s="74"/>
      <c r="Q1" s="74"/>
      <c r="R1" s="75" t="s">
        <v>4</v>
      </c>
      <c r="S1" s="76"/>
      <c r="T1" s="62"/>
      <c r="U1" s="36"/>
      <c r="V1" s="36"/>
    </row>
    <row r="2" spans="1:22" ht="160.5">
      <c r="A2" s="71"/>
      <c r="B2" s="73"/>
      <c r="C2" s="10" t="s">
        <v>5</v>
      </c>
      <c r="D2" s="53" t="s">
        <v>6</v>
      </c>
      <c r="E2" s="10" t="s">
        <v>7</v>
      </c>
      <c r="F2" s="10" t="s">
        <v>8</v>
      </c>
      <c r="G2" s="10" t="s">
        <v>9</v>
      </c>
      <c r="H2" s="10" t="s">
        <v>10</v>
      </c>
      <c r="I2" s="10" t="s">
        <v>11</v>
      </c>
      <c r="J2" s="10" t="s">
        <v>12</v>
      </c>
      <c r="K2" s="59" t="s">
        <v>13</v>
      </c>
      <c r="L2" s="10" t="s">
        <v>14</v>
      </c>
      <c r="M2" s="10" t="s">
        <v>15</v>
      </c>
      <c r="N2" s="10" t="s">
        <v>16</v>
      </c>
      <c r="O2" s="56" t="s">
        <v>17</v>
      </c>
      <c r="P2" s="10" t="s">
        <v>18</v>
      </c>
      <c r="Q2" s="21" t="s">
        <v>19</v>
      </c>
      <c r="R2" s="21" t="s">
        <v>20</v>
      </c>
      <c r="S2" s="10" t="s">
        <v>21</v>
      </c>
      <c r="T2" s="60"/>
      <c r="U2" s="54" t="s">
        <v>442</v>
      </c>
      <c r="V2" s="36"/>
    </row>
    <row r="3" spans="1:22" ht="15">
      <c r="A3" s="110"/>
      <c r="B3" s="111"/>
      <c r="C3" s="11" t="str">
        <f>IF(D3="","",IF(D3="010-E","Trabajo en altura/ zonas con desnivel",IF(D3="020-E","Superficies irregulares u obstruidas",IF(D3="030-E","Estructuras inestables/ espacios confinados",IF(D3="040-E","Desprendimiento de objetos",IF(D3="090-E","Manipulación de máquinas/ herramientas",IF(D3="100-E","Operaciones de conformado",IF(D3="110-E","Objetos fijos o móviles",IF(D3="250a-E","Situaciones fortuitas",IF(D3="230-E","Colisión/ impacto vehicular",IF(D3="250b-E","Situaciones fortuitas",IF(D3="160-E","Energía eléctrica",IF(D3="150a-E","Fuentes de calor",IF(D3="150b-E","Fuentes de calor",IF(D3="150c-E","Fuentes de calor",IF(D3="570","Condiciones inadecuadas",IF(D3="120-I","Maquinaria pesada",IF(D3="330","Niveles sonoros",IF(D3="340","Movimientos oscilatorios",IF(D3="360","Fuentes emisoras de energía",IF(D3="170","Sustancias químicas",IF(D3="380","Niveles lumínicos",IF(D3="010-I","Trabajo en altura/ zonas con desnivel",IF(D3="020-I","Superficies irregulares u obstruidas",IF(D3="030-I","Estructuras inestables/ espacios confinados",IF(D3="040-I","Desprendimiento de objetos",IF(D3="090-I","Manipulación de máquinas/ herramientas",IF(D3="100-I","Operaciones de conformado",IF(D3="110-I","Objetos fijos o móviles",IF(D3="250a-I","Situaciones fortuitas",IF(D3="230-I","Colisión/ impacto vehicular",IF(D3="250b-I","Situaciones fortuitas",IF(D3="160-I","Energía eléctrica",IF(D3="390","Atmósferas contaminadas",IF(D3="130","Posturas forzadas/ manipulación manual de cargas")))))))))))))))))))))))))))))))))))</f>
        <v/>
      </c>
      <c r="D3" s="109"/>
      <c r="E3" s="11" t="str">
        <f>IF(D3="","",IF(D3="010-E","Caída de personas a distinto nivel",IF(D3="020-E","Caída de personas al mismo nivel",IF(D3="030-E","Caída de objetos por desplome",IF(D3="040-E","Caída de objetos en manipulación",IF(D3="090-E","Golpes/cortes por objetos o herramientas",IF(D3="110-E","Atrapamiento por o entre objetos",IF(D3="100-E","Proyección de fragmentos o partículas",IF(D3="230-E","Atropellos o golpes con vehículos",IF(D3="250a-E","Otros riesgos de accidente a) inherentes a la manipulación de herramientas eléctricas",IF(D3="250b-E","Otros riesgos de accidente b) Inherentes a la manipulación de herramientas manuales",IF(D3="160-E","Contactos Eléctricos",IF(D3="150a-E","Contactos térmicos a) inherentes al trabajador",IF(D3="150b-E","Contactos térmicos b) inherentes a la manipulación de elementos estructurales",IF(D3="150c-E","Contactos térmicos c) inherentes al proceso de soldadura",IF(D3="570","Organización del trabajo incorrecta",IF(D3="120-I","Atrapamiento por vuelco de máquinas",IF(D3="","",IF(D3="010-I","Caída de personas a distinto nivel",IF(D3="020-I","Caída de personas al mismo nivel",IF(D3="030-I","Caída de objetos por desplome",IF(D3="040-I","Caída de objetos en manipulación",IF(D3="090-I","Golpes/cortes por objetos o herramientas",IF(D3="110-I","Atrapamiento por o entre objetos",IF(D3="100-I","Proyección de fragmentos o partículas",IF(D3="230-I","Atropellos o golpes con vehículos",IF(D3="250a-I","Otros riesgos de accidente a) inherentes a la manipulación de herramientas eléctricas",IF(D3="250b-I","Otros riesgos de accidente b) Inherentes a la manipulación de herramientas manuales",IF(D3="390","Otra exposición a) asfixia o intoxicación",IF(D3="160-I","Contactos Eléctricos",IF(D3="570","Organización del trabajo incorrecta",IF(D3="120-I","Atrapamiento por vuelco de máquinas",IF(D3="330","Ruido",IF(D3="340","Vibración",IF(D3="360","Radiaciones ionizantes",IF(D3="170","Exposición a sustancias nocivas",IF(D3="130","Sobreesfuerzos",IF(D3="380","Iluminación",IF(D3="330","Ruido",IF(D3="340","Vibración",IF(D3="360","Radiaciones ionizantes",IF(D3="170","Exposición a sustancias nocivas",IF(D3="130","Sobreesfuerzos",IF(D3="380","Iluminación"))))))))))))))))))))))))))))))))))))))))))))</f>
        <v/>
      </c>
      <c r="F3" s="11" t="str">
        <f>IF(D3="","",IF(D3="010-E","Riesgo de seguridad (Riesgo Mecánico)",IF(D3="020-E","Riesgo de seguridad (Riesgo Mecánico)",IF(D3="030-E","Riesgo de seguridad (Riesgo Mecánico)",IF(D3="040-E","Riesgo de seguridad (Riesgo Mecánico)",IF(D3="090-E","Riesgo de seguridad (Riesgo Mecánico)",IF(D3="110-E","Riesgo de seguridad (Riesgo Mecánico)",IF(D3="100-E","Riesgo de seguridad (Riesgo Mecánico)",IF(D3="230-E","Riesgo de seguridad (Riesgo Mecánico)",IF(D3="250a-E","Riesgo de seguridad (Riesgo Mecánico)",IF(D3="250b-E","Riesgo de seguridad (Riesgo Mecánico)",IF(D3="160-E","Riesgo de seguridad (Riesgo Eléctrico)",IF(D3="150a-E","Riesgo de seguridad (Riesgo Industrial Mayor)",IF(D3="150b-E","Riesgo de seguridad (Riesgo Industrial Mayor)",IF(D3="150c-E","Riesgo de seguridad (Riesgo Industrial Mayor)",IF(D3="570","Riesgo de seguridad (Riesgo Locativo)",IF(D3="120-I","Riesgo Mecánico",IF(D3="330","Riesgo Físico",IF(D3="340","Riesgo Físico",IF(D3="360","Riesgo Físico",IF(D3="170","Riesgo Químico",IF(D3="130","Riesgo Ergonómico",IF(D3="380","Riesgo Físico",IF(D3="010-I","Riesgo de seguridad (Riesgo Mecánico)",IF(D3="020-I","Riesgo de seguridad (Riesgo Mecánico)",IF(D3="030-I","Riesgo de seguridad (Riesgo Mecánico)",IF(D3="040-I","Riesgo de seguridad (Riesgo Mecánico)",IF(D3="090-I","Riesgo de seguridad (Riesgo Mecánico)",IF(D3="110-I","Riesgo de seguridad (Riesgo Mecánico)",IF(D3="100-I","Riesgo de seguridad (Riesgo Mecánico)",IF(D3="230-I","Riesgo de seguridad (Riesgo Mecánico)",IF(D3="250a-I","Riesgo de seguridad (Riesgo Mecánico)",IF(D3="250b-I","Riesgo de seguridad (Riesgo Mecánico)",IF(D3="160-I","Riesgo de seguridad (Riesgo Eléctrico)",IF(D3="590","Riesgo de seguridad (Riesgo Mecánico)")))))))))))))))))))))))))))))))))))</f>
        <v/>
      </c>
      <c r="G3" s="107"/>
      <c r="H3" s="14" t="str">
        <f>IF(G3="","",IF(AND(G3&lt;=10,G3&gt;6),"MD",IF(AND(G3&lt;=6,G3&gt;2),"D",IF(AND(G3&lt;=2,G3&gt;0),"M",IF(G3=0,"B")))))</f>
        <v/>
      </c>
      <c r="I3" s="108"/>
      <c r="J3" s="14" t="str">
        <f>IF(I3=4,"EC",IF(I3=3,"EF",IF(I3=2,"EO",IF(I3=1,"EE",""))))</f>
        <v/>
      </c>
      <c r="K3" s="16" t="str">
        <f>IF(I3="","",G3*I3)</f>
        <v/>
      </c>
      <c r="L3" s="14" t="str">
        <f>IF(K3="","",IF(K3&gt;=24,"MA",IF(AND(K3&lt;24,K3&gt;8),"A",IF(AND(K3&lt;=8,K3&gt;4),"M",IF(AND(K3&lt;=4,K3&gt;=0),"B")))))</f>
        <v/>
      </c>
      <c r="M3" s="108"/>
      <c r="N3" s="14" t="str">
        <f>IF(M3="","",IF(M3=100,"M",IF(M3=60,"MG",IF(M3=25,"G",IF(M3=10,"L","")))))</f>
        <v/>
      </c>
      <c r="O3" s="58" t="str">
        <f>IF(M3="","",ROUND(M3*K3,0))</f>
        <v/>
      </c>
      <c r="P3" s="14" t="str">
        <f>IF(O3="","",IF(O3="","",IF(AND(O3&lt;=4000,O3&gt;500),"I",IF(AND(O3&lt;=500,O3&gt;120),"II",IF(AND(O3&lt;=120,O3&gt;20),"III",IF(O3&lt;=20,"IV"))))))</f>
        <v/>
      </c>
      <c r="Q3" s="11" t="str">
        <f>IF(P3="","",IF(P3="I","Situación Crítica.
Corrección urgente.",IF(P3="II","Corregir
y adoptar medidas de control.",IF(P3="III","Mejorar si es posible. Sería conveniente justificar la intervención y su rentabilidad.",IF(P3="IV","No intervenir, salvo que un análisis más preciso lo justifique.")))))</f>
        <v/>
      </c>
      <c r="R3" s="11" t="str">
        <f>IF(M3="","",IF(M3=10,"Pequeñas lesiones que no requieren hospitalización.",IF(M3=25,"Lesiones con incapacidad laboral transitoria (I. L. T.).",IF(M3=60,"Lesiones graves que pueden ser irreparables.",IF(M3=100,"1 muerto o más.")))))</f>
        <v/>
      </c>
      <c r="S3" s="11" t="s">
        <v>27</v>
      </c>
      <c r="T3" s="60"/>
      <c r="U3" s="36"/>
      <c r="V3" s="36"/>
    </row>
    <row r="4" spans="1:22" ht="15">
      <c r="A4" s="110"/>
      <c r="B4" s="55"/>
      <c r="C4" s="11" t="str">
        <f t="shared" ref="C4:C15" si="0">IF(D4="","",IF(D4="010-E","Trabajo en altura/ zonas con desnivel",IF(D4="020-E","Superficies irregulares u obstruidas",IF(D4="030-E","Estructuras inestables/ espacios confinados",IF(D4="040-E","Desprendimiento de objetos",IF(D4="090-E","Manipulación de máquinas/ herramientas",IF(D4="100-E","Operaciones de conformado",IF(D4="110-E","Objetos fijos o móviles",IF(D4="250a-E","Situaciones fortuitas",IF(D4="230-E","Colisión/ impacto vehicular",IF(D4="250b-E","Situaciones fortuitas",IF(D4="160-E","Energía eléctrica",IF(D4="150a-E","Fuentes de calor",IF(D4="150b-E","Fuentes de calor",IF(D4="150c-E","Fuentes de calor",IF(D4="570","Condiciones inadecuadas",IF(D4="120-I","Maquinaria pesada",IF(D4="330","Niveles sonoros",IF(D4="340","Movimientos oscilatorios",IF(D4="360","Fuentes emisoras de energía",IF(D4="170","Sustancias químicas",IF(D4="380","Niveles lumínicos",IF(D4="010-I","Trabajo en altura/ zonas con desnivel",IF(D4="020-I","Superficies irregulares u obstruidas",IF(D4="030-I","Estructuras inestables/ espacios confinados",IF(D4="040-I","Desprendimiento de objetos",IF(D4="090-I","Manipulación de máquinas/ herramientas",IF(D4="100-I","Operaciones de conformado",IF(D4="110-I","Objetos fijos o móviles",IF(D4="250a-I","Situaciones fortuitas",IF(D4="230-I","Colisión/ impacto vehicular",IF(D4="250b-I","Situaciones fortuitas",IF(D4="160-I","Energía eléctrica",IF(D4="390","Atmósferas contaminadas",IF(D4="130","Posturas forzadas/ manipulación manual de cargas")))))))))))))))))))))))))))))))))))</f>
        <v/>
      </c>
      <c r="D4" s="12"/>
      <c r="E4" s="11" t="str">
        <f>IF(D4="","",IF(D4="010-E","Caída de personas a distinto nivel",IF(D4="020-E","Caída de personas al mismo nivel",IF(D4="030-E","Caída de objetos por desplome",IF(D4="040-E","Caída de objetos en manipulación",IF(D4="090-E","Golpes/cortes por objetos o herramientas",IF(D4="110-E","Atrapamiento por o entre objetos",IF(D4="100-E","Proyección de fragmentos o partículas",IF(D4="230-E","Atropellos o golpes con vehículos",IF(D4="250a-E","Otros riesgos de accidente a) inherentes a la manipulación de herramientas eléctricas",IF(D4="250b-E","Otros riesgos de accidente b) Inherentes a la manipulación de herramientas manuales",IF(D4="160-E","Contactos Eléctricos",IF(D4="150a-E","Contactos térmicos a) inherentes al trabajador",IF(D4="150b-E","Contactos térmicos b) inherentes a la manipulación de elementos estructurales",IF(D4="150c-E","Contactos térmicos c) inherentes al proceso de soldadura",IF(D4="570","Organización del trabajo incorrecta",IF(D4="120-I","Atrapamiento por vuelco de máquinas",IF(D4="","",IF(D4="010-I","Caída de personas a distinto nivel",IF(D4="020-I","Caída de personas al mismo nivel",IF(D4="030-I","Caída de objetos por desplome",IF(D4="040-I","Caída de objetos en manipulación",IF(D4="090-I","Golpes/cortes por objetos o herramientas",IF(D4="110-I","Atrapamiento por o entre objetos",IF(D4="100-I","Proyección de fragmentos o partículas",IF(D4="230-I","Atropellos o golpes con vehículos",IF(D4="250a-I","Otros riesgos de accidente a) inherentes a la manipulación de herramientas eléctricas",IF(D4="250b-I","Otros riesgos de accidente b) Inherentes a la manipulación de herramientas manuales",IF(D4="390","Otra exposición a) asfixia o intoxicación",IF(D4="160-I","Contactos Eléctricos",IF(D4="570","Organización del trabajo incorrecta",IF(D4="120-I","Atrapamiento por vuelco de máquinas",IF(D4="330","Ruido",IF(D4="340","Vibración",IF(D4="360","Radiaciones ionizantes",IF(D4="170","Exposición a sustancias nocivas",IF(D4="130","Sobreesfuerzos",IF(D4="380","Iluminación",IF(D4="330","Ruido",IF(D4="340","Vibración",IF(D4="360","Radiaciones ionizantes",IF(D4="170","Exposición a sustancias nocivas",IF(D4="130","Sobreesfuerzos",IF(D4="380","Iluminación"))))))))))))))))))))))))))))))))))))))))))))</f>
        <v/>
      </c>
      <c r="F4" s="11" t="str">
        <f>IF(D4="","",IF(D4="010-E","Riesgo de seguridad (Riesgo Mecánico)",IF(D4="020-E","Riesgo de seguridad (Riesgo Mecánico)",IF(D4="030-E","Riesgo de seguridad (Riesgo Mecánico)",IF(D4="040-E","Riesgo de seguridad (Riesgo Mecánico)",IF(D4="090-E","Riesgo de seguridad (Riesgo Mecánico)",IF(D4="110-E","Riesgo de seguridad (Riesgo Mecánico)",IF(D4="100-E","Riesgo de seguridad (Riesgo Mecánico)",IF(D4="230-E","Riesgo de seguridad (Riesgo Mecánico)",IF(D4="250a-E","Riesgo de seguridad (Riesgo Mecánico)",IF(D4="250b-E","Riesgo de seguridad (Riesgo Mecánico)",IF(D4="160-E","Riesgo de seguridad (Riesgo Eléctrico)",IF(D4="150a-E","Riesgo de seguridad (Riesgo Industrial Mayor)",IF(D4="150b-E","Riesgo de seguridad (Riesgo Industrial Mayor)",IF(D4="150c-E","Riesgo de seguridad (Riesgo Industrial Mayor)",IF(D4="570","Riesgo de seguridad (Riesgo Locativo)",IF(D4="120-I","Riesgo Mecánico",IF(D4="330","Riesgo Físico",IF(D4="340","Riesgo Físico",IF(D4="360","Riesgo Físico",IF(D4="170","Riesgo Químico",IF(D4="130","Riesgo Ergonómico",IF(D4="380","Riesgo Físico",IF(D4="010-I","Riesgo de seguridad (Riesgo Mecánico)",IF(D4="020-I","Riesgo de seguridad (Riesgo Mecánico)",IF(D4="030-I","Riesgo de seguridad (Riesgo Mecánico)",IF(D4="040-I","Riesgo de seguridad (Riesgo Mecánico)",IF(D4="090-I","Riesgo de seguridad (Riesgo Mecánico)",IF(D4="110-I","Riesgo de seguridad (Riesgo Mecánico)",IF(D4="100-I","Riesgo de seguridad (Riesgo Mecánico)",IF(D4="230-I","Riesgo de seguridad (Riesgo Mecánico)",IF(D4="250a-I","Riesgo de seguridad (Riesgo Mecánico)",IF(D4="250b-I","Riesgo de seguridad (Riesgo Mecánico)",IF(D4="160-I","Riesgo de seguridad (Riesgo Eléctrico)",IF(D4="590","Riesgo de seguridad (Riesgo Mecánico)")))))))))))))))))))))))))))))))))))</f>
        <v/>
      </c>
      <c r="G4" s="13"/>
      <c r="H4" s="14" t="str">
        <f t="shared" ref="H4:H15" si="1">IF(G4="","",IF(AND(G4&lt;=10,G4&gt;6),"MD",IF(AND(G4&lt;=6,G4&gt;2),"D",IF(AND(G4&lt;=2,G4&gt;0),"M",IF(G4=0,"B")))))</f>
        <v/>
      </c>
      <c r="I4" s="15"/>
      <c r="J4" s="14" t="str">
        <f>IF(I4=4,"EC",IF(I4=3,"EF",IF(I4=2,"EO",IF(I4=1,"EE",""))))</f>
        <v/>
      </c>
      <c r="K4" s="16" t="str">
        <f>IF(I4="","",G4*I4)</f>
        <v/>
      </c>
      <c r="L4" s="14" t="str">
        <f t="shared" ref="L4:L15" si="2">IF(K4="","",IF(K4&gt;=24,"MA",IF(AND(K4&lt;24,K4&gt;8),"A",IF(AND(K4&lt;=8,K4&gt;4),"M",IF(AND(K4&lt;=4,K4&gt;=0),"B")))))</f>
        <v/>
      </c>
      <c r="M4" s="15"/>
      <c r="N4" s="14" t="str">
        <f>IF(M4="","",IF(M4=100,"M",IF(M4=60,"MG",IF(M4=25,"G",IF(M4=10,"L","")))))</f>
        <v/>
      </c>
      <c r="O4" s="58" t="str">
        <f t="shared" ref="O4:O15" si="3">IF(M4="","",ROUND(M4*K4,0))</f>
        <v/>
      </c>
      <c r="P4" s="14" t="str">
        <f t="shared" ref="P4:P15" si="4">IF(O4="","",IF(O4="","",IF(AND(O4&lt;=4000,O4&gt;500),"I",IF(AND(O4&lt;=500,O4&gt;120),"II",IF(AND(O4&lt;=120,O4&gt;20),"III",IF(O4&lt;=20,"IV"))))))</f>
        <v/>
      </c>
      <c r="Q4" s="11" t="str">
        <f t="shared" ref="Q4:Q15" si="5">IF(P4="","",IF(P4="I","Situación Crítica.
Corrección urgente.",IF(P4="II","Corregir
y adoptar medidas de control.",IF(P4="III","Mejorar si es posible. Sería conveniente justificar la intervención y su rentabilidad.",IF(P4="IV","No intervenir, salvo que un análisis más preciso lo justifique.")))))</f>
        <v/>
      </c>
      <c r="R4" s="69" t="str">
        <f t="shared" ref="R4:R15" si="6">IF(M4="","",IF(M4=10,"Pequeñas lesiones que no requieren hospitalización.",IF(M4=25,"Lesiones con incapacidad laboral transitoria (I. L. T.).",IF(M4=60,"Lesiones graves que pueden ser irreparables.",IF(M4=100,"1 muerto o más.")))))</f>
        <v/>
      </c>
      <c r="S4" s="11" t="s">
        <v>27</v>
      </c>
      <c r="T4" s="60"/>
      <c r="U4" s="36"/>
      <c r="V4" s="36"/>
    </row>
    <row r="5" spans="1:22" ht="15">
      <c r="A5" s="110"/>
      <c r="B5" s="55"/>
      <c r="C5" s="11" t="str">
        <f t="shared" si="0"/>
        <v/>
      </c>
      <c r="D5" s="12"/>
      <c r="E5" s="11" t="str">
        <f>IF(D5="","",IF(D5="010-E","Caída de personas a distinto nivel",IF(D5="020-E","Caída de personas al mismo nivel",IF(D5="030-E","Caída de objetos por desplome",IF(D5="040-E","Caída de objetos en manipulación",IF(D5="090-E","Golpes/cortes por objetos o herramientas",IF(D5="110-E","Atrapamiento por o entre objetos",IF(D5="100-E","Proyección de fragmentos o partículas",IF(D5="230-E","Atropellos o golpes con vehículos",IF(D5="250a-E","Otros riesgos de accidente a) inherentes a la manipulación de herramientas eléctricas",IF(D5="250b-E","Otros riesgos de accidente b) Inherentes a la manipulación de herramientas manuales",IF(D5="160-E","Contactos Eléctricos",IF(D5="150a-E","Contactos térmicos a) inherentes al trabajador",IF(D5="150b-E","Contactos térmicos b) inherentes a la manipulación de elementos estructurales",IF(D5="150c-E","Contactos térmicos c) inherentes al proceso de soldadura",IF(D5="570","Organización del trabajo incorrecta",IF(D5="120-I","Atrapamiento por vuelco de máquinas",IF(D5="","",IF(D5="010-I","Caída de personas a distinto nivel",IF(D5="020-I","Caída de personas al mismo nivel",IF(D5="030-I","Caída de objetos por desplome",IF(D5="040-I","Caída de objetos en manipulación",IF(D5="090-I","Golpes/cortes por objetos o herramientas",IF(D5="110-I","Atrapamiento por o entre objetos",IF(D5="100-I","Proyección de fragmentos o partículas",IF(D5="230-I","Atropellos o golpes con vehículos",IF(D5="250a-I","Otros riesgos de accidente a) inherentes a la manipulación de herramientas eléctricas",IF(D5="250b-I","Otros riesgos de accidente b) Inherentes a la manipulación de herramientas manuales",IF(D5="390","Otra exposición a) asfixia o intoxicación",IF(D5="160-I","Contactos Eléctricos",IF(D5="570","Organización del trabajo incorrecta",IF(D5="120-I","Atrapamiento por vuelco de máquinas",IF(D5="330","Ruido",IF(D5="340","Vibración",IF(D5="360","Radiaciones ionizantes",IF(D5="170","Exposición a sustancias nocivas",IF(D5="130","Sobreesfuerzos",IF(D5="380","Iluminación",IF(D5="330","Ruido",IF(D5="340","Vibración",IF(D5="360","Radiaciones ionizantes",IF(D5="170","Exposición a sustancias nocivas",IF(D5="130","Sobreesfuerzos",IF(D5="380","Iluminación"))))))))))))))))))))))))))))))))))))))))))))</f>
        <v/>
      </c>
      <c r="F5" s="11" t="str">
        <f>IF(D5="","",IF(D5="010-E","Riesgo de seguridad (Riesgo Mecánico)",IF(D5="020-E","Riesgo de seguridad (Riesgo Mecánico)",IF(D5="030-E","Riesgo de seguridad (Riesgo Mecánico)",IF(D5="040-E","Riesgo de seguridad (Riesgo Mecánico)",IF(D5="090-E","Riesgo de seguridad (Riesgo Mecánico)",IF(D5="110-E","Riesgo de seguridad (Riesgo Mecánico)",IF(D5="100-E","Riesgo de seguridad (Riesgo Mecánico)",IF(D5="230-E","Riesgo de seguridad (Riesgo Mecánico)",IF(D5="250a-E","Riesgo de seguridad (Riesgo Mecánico)",IF(D5="250b-E","Riesgo de seguridad (Riesgo Mecánico)",IF(D5="160-E","Riesgo de seguridad (Riesgo Eléctrico)",IF(D5="150a-E","Riesgo de seguridad (Riesgo Industrial Mayor)",IF(D5="150b-E","Riesgo de seguridad (Riesgo Industrial Mayor)",IF(D5="150c-E","Riesgo de seguridad (Riesgo Industrial Mayor)",IF(D5="570","Riesgo de seguridad (Riesgo Locativo)",IF(D5="120-I","Riesgo Mecánico",IF(D5="330","Riesgo Físico",IF(D5="340","Riesgo Físico",IF(D5="360","Riesgo Físico",IF(D5="170","Riesgo Químico",IF(D5="130","Riesgo Ergonómico",IF(D5="380","Riesgo Físico",IF(D5="010-I","Riesgo de seguridad (Riesgo Mecánico)",IF(D5="020-I","Riesgo de seguridad (Riesgo Mecánico)",IF(D5="030-I","Riesgo de seguridad (Riesgo Mecánico)",IF(D5="040-I","Riesgo de seguridad (Riesgo Mecánico)",IF(D5="090-I","Riesgo de seguridad (Riesgo Mecánico)",IF(D5="110-I","Riesgo de seguridad (Riesgo Mecánico)",IF(D5="100-I","Riesgo de seguridad (Riesgo Mecánico)",IF(D5="230-I","Riesgo de seguridad (Riesgo Mecánico)",IF(D5="250a-I","Riesgo de seguridad (Riesgo Mecánico)",IF(D5="250b-I","Riesgo de seguridad (Riesgo Mecánico)",IF(D5="160-I","Riesgo de seguridad (Riesgo Eléctrico)",IF(D5="590","Riesgo de seguridad (Riesgo Mecánico)")))))))))))))))))))))))))))))))))))</f>
        <v/>
      </c>
      <c r="G5" s="13"/>
      <c r="H5" s="14" t="str">
        <f t="shared" si="1"/>
        <v/>
      </c>
      <c r="I5" s="15"/>
      <c r="J5" s="14" t="str">
        <f>IF(I5=4,"EC",IF(I5=3,"EF",IF(I5=2,"EO",IF(I5=1,"EE",""))))</f>
        <v/>
      </c>
      <c r="K5" s="16" t="str">
        <f>IF(I5="","",G5*I5)</f>
        <v/>
      </c>
      <c r="L5" s="14" t="str">
        <f t="shared" si="2"/>
        <v/>
      </c>
      <c r="M5" s="15"/>
      <c r="N5" s="14" t="str">
        <f>IF(M5="","",IF(M5=100,"M",IF(M5=60,"MG",IF(M5=25,"G",IF(M5=10,"L","")))))</f>
        <v/>
      </c>
      <c r="O5" s="58" t="str">
        <f t="shared" si="3"/>
        <v/>
      </c>
      <c r="P5" s="14" t="str">
        <f t="shared" si="4"/>
        <v/>
      </c>
      <c r="Q5" s="11" t="str">
        <f t="shared" si="5"/>
        <v/>
      </c>
      <c r="R5" s="69" t="str">
        <f t="shared" si="6"/>
        <v/>
      </c>
      <c r="S5" s="11" t="s">
        <v>27</v>
      </c>
      <c r="T5" s="60"/>
      <c r="U5" s="36"/>
      <c r="V5" s="36"/>
    </row>
    <row r="6" spans="1:22">
      <c r="A6" s="110"/>
      <c r="B6" s="55"/>
      <c r="C6" s="11" t="str">
        <f t="shared" si="0"/>
        <v/>
      </c>
      <c r="D6" s="12"/>
      <c r="E6" s="11" t="str">
        <f>IF(D6="","",IF(D6="010-E","Caída de personas a distinto nivel",IF(D6="020-E","Caída de personas al mismo nivel",IF(D6="030-E","Caída de objetos por desplome",IF(D6="040-E","Caída de objetos en manipulación",IF(D6="090-E","Golpes/cortes por objetos o herramientas",IF(D6="110-E","Atrapamiento por o entre objetos",IF(D6="100-E","Proyección de fragmentos o partículas",IF(D6="230-E","Atropellos o golpes con vehículos",IF(D6="250a-E","Otros riesgos de accidente a) inherentes a la manipulación de herramientas eléctricas",IF(D6="250b-E","Otros riesgos de accidente b) Inherentes a la manipulación de herramientas manuales",IF(D6="160-E","Contactos Eléctricos",IF(D6="150a-E","Contactos térmicos a) inherentes al trabajador",IF(D6="150b-E","Contactos térmicos b) inherentes a la manipulación de elementos estructurales",IF(D6="150c-E","Contactos térmicos c) inherentes al proceso de soldadura",IF(D6="570","Organización del trabajo incorrecta",IF(D6="120-I","Atrapamiento por vuelco de máquinas",IF(D6="","",IF(D6="010-I","Caída de personas a distinto nivel",IF(D6="020-I","Caída de personas al mismo nivel",IF(D6="030-I","Caída de objetos por desplome",IF(D6="040-I","Caída de objetos en manipulación",IF(D6="090-I","Golpes/cortes por objetos o herramientas",IF(D6="110-I","Atrapamiento por o entre objetos",IF(D6="100-I","Proyección de fragmentos o partículas",IF(D6="230-I","Atropellos o golpes con vehículos",IF(D6="250a-I","Otros riesgos de accidente a) inherentes a la manipulación de herramientas eléctricas",IF(D6="250b-I","Otros riesgos de accidente b) Inherentes a la manipulación de herramientas manuales",IF(D6="390","Otra exposición a) asfixia o intoxicación",IF(D6="160-I","Contactos Eléctricos",IF(D6="570","Organización del trabajo incorrecta",IF(D6="120-I","Atrapamiento por vuelco de máquinas",IF(D6="330","Ruido",IF(D6="340","Vibración",IF(D6="360","Radiaciones ionizantes",IF(D6="170","Exposición a sustancias nocivas",IF(D6="130","Sobreesfuerzos",IF(D6="380","Iluminación",IF(D6="330","Ruido",IF(D6="340","Vibración",IF(D6="360","Radiaciones ionizantes",IF(D6="170","Exposición a sustancias nocivas",IF(D6="130","Sobreesfuerzos",IF(D6="380","Iluminación"))))))))))))))))))))))))))))))))))))))))))))</f>
        <v/>
      </c>
      <c r="F6" s="11" t="str">
        <f t="shared" ref="F6:F15" si="7">IF(D6="","",IF(D6="010-E","Riesgo de seguridad (Riesgo Mecánico)",IF(D6="020-E","Riesgo de seguridad (Riesgo Mecánico)",IF(D6="030-E","Riesgo de seguridad (Riesgo Mecánico)",IF(D6="040-E","Riesgo de seguridad (Riesgo Mecánico)",IF(D6="090-E","Riesgo de seguridad (Riesgo Mecánico)",IF(D6="110-E","Riesgo de seguridad (Riesgo Mecánico)",IF(D6="100-E","Riesgo de seguridad (Riesgo Mecánico)",IF(D6="230-E","Riesgo de seguridad (Riesgo Mecánico)",IF(D6="250a-E","Riesgo de seguridad (Riesgo Mecánico)",IF(D6="250b-E","Riesgo de seguridad (Riesgo Mecánico)",IF(D6="160-E","Riesgo de seguridad (Riesgo Eléctrico)",IF(D6="150a-E","Riesgo de seguridad (Riesgo Industrial Mayor)",IF(D6="150b-E","Riesgo de seguridad (Riesgo Industrial Mayor)",IF(D6="150c-E","Riesgo de seguridad (Riesgo Industrial Mayor)",IF(D6="570","Riesgo de seguridad (Riesgo Locativo)",IF(D6="120-I","Riesgo Mecánico",IF(D6="330","Riesgo Físico",IF(D6="340","Riesgo Físico",IF(D6="360","Riesgo Físico",IF(D6="170","Riesgo Químico",IF(D6="130","Riesgo Ergonómico",IF(D6="380","Riesgo Físico",IF(D6="010-I","Riesgo de seguridad (Riesgo Mecánico)",IF(D6="020-I","Riesgo de seguridad (Riesgo Mecánico)",IF(D6="030-I","Riesgo de seguridad (Riesgo Mecánico)",IF(D6="040-I","Riesgo de seguridad (Riesgo Mecánico)",IF(D6="090-I","Riesgo de seguridad (Riesgo Mecánico)",IF(D6="110-I","Riesgo de seguridad (Riesgo Mecánico)",IF(D6="100-I","Riesgo de seguridad (Riesgo Mecánico)",IF(D6="230-I","Riesgo de seguridad (Riesgo Mecánico)",IF(D6="250a-I","Riesgo de seguridad (Riesgo Mecánico)",IF(D6="250b-I","Riesgo de seguridad (Riesgo Mecánico)",IF(D6="160-I","Riesgo de seguridad (Riesgo Eléctrico)",IF(D6="590","Riesgo de seguridad (Riesgo Mecánico)")))))))))))))))))))))))))))))))))))</f>
        <v/>
      </c>
      <c r="G6" s="16"/>
      <c r="H6" s="14" t="str">
        <f t="shared" si="1"/>
        <v/>
      </c>
      <c r="I6" s="15"/>
      <c r="J6" s="14" t="str">
        <f>IF(I6=4,"EC",IF(I6=3,"EF",IF(I6=2,"EO",IF(I6=1,"EE",""))))</f>
        <v/>
      </c>
      <c r="K6" s="16" t="str">
        <f>IF(I6="","",G6*I6)</f>
        <v/>
      </c>
      <c r="L6" s="14" t="str">
        <f t="shared" si="2"/>
        <v/>
      </c>
      <c r="M6" s="15"/>
      <c r="N6" s="14" t="str">
        <f>IF(M6="","",IF(M6=100,"M",IF(M6=60,"MG",IF(M6=25,"G",IF(M6=10,"L","")))))</f>
        <v/>
      </c>
      <c r="O6" s="58" t="str">
        <f t="shared" si="3"/>
        <v/>
      </c>
      <c r="P6" s="14" t="str">
        <f t="shared" si="4"/>
        <v/>
      </c>
      <c r="Q6" s="11" t="str">
        <f t="shared" si="5"/>
        <v/>
      </c>
      <c r="R6" s="69" t="str">
        <f t="shared" si="6"/>
        <v/>
      </c>
      <c r="S6" s="11" t="s">
        <v>27</v>
      </c>
      <c r="T6" s="60"/>
    </row>
    <row r="7" spans="1:22">
      <c r="A7" s="110"/>
      <c r="B7" s="55"/>
      <c r="C7" s="11" t="str">
        <f t="shared" si="0"/>
        <v/>
      </c>
      <c r="D7" s="12"/>
      <c r="E7" s="11" t="str">
        <f t="shared" ref="E7:E15" si="8">IF(D7="","",IF(D7="010-E","Caída de personas a distinto nivel",IF(D7="020-E","Caída de personas al mismo nivel",IF(D7="030-E","Caída de objetos por desplome",IF(D7="040-E","Caída de objetos en manipulación",IF(D7="090-E","Golpes/cortes por objetos o herramientas",IF(D7="110-E","Atrapamiento por o entre objetos",IF(D7="100-E","Proyección de fragmentos o partículas",IF(D7="230-E","Atropellos o golpes con vehículos",IF(D7="250a-E","Otros riesgos de accidente a) inherentes a la manipulación de herramientas eléctricas",IF(D7="250b-E","Otros riesgos de accidente b) Inherentes a la manipulación de herramientas manuales",IF(D7="160-E","Contactos Eléctricos",IF(D7="150a-E","Contactos térmicos a) inherentes al trabajador",IF(D7="150b-E","Contactos térmicos b) inherentes a la manipulación de elementos estructurales",IF(D7="150c-E","Contactos térmicos c) inherentes al proceso de soldadura",IF(D7="570","Organización del trabajo incorrecta",IF(D7="120-I","Atrapamiento por vuelco de máquinas",IF(D7="","",IF(D7="010-I","Caída de personas a distinto nivel",IF(D7="020-I","Caída de personas al mismo nivel",IF(D7="030-I","Caída de objetos por desplome",IF(D7="040-I","Caída de objetos en manipulación",IF(D7="090-I","Golpes/cortes por objetos o herramientas",IF(D7="110-I","Atrapamiento por o entre objetos",IF(D7="100-I","Proyección de fragmentos o partículas",IF(D7="230-I","Atropellos o golpes con vehículos",IF(D7="250a-I","Otros riesgos de accidente a) inherentes a la manipulación de herramientas eléctricas",IF(D7="250b-I","Otros riesgos de accidente b) Inherentes a la manipulación de herramientas manuales",IF(D7="390","Otra exposición a) asfixia o intoxicación",IF(D7="160-I","Contactos Eléctricos",IF(D7="570","Organización del trabajo incorrecta",IF(D7="120-I","Atrapamiento por vuelco de máquinas",IF(D7="330","Ruido",IF(D7="340","Vibración",IF(D7="360","Radiaciones ionizantes",IF(D7="170","Exposición a sustancias nocivas",IF(D7="130","Sobreesfuerzos",IF(D7="380","Iluminación",IF(D7="330","Ruido",IF(D7="340","Vibración",IF(D7="360","Radiaciones ionizantes",IF(D7="170","Exposición a sustancias nocivas",IF(D7="130","Sobreesfuerzos",IF(D7="380","Iluminación"))))))))))))))))))))))))))))))))))))))))))))</f>
        <v/>
      </c>
      <c r="F7" s="11" t="str">
        <f t="shared" si="7"/>
        <v/>
      </c>
      <c r="G7" s="17"/>
      <c r="H7" s="14" t="str">
        <f t="shared" si="1"/>
        <v/>
      </c>
      <c r="I7" s="15"/>
      <c r="J7" s="14" t="str">
        <f t="shared" ref="J7:J15" si="9">IF(I7=4,"EC",IF(I7=3,"EF",IF(I7=2,"EO",IF(I7=1,"EE",""))))</f>
        <v/>
      </c>
      <c r="K7" s="16" t="str">
        <f t="shared" ref="K7:K14" si="10">IF(I7="","",G7*I7)</f>
        <v/>
      </c>
      <c r="L7" s="14" t="str">
        <f t="shared" si="2"/>
        <v/>
      </c>
      <c r="M7" s="15"/>
      <c r="N7" s="14" t="str">
        <f t="shared" ref="N7:N14" si="11">IF(M7="","",IF(M7=100,"M",IF(M7=60,"MG",IF(M7=25,"G",IF(M7=10,"L","")))))</f>
        <v/>
      </c>
      <c r="O7" s="58" t="str">
        <f t="shared" si="3"/>
        <v/>
      </c>
      <c r="P7" s="14" t="str">
        <f t="shared" si="4"/>
        <v/>
      </c>
      <c r="Q7" s="11" t="str">
        <f t="shared" si="5"/>
        <v/>
      </c>
      <c r="R7" s="69" t="str">
        <f t="shared" si="6"/>
        <v/>
      </c>
      <c r="S7" s="11" t="s">
        <v>27</v>
      </c>
      <c r="T7" s="60"/>
    </row>
    <row r="8" spans="1:22">
      <c r="A8" s="110"/>
      <c r="B8" s="55"/>
      <c r="C8" s="11" t="str">
        <f t="shared" si="0"/>
        <v/>
      </c>
      <c r="D8" s="12"/>
      <c r="E8" s="11" t="str">
        <f t="shared" si="8"/>
        <v/>
      </c>
      <c r="F8" s="11" t="str">
        <f t="shared" si="7"/>
        <v/>
      </c>
      <c r="G8" s="17"/>
      <c r="H8" s="14" t="str">
        <f t="shared" si="1"/>
        <v/>
      </c>
      <c r="I8" s="15"/>
      <c r="J8" s="14" t="str">
        <f t="shared" si="9"/>
        <v/>
      </c>
      <c r="K8" s="16" t="str">
        <f t="shared" si="10"/>
        <v/>
      </c>
      <c r="L8" s="14" t="str">
        <f t="shared" si="2"/>
        <v/>
      </c>
      <c r="M8" s="15"/>
      <c r="N8" s="14" t="str">
        <f t="shared" si="11"/>
        <v/>
      </c>
      <c r="O8" s="58" t="str">
        <f t="shared" si="3"/>
        <v/>
      </c>
      <c r="P8" s="14" t="str">
        <f t="shared" si="4"/>
        <v/>
      </c>
      <c r="Q8" s="11" t="str">
        <f t="shared" si="5"/>
        <v/>
      </c>
      <c r="R8" s="69" t="str">
        <f t="shared" si="6"/>
        <v/>
      </c>
      <c r="S8" s="11" t="s">
        <v>27</v>
      </c>
      <c r="T8" s="60"/>
    </row>
    <row r="9" spans="1:22">
      <c r="A9" s="110"/>
      <c r="B9" s="55"/>
      <c r="C9" s="11" t="str">
        <f t="shared" si="0"/>
        <v/>
      </c>
      <c r="D9" s="12"/>
      <c r="E9" s="11" t="str">
        <f t="shared" si="8"/>
        <v/>
      </c>
      <c r="F9" s="11" t="str">
        <f t="shared" si="7"/>
        <v/>
      </c>
      <c r="G9" s="17"/>
      <c r="H9" s="14" t="str">
        <f t="shared" si="1"/>
        <v/>
      </c>
      <c r="I9" s="15"/>
      <c r="J9" s="14" t="str">
        <f t="shared" si="9"/>
        <v/>
      </c>
      <c r="K9" s="16" t="str">
        <f t="shared" si="10"/>
        <v/>
      </c>
      <c r="L9" s="14" t="str">
        <f t="shared" si="2"/>
        <v/>
      </c>
      <c r="M9" s="15"/>
      <c r="N9" s="14" t="str">
        <f t="shared" si="11"/>
        <v/>
      </c>
      <c r="O9" s="58" t="str">
        <f t="shared" si="3"/>
        <v/>
      </c>
      <c r="P9" s="14" t="str">
        <f t="shared" si="4"/>
        <v/>
      </c>
      <c r="Q9" s="11" t="str">
        <f t="shared" si="5"/>
        <v/>
      </c>
      <c r="R9" s="69" t="str">
        <f t="shared" si="6"/>
        <v/>
      </c>
      <c r="S9" s="11" t="s">
        <v>27</v>
      </c>
      <c r="T9" s="60"/>
    </row>
    <row r="10" spans="1:22">
      <c r="A10" s="110"/>
      <c r="B10" s="55"/>
      <c r="C10" s="11" t="str">
        <f t="shared" si="0"/>
        <v/>
      </c>
      <c r="D10" s="12"/>
      <c r="E10" s="11" t="str">
        <f t="shared" si="8"/>
        <v/>
      </c>
      <c r="F10" s="11" t="str">
        <f t="shared" si="7"/>
        <v/>
      </c>
      <c r="G10" s="17"/>
      <c r="H10" s="14" t="str">
        <f t="shared" si="1"/>
        <v/>
      </c>
      <c r="I10" s="15"/>
      <c r="J10" s="14" t="str">
        <f t="shared" si="9"/>
        <v/>
      </c>
      <c r="K10" s="16" t="str">
        <f t="shared" si="10"/>
        <v/>
      </c>
      <c r="L10" s="14" t="str">
        <f t="shared" si="2"/>
        <v/>
      </c>
      <c r="M10" s="15"/>
      <c r="N10" s="14" t="str">
        <f t="shared" si="11"/>
        <v/>
      </c>
      <c r="O10" s="58" t="str">
        <f t="shared" si="3"/>
        <v/>
      </c>
      <c r="P10" s="14" t="str">
        <f t="shared" si="4"/>
        <v/>
      </c>
      <c r="Q10" s="11" t="str">
        <f t="shared" si="5"/>
        <v/>
      </c>
      <c r="R10" s="69" t="str">
        <f t="shared" si="6"/>
        <v/>
      </c>
      <c r="S10" s="11" t="s">
        <v>27</v>
      </c>
      <c r="T10" s="60"/>
    </row>
    <row r="11" spans="1:22">
      <c r="A11" s="110"/>
      <c r="B11" s="55"/>
      <c r="C11" s="11" t="str">
        <f t="shared" si="0"/>
        <v/>
      </c>
      <c r="D11" s="12"/>
      <c r="E11" s="11" t="str">
        <f t="shared" si="8"/>
        <v/>
      </c>
      <c r="F11" s="11" t="str">
        <f t="shared" si="7"/>
        <v/>
      </c>
      <c r="G11" s="17"/>
      <c r="H11" s="14" t="str">
        <f t="shared" si="1"/>
        <v/>
      </c>
      <c r="I11" s="15"/>
      <c r="J11" s="14" t="str">
        <f t="shared" si="9"/>
        <v/>
      </c>
      <c r="K11" s="16" t="str">
        <f t="shared" si="10"/>
        <v/>
      </c>
      <c r="L11" s="14" t="str">
        <f t="shared" si="2"/>
        <v/>
      </c>
      <c r="M11" s="15"/>
      <c r="N11" s="14" t="str">
        <f t="shared" si="11"/>
        <v/>
      </c>
      <c r="O11" s="58" t="str">
        <f t="shared" si="3"/>
        <v/>
      </c>
      <c r="P11" s="14" t="str">
        <f t="shared" si="4"/>
        <v/>
      </c>
      <c r="Q11" s="11" t="str">
        <f t="shared" si="5"/>
        <v/>
      </c>
      <c r="R11" s="69" t="str">
        <f t="shared" si="6"/>
        <v/>
      </c>
      <c r="S11" s="11" t="s">
        <v>27</v>
      </c>
      <c r="T11" s="60"/>
    </row>
    <row r="12" spans="1:22">
      <c r="A12" s="110"/>
      <c r="B12" s="55"/>
      <c r="C12" s="11" t="str">
        <f t="shared" si="0"/>
        <v/>
      </c>
      <c r="D12" s="12"/>
      <c r="E12" s="11" t="str">
        <f t="shared" si="8"/>
        <v/>
      </c>
      <c r="F12" s="11" t="str">
        <f t="shared" si="7"/>
        <v/>
      </c>
      <c r="G12" s="17"/>
      <c r="H12" s="14" t="str">
        <f t="shared" si="1"/>
        <v/>
      </c>
      <c r="I12" s="15"/>
      <c r="J12" s="14" t="str">
        <f t="shared" si="9"/>
        <v/>
      </c>
      <c r="K12" s="16" t="str">
        <f t="shared" si="10"/>
        <v/>
      </c>
      <c r="L12" s="14" t="str">
        <f t="shared" si="2"/>
        <v/>
      </c>
      <c r="M12" s="15"/>
      <c r="N12" s="14" t="str">
        <f t="shared" si="11"/>
        <v/>
      </c>
      <c r="O12" s="58" t="str">
        <f t="shared" si="3"/>
        <v/>
      </c>
      <c r="P12" s="14" t="str">
        <f t="shared" si="4"/>
        <v/>
      </c>
      <c r="Q12" s="11" t="str">
        <f t="shared" si="5"/>
        <v/>
      </c>
      <c r="R12" s="69" t="str">
        <f t="shared" si="6"/>
        <v/>
      </c>
      <c r="S12" s="11" t="s">
        <v>27</v>
      </c>
      <c r="T12" s="60"/>
    </row>
    <row r="13" spans="1:22">
      <c r="A13" s="110"/>
      <c r="B13" s="55"/>
      <c r="C13" s="11" t="str">
        <f t="shared" si="0"/>
        <v/>
      </c>
      <c r="D13" s="12"/>
      <c r="E13" s="11" t="str">
        <f t="shared" si="8"/>
        <v/>
      </c>
      <c r="F13" s="11" t="str">
        <f t="shared" si="7"/>
        <v/>
      </c>
      <c r="G13" s="17"/>
      <c r="H13" s="14" t="str">
        <f t="shared" si="1"/>
        <v/>
      </c>
      <c r="I13" s="15"/>
      <c r="J13" s="14" t="str">
        <f t="shared" si="9"/>
        <v/>
      </c>
      <c r="K13" s="16" t="str">
        <f t="shared" si="10"/>
        <v/>
      </c>
      <c r="L13" s="14" t="str">
        <f t="shared" si="2"/>
        <v/>
      </c>
      <c r="M13" s="15"/>
      <c r="N13" s="14" t="str">
        <f t="shared" si="11"/>
        <v/>
      </c>
      <c r="O13" s="58" t="str">
        <f t="shared" si="3"/>
        <v/>
      </c>
      <c r="P13" s="14" t="str">
        <f t="shared" si="4"/>
        <v/>
      </c>
      <c r="Q13" s="11" t="str">
        <f t="shared" si="5"/>
        <v/>
      </c>
      <c r="R13" s="69" t="str">
        <f t="shared" si="6"/>
        <v/>
      </c>
      <c r="S13" s="11" t="s">
        <v>27</v>
      </c>
      <c r="T13" s="60"/>
    </row>
    <row r="14" spans="1:22">
      <c r="A14" s="110"/>
      <c r="B14" s="55"/>
      <c r="C14" s="11" t="str">
        <f t="shared" si="0"/>
        <v/>
      </c>
      <c r="D14" s="12"/>
      <c r="E14" s="11" t="str">
        <f t="shared" si="8"/>
        <v/>
      </c>
      <c r="F14" s="11" t="str">
        <f t="shared" si="7"/>
        <v/>
      </c>
      <c r="G14" s="17"/>
      <c r="H14" s="14" t="str">
        <f t="shared" si="1"/>
        <v/>
      </c>
      <c r="I14" s="15"/>
      <c r="J14" s="14" t="str">
        <f t="shared" si="9"/>
        <v/>
      </c>
      <c r="K14" s="16" t="str">
        <f t="shared" si="10"/>
        <v/>
      </c>
      <c r="L14" s="14" t="str">
        <f t="shared" si="2"/>
        <v/>
      </c>
      <c r="M14" s="15"/>
      <c r="N14" s="14" t="str">
        <f t="shared" si="11"/>
        <v/>
      </c>
      <c r="O14" s="58" t="str">
        <f t="shared" si="3"/>
        <v/>
      </c>
      <c r="P14" s="14" t="str">
        <f t="shared" si="4"/>
        <v/>
      </c>
      <c r="Q14" s="11" t="str">
        <f t="shared" si="5"/>
        <v/>
      </c>
      <c r="R14" s="69" t="str">
        <f t="shared" si="6"/>
        <v/>
      </c>
      <c r="S14" s="11" t="s">
        <v>27</v>
      </c>
      <c r="T14" s="60"/>
    </row>
    <row r="15" spans="1:22">
      <c r="A15" s="110"/>
      <c r="B15" s="55"/>
      <c r="C15" s="11" t="str">
        <f t="shared" si="0"/>
        <v/>
      </c>
      <c r="D15" s="12"/>
      <c r="E15" s="11" t="str">
        <f t="shared" si="8"/>
        <v/>
      </c>
      <c r="F15" s="11" t="str">
        <f t="shared" si="7"/>
        <v/>
      </c>
      <c r="G15" s="17"/>
      <c r="H15" s="14" t="str">
        <f t="shared" si="1"/>
        <v/>
      </c>
      <c r="I15" s="15"/>
      <c r="J15" s="14" t="str">
        <f t="shared" si="9"/>
        <v/>
      </c>
      <c r="K15" s="16" t="str">
        <f>IF(I15="","",G15*I15)</f>
        <v/>
      </c>
      <c r="L15" s="14" t="str">
        <f t="shared" si="2"/>
        <v/>
      </c>
      <c r="M15" s="15"/>
      <c r="N15" s="14" t="str">
        <f>IF(M15="","",IF(M15=100,"M",IF(M15=60,"MG",IF(M15=25,"G",IF(M15=10,"L","")))))</f>
        <v/>
      </c>
      <c r="O15" s="58" t="str">
        <f t="shared" si="3"/>
        <v/>
      </c>
      <c r="P15" s="14" t="str">
        <f t="shared" si="4"/>
        <v/>
      </c>
      <c r="Q15" s="11" t="str">
        <f t="shared" si="5"/>
        <v/>
      </c>
      <c r="R15" s="69" t="str">
        <f t="shared" si="6"/>
        <v/>
      </c>
      <c r="S15" s="11" t="s">
        <v>27</v>
      </c>
      <c r="T15" s="60"/>
    </row>
    <row r="16" spans="1:22">
      <c r="C16" s="23"/>
      <c r="D16" s="37"/>
      <c r="E16" s="23"/>
      <c r="F16" s="23"/>
    </row>
    <row r="17" spans="3:6">
      <c r="C17" s="23"/>
      <c r="D17" s="37"/>
      <c r="E17" s="23"/>
      <c r="F17" s="23"/>
    </row>
    <row r="18" spans="3:6">
      <c r="C18" s="23"/>
      <c r="D18" s="37"/>
      <c r="E18" s="23"/>
      <c r="F18" s="23"/>
    </row>
    <row r="19" spans="3:6">
      <c r="C19" s="23"/>
      <c r="D19" s="37"/>
      <c r="E19" s="23"/>
      <c r="F19" s="23"/>
    </row>
    <row r="20" spans="3:6">
      <c r="C20" s="23"/>
      <c r="D20" s="37"/>
      <c r="E20" s="23"/>
      <c r="F20" s="23"/>
    </row>
    <row r="21" spans="3:6">
      <c r="C21" s="23"/>
      <c r="D21" s="37"/>
      <c r="E21" s="23"/>
      <c r="F21" s="23"/>
    </row>
    <row r="22" spans="3:6">
      <c r="C22" s="23"/>
      <c r="D22" s="37"/>
      <c r="E22" s="23"/>
      <c r="F22" s="23"/>
    </row>
  </sheetData>
  <mergeCells count="6">
    <mergeCell ref="C1:F1"/>
    <mergeCell ref="B1:B2"/>
    <mergeCell ref="A3:A15"/>
    <mergeCell ref="G1:Q1"/>
    <mergeCell ref="R1:S1"/>
    <mergeCell ref="A1:A2"/>
  </mergeCells>
  <phoneticPr fontId="14" type="noConversion"/>
  <conditionalFormatting sqref="H3:H15">
    <cfRule type="expression" dxfId="41" priority="28">
      <formula>$G3=""</formula>
    </cfRule>
    <cfRule type="expression" dxfId="40" priority="29">
      <formula>$H3="B"</formula>
    </cfRule>
    <cfRule type="expression" dxfId="39" priority="30">
      <formula>$H3="M"</formula>
    </cfRule>
    <cfRule type="expression" dxfId="38" priority="31">
      <formula>$H3="D"</formula>
    </cfRule>
    <cfRule type="expression" dxfId="37" priority="32">
      <formula>$H3="MD"</formula>
    </cfRule>
  </conditionalFormatting>
  <conditionalFormatting sqref="J3:J15">
    <cfRule type="expression" dxfId="36" priority="24">
      <formula>$I3=1</formula>
    </cfRule>
    <cfRule type="expression" dxfId="35" priority="25">
      <formula>$I3=2</formula>
    </cfRule>
    <cfRule type="expression" dxfId="34" priority="26">
      <formula>$I3=3</formula>
    </cfRule>
    <cfRule type="expression" dxfId="33" priority="27">
      <formula>$I3=4</formula>
    </cfRule>
  </conditionalFormatting>
  <conditionalFormatting sqref="L3:L15">
    <cfRule type="expression" dxfId="32" priority="1">
      <formula>$L3="B"</formula>
    </cfRule>
    <cfRule type="expression" dxfId="31" priority="2">
      <formula>$L3="M"</formula>
    </cfRule>
    <cfRule type="expression" dxfId="30" priority="3">
      <formula>$L3="A"</formula>
    </cfRule>
    <cfRule type="expression" dxfId="29" priority="4">
      <formula>$L3="MA"</formula>
    </cfRule>
  </conditionalFormatting>
  <conditionalFormatting sqref="N3:N15">
    <cfRule type="expression" dxfId="28" priority="9">
      <formula>$M3=10</formula>
    </cfRule>
    <cfRule type="expression" dxfId="27" priority="10">
      <formula>$M3=25</formula>
    </cfRule>
    <cfRule type="expression" dxfId="26" priority="11">
      <formula>$M3=60</formula>
    </cfRule>
    <cfRule type="expression" dxfId="25" priority="12">
      <formula>$M3=100</formula>
    </cfRule>
  </conditionalFormatting>
  <conditionalFormatting sqref="P3:P15">
    <cfRule type="expression" dxfId="24" priority="5">
      <formula>$P3="IV"</formula>
    </cfRule>
    <cfRule type="expression" dxfId="23" priority="6">
      <formula>$P3="III"</formula>
    </cfRule>
    <cfRule type="expression" dxfId="22" priority="7">
      <formula>$P3="II"</formula>
    </cfRule>
    <cfRule type="expression" dxfId="21" priority="8">
      <formula>$P3="I"</formula>
    </cfRule>
  </conditionalFormatting>
  <hyperlinks>
    <hyperlink ref="U2" location="'I-Resumen'!A1" display="'I-Resumen'!A1" xr:uid="{64114D59-30D1-4B0B-993D-8C8B1DF7E2C9}"/>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9CE0E-A885-40D1-AD87-8402AB32567C}">
  <dimension ref="A1:J14"/>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23</v>
      </c>
      <c r="D3" s="24" t="s">
        <v>24</v>
      </c>
      <c r="E3" s="81">
        <v>570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4.5" customHeight="1">
      <c r="A5" s="25">
        <v>1</v>
      </c>
      <c r="B5" s="81" t="s">
        <v>299</v>
      </c>
      <c r="C5" s="81"/>
      <c r="D5" s="81"/>
      <c r="E5" s="27"/>
      <c r="F5" s="27"/>
      <c r="G5" s="27"/>
      <c r="H5" s="27">
        <v>10</v>
      </c>
      <c r="I5" s="30">
        <f>(H5*10)/SUM($H$5:$H$13)</f>
        <v>1.3513513513513513</v>
      </c>
      <c r="J5" s="28">
        <f>IF(F5="X",((H5*10)/SUM($H$5:$H$13)),0)</f>
        <v>0</v>
      </c>
    </row>
    <row r="6" spans="1:10" ht="21" customHeight="1">
      <c r="A6" s="25">
        <v>2</v>
      </c>
      <c r="B6" s="81" t="s">
        <v>29</v>
      </c>
      <c r="C6" s="81"/>
      <c r="D6" s="81"/>
      <c r="E6" s="27"/>
      <c r="F6" s="27"/>
      <c r="G6" s="27"/>
      <c r="H6" s="27">
        <v>10</v>
      </c>
      <c r="I6" s="30">
        <f t="shared" ref="I6:I13" si="0">(H6*10)/SUM($H$5:$H$13)</f>
        <v>1.3513513513513513</v>
      </c>
      <c r="J6" s="28">
        <f t="shared" ref="J6:J13" si="1">IF(F6="X",((H6*10)/SUM($H$5:$H$13)),0)</f>
        <v>0</v>
      </c>
    </row>
    <row r="7" spans="1:10" ht="33" customHeight="1">
      <c r="A7" s="25">
        <v>3</v>
      </c>
      <c r="B7" s="81" t="s">
        <v>30</v>
      </c>
      <c r="C7" s="81"/>
      <c r="D7" s="81"/>
      <c r="E7" s="27"/>
      <c r="F7" s="27"/>
      <c r="G7" s="27"/>
      <c r="H7" s="27">
        <v>6</v>
      </c>
      <c r="I7" s="30">
        <f t="shared" si="0"/>
        <v>0.81081081081081086</v>
      </c>
      <c r="J7" s="28">
        <f t="shared" si="1"/>
        <v>0</v>
      </c>
    </row>
    <row r="8" spans="1:10" ht="60" customHeight="1">
      <c r="A8" s="25">
        <v>4</v>
      </c>
      <c r="B8" s="81" t="s">
        <v>31</v>
      </c>
      <c r="C8" s="81"/>
      <c r="D8" s="81"/>
      <c r="E8" s="27"/>
      <c r="F8" s="27"/>
      <c r="G8" s="27"/>
      <c r="H8" s="27">
        <v>10</v>
      </c>
      <c r="I8" s="30">
        <f t="shared" si="0"/>
        <v>1.3513513513513513</v>
      </c>
      <c r="J8" s="28">
        <f t="shared" si="1"/>
        <v>0</v>
      </c>
    </row>
    <row r="9" spans="1:10" ht="33" customHeight="1">
      <c r="A9" s="25">
        <v>5</v>
      </c>
      <c r="B9" s="81" t="s">
        <v>32</v>
      </c>
      <c r="C9" s="81"/>
      <c r="D9" s="81"/>
      <c r="E9" s="27"/>
      <c r="F9" s="27"/>
      <c r="G9" s="27"/>
      <c r="H9" s="27">
        <v>6</v>
      </c>
      <c r="I9" s="30">
        <f t="shared" si="0"/>
        <v>0.81081081081081086</v>
      </c>
      <c r="J9" s="28">
        <f t="shared" si="1"/>
        <v>0</v>
      </c>
    </row>
    <row r="10" spans="1:10" ht="34.5" customHeight="1">
      <c r="A10" s="25">
        <v>6</v>
      </c>
      <c r="B10" s="81" t="s">
        <v>33</v>
      </c>
      <c r="C10" s="81"/>
      <c r="D10" s="81"/>
      <c r="E10" s="27"/>
      <c r="F10" s="27"/>
      <c r="G10" s="27"/>
      <c r="H10" s="27">
        <v>6</v>
      </c>
      <c r="I10" s="30">
        <f t="shared" si="0"/>
        <v>0.81081081081081086</v>
      </c>
      <c r="J10" s="28">
        <f t="shared" si="1"/>
        <v>0</v>
      </c>
    </row>
    <row r="11" spans="1:10" ht="74.25" customHeight="1">
      <c r="A11" s="25">
        <v>7</v>
      </c>
      <c r="B11" s="81" t="s">
        <v>34</v>
      </c>
      <c r="C11" s="81"/>
      <c r="D11" s="81"/>
      <c r="E11" s="27"/>
      <c r="F11" s="27"/>
      <c r="G11" s="27"/>
      <c r="H11" s="27">
        <v>10</v>
      </c>
      <c r="I11" s="30">
        <f t="shared" si="0"/>
        <v>1.3513513513513513</v>
      </c>
      <c r="J11" s="28">
        <f>IF(F11="X",((H11*10)/SUM($H$5:$H$13)),0)</f>
        <v>0</v>
      </c>
    </row>
    <row r="12" spans="1:10" ht="32.25" customHeight="1">
      <c r="A12" s="25">
        <v>8</v>
      </c>
      <c r="B12" s="81" t="s">
        <v>35</v>
      </c>
      <c r="C12" s="81"/>
      <c r="D12" s="81"/>
      <c r="E12" s="27"/>
      <c r="F12" s="27"/>
      <c r="G12" s="27"/>
      <c r="H12" s="27">
        <v>10</v>
      </c>
      <c r="I12" s="30">
        <f t="shared" si="0"/>
        <v>1.3513513513513513</v>
      </c>
      <c r="J12" s="28">
        <f t="shared" si="1"/>
        <v>0</v>
      </c>
    </row>
    <row r="13" spans="1:10" ht="51" customHeight="1">
      <c r="A13" s="25">
        <v>9</v>
      </c>
      <c r="B13" s="81" t="s">
        <v>36</v>
      </c>
      <c r="C13" s="81"/>
      <c r="D13" s="81"/>
      <c r="E13" s="27"/>
      <c r="F13" s="27"/>
      <c r="G13" s="27"/>
      <c r="H13" s="27">
        <v>6</v>
      </c>
      <c r="I13" s="30">
        <f t="shared" si="0"/>
        <v>0.81081081081081086</v>
      </c>
      <c r="J13" s="28">
        <f t="shared" si="1"/>
        <v>0</v>
      </c>
    </row>
    <row r="14" spans="1:10" ht="15" customHeight="1">
      <c r="A14" s="82" t="s">
        <v>37</v>
      </c>
      <c r="B14" s="83"/>
      <c r="C14" s="83"/>
      <c r="D14" s="83"/>
      <c r="E14" s="83"/>
      <c r="F14" s="83"/>
      <c r="G14" s="83"/>
      <c r="H14" s="83"/>
      <c r="I14" s="42">
        <f>SUM(I5:I13)</f>
        <v>9.9999999999999982</v>
      </c>
      <c r="J14" s="29">
        <f>SUM(J5:J13)</f>
        <v>0</v>
      </c>
    </row>
  </sheetData>
  <mergeCells count="17">
    <mergeCell ref="A14:H14"/>
    <mergeCell ref="A3:B3"/>
    <mergeCell ref="B4:D4"/>
    <mergeCell ref="B11:D11"/>
    <mergeCell ref="B12:D12"/>
    <mergeCell ref="E3:J3"/>
    <mergeCell ref="B13:D13"/>
    <mergeCell ref="B5:D5"/>
    <mergeCell ref="B6:D6"/>
    <mergeCell ref="B7:D7"/>
    <mergeCell ref="B8:D8"/>
    <mergeCell ref="B9:D9"/>
    <mergeCell ref="B10:D10"/>
    <mergeCell ref="A1:B1"/>
    <mergeCell ref="A2:B2"/>
    <mergeCell ref="C1:J1"/>
    <mergeCell ref="C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5FF6C-8F66-4DB8-94C8-5C67E3CC27DC}">
  <dimension ref="A1:J20"/>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39</v>
      </c>
      <c r="E3" s="81" t="s">
        <v>40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2.25" customHeight="1">
      <c r="A5" s="25">
        <v>1</v>
      </c>
      <c r="B5" s="81" t="s">
        <v>41</v>
      </c>
      <c r="C5" s="81"/>
      <c r="D5" s="81"/>
      <c r="E5" s="27"/>
      <c r="F5" s="27"/>
      <c r="G5" s="27"/>
      <c r="H5" s="27">
        <v>10</v>
      </c>
      <c r="I5" s="30">
        <f>(H5*10)/SUM($H$5:$H$19)</f>
        <v>0.94339622641509435</v>
      </c>
      <c r="J5" s="28">
        <f>IF(F5="X",((H5*10)/SUM($H$5:$H$19)),0)</f>
        <v>0</v>
      </c>
    </row>
    <row r="6" spans="1:10" ht="35.25" customHeight="1">
      <c r="A6" s="25">
        <v>2</v>
      </c>
      <c r="B6" s="81" t="s">
        <v>42</v>
      </c>
      <c r="C6" s="81"/>
      <c r="D6" s="81"/>
      <c r="E6" s="27"/>
      <c r="F6" s="27"/>
      <c r="G6" s="27"/>
      <c r="H6" s="27">
        <v>6</v>
      </c>
      <c r="I6" s="30">
        <f t="shared" ref="I6:I19" si="0">(H6*10)/SUM($H$5:$H$19)</f>
        <v>0.56603773584905659</v>
      </c>
      <c r="J6" s="28">
        <f t="shared" ref="J6:J19" si="1">IF(F6="X",((H6*10)/SUM($H$5:$H$19)),0)</f>
        <v>0</v>
      </c>
    </row>
    <row r="7" spans="1:10" ht="30.75" customHeight="1">
      <c r="A7" s="25">
        <v>3</v>
      </c>
      <c r="B7" s="81" t="s">
        <v>43</v>
      </c>
      <c r="C7" s="81"/>
      <c r="D7" s="81"/>
      <c r="E7" s="27"/>
      <c r="F7" s="27"/>
      <c r="G7" s="27"/>
      <c r="H7" s="27">
        <v>2</v>
      </c>
      <c r="I7" s="30">
        <f t="shared" si="0"/>
        <v>0.18867924528301888</v>
      </c>
      <c r="J7" s="28">
        <f t="shared" si="1"/>
        <v>0</v>
      </c>
    </row>
    <row r="8" spans="1:10" ht="31.5" customHeight="1">
      <c r="A8" s="25">
        <v>4</v>
      </c>
      <c r="B8" s="81" t="s">
        <v>300</v>
      </c>
      <c r="C8" s="81"/>
      <c r="D8" s="81"/>
      <c r="E8" s="27"/>
      <c r="F8" s="27"/>
      <c r="G8" s="27"/>
      <c r="H8" s="27">
        <v>6</v>
      </c>
      <c r="I8" s="30">
        <f t="shared" si="0"/>
        <v>0.56603773584905659</v>
      </c>
      <c r="J8" s="28">
        <f t="shared" si="1"/>
        <v>0</v>
      </c>
    </row>
    <row r="9" spans="1:10" ht="47.25" customHeight="1">
      <c r="A9" s="25">
        <v>5</v>
      </c>
      <c r="B9" s="81" t="s">
        <v>44</v>
      </c>
      <c r="C9" s="81"/>
      <c r="D9" s="81"/>
      <c r="E9" s="27"/>
      <c r="F9" s="27"/>
      <c r="G9" s="27"/>
      <c r="H9" s="27">
        <v>10</v>
      </c>
      <c r="I9" s="30">
        <f t="shared" si="0"/>
        <v>0.94339622641509435</v>
      </c>
      <c r="J9" s="28">
        <f t="shared" si="1"/>
        <v>0</v>
      </c>
    </row>
    <row r="10" spans="1:10" ht="58.5" customHeight="1">
      <c r="A10" s="25">
        <v>6</v>
      </c>
      <c r="B10" s="81" t="s">
        <v>45</v>
      </c>
      <c r="C10" s="81"/>
      <c r="D10" s="81"/>
      <c r="E10" s="27"/>
      <c r="F10" s="27"/>
      <c r="G10" s="27"/>
      <c r="H10" s="27">
        <v>10</v>
      </c>
      <c r="I10" s="30">
        <f t="shared" si="0"/>
        <v>0.94339622641509435</v>
      </c>
      <c r="J10" s="28">
        <f t="shared" si="1"/>
        <v>0</v>
      </c>
    </row>
    <row r="11" spans="1:10" ht="31.5" customHeight="1">
      <c r="A11" s="25">
        <v>7</v>
      </c>
      <c r="B11" s="81" t="s">
        <v>46</v>
      </c>
      <c r="C11" s="81"/>
      <c r="D11" s="81"/>
      <c r="E11" s="27"/>
      <c r="F11" s="27"/>
      <c r="G11" s="27"/>
      <c r="H11" s="27">
        <v>10</v>
      </c>
      <c r="I11" s="30">
        <f t="shared" si="0"/>
        <v>0.94339622641509435</v>
      </c>
      <c r="J11" s="28">
        <f t="shared" si="1"/>
        <v>0</v>
      </c>
    </row>
    <row r="12" spans="1:10" ht="31.5" customHeight="1">
      <c r="A12" s="25">
        <v>8</v>
      </c>
      <c r="B12" s="81" t="s">
        <v>47</v>
      </c>
      <c r="C12" s="81"/>
      <c r="D12" s="81"/>
      <c r="E12" s="27"/>
      <c r="F12" s="27"/>
      <c r="G12" s="27"/>
      <c r="H12" s="27">
        <v>10</v>
      </c>
      <c r="I12" s="30">
        <f t="shared" si="0"/>
        <v>0.94339622641509435</v>
      </c>
      <c r="J12" s="28">
        <f t="shared" si="1"/>
        <v>0</v>
      </c>
    </row>
    <row r="13" spans="1:10" ht="50.25" customHeight="1">
      <c r="A13" s="25">
        <v>9</v>
      </c>
      <c r="B13" s="81" t="s">
        <v>48</v>
      </c>
      <c r="C13" s="81"/>
      <c r="D13" s="81"/>
      <c r="E13" s="27"/>
      <c r="F13" s="27"/>
      <c r="G13" s="27"/>
      <c r="H13" s="27">
        <v>6</v>
      </c>
      <c r="I13" s="30">
        <f t="shared" si="0"/>
        <v>0.56603773584905659</v>
      </c>
      <c r="J13" s="28">
        <f t="shared" si="1"/>
        <v>0</v>
      </c>
    </row>
    <row r="14" spans="1:10" ht="48" customHeight="1">
      <c r="A14" s="25">
        <v>10</v>
      </c>
      <c r="B14" s="81" t="s">
        <v>49</v>
      </c>
      <c r="C14" s="81"/>
      <c r="D14" s="81"/>
      <c r="E14" s="27"/>
      <c r="F14" s="27"/>
      <c r="G14" s="27"/>
      <c r="H14" s="27">
        <v>10</v>
      </c>
      <c r="I14" s="30">
        <f t="shared" si="0"/>
        <v>0.94339622641509435</v>
      </c>
      <c r="J14" s="28">
        <f t="shared" si="1"/>
        <v>0</v>
      </c>
    </row>
    <row r="15" spans="1:10" ht="62.25" customHeight="1">
      <c r="A15" s="25">
        <v>11</v>
      </c>
      <c r="B15" s="81" t="s">
        <v>50</v>
      </c>
      <c r="C15" s="81"/>
      <c r="D15" s="81"/>
      <c r="E15" s="27"/>
      <c r="F15" s="27"/>
      <c r="G15" s="27"/>
      <c r="H15" s="27">
        <v>6</v>
      </c>
      <c r="I15" s="30">
        <f t="shared" si="0"/>
        <v>0.56603773584905659</v>
      </c>
      <c r="J15" s="28">
        <f t="shared" si="1"/>
        <v>0</v>
      </c>
    </row>
    <row r="16" spans="1:10" ht="59.25" customHeight="1">
      <c r="A16" s="25">
        <v>12</v>
      </c>
      <c r="B16" s="81" t="s">
        <v>51</v>
      </c>
      <c r="C16" s="81"/>
      <c r="D16" s="81"/>
      <c r="E16" s="27"/>
      <c r="F16" s="27"/>
      <c r="G16" s="27"/>
      <c r="H16" s="27">
        <v>6</v>
      </c>
      <c r="I16" s="30">
        <f t="shared" si="0"/>
        <v>0.56603773584905659</v>
      </c>
      <c r="J16" s="28">
        <f t="shared" si="1"/>
        <v>0</v>
      </c>
    </row>
    <row r="17" spans="1:10" ht="58.5" customHeight="1">
      <c r="A17" s="25">
        <v>13</v>
      </c>
      <c r="B17" s="81" t="s">
        <v>52</v>
      </c>
      <c r="C17" s="81"/>
      <c r="D17" s="81"/>
      <c r="E17" s="27"/>
      <c r="F17" s="27"/>
      <c r="G17" s="27"/>
      <c r="H17" s="27">
        <v>6</v>
      </c>
      <c r="I17" s="30">
        <f t="shared" si="0"/>
        <v>0.56603773584905659</v>
      </c>
      <c r="J17" s="28">
        <f t="shared" si="1"/>
        <v>0</v>
      </c>
    </row>
    <row r="18" spans="1:10" ht="73.5" customHeight="1">
      <c r="A18" s="25">
        <v>14</v>
      </c>
      <c r="B18" s="81" t="s">
        <v>53</v>
      </c>
      <c r="C18" s="81"/>
      <c r="D18" s="81"/>
      <c r="E18" s="27"/>
      <c r="F18" s="27"/>
      <c r="G18" s="27"/>
      <c r="H18" s="27">
        <v>2</v>
      </c>
      <c r="I18" s="30">
        <f t="shared" si="0"/>
        <v>0.18867924528301888</v>
      </c>
      <c r="J18" s="28">
        <f t="shared" si="1"/>
        <v>0</v>
      </c>
    </row>
    <row r="19" spans="1:10" ht="47.25" customHeight="1">
      <c r="A19" s="25">
        <v>15</v>
      </c>
      <c r="B19" s="81" t="s">
        <v>54</v>
      </c>
      <c r="C19" s="81"/>
      <c r="D19" s="81"/>
      <c r="E19" s="27"/>
      <c r="F19" s="27"/>
      <c r="G19" s="27"/>
      <c r="H19" s="27">
        <v>6</v>
      </c>
      <c r="I19" s="30">
        <f t="shared" si="0"/>
        <v>0.56603773584905659</v>
      </c>
      <c r="J19" s="28">
        <f t="shared" si="1"/>
        <v>0</v>
      </c>
    </row>
    <row r="20" spans="1:10" ht="15" customHeight="1">
      <c r="A20" s="96" t="s">
        <v>37</v>
      </c>
      <c r="B20" s="96"/>
      <c r="C20" s="96"/>
      <c r="D20" s="96"/>
      <c r="E20" s="96"/>
      <c r="F20" s="96"/>
      <c r="G20" s="96"/>
      <c r="H20" s="96"/>
      <c r="I20" s="41">
        <f>SUM(I5:I19)</f>
        <v>10</v>
      </c>
      <c r="J20" s="29">
        <f>SUM(J5:J19)</f>
        <v>0</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BA2E9-412A-464F-A246-90135B546CB8}">
  <dimension ref="A1:J17"/>
  <sheetViews>
    <sheetView workbookViewId="0">
      <selection activeCell="C1" sqref="C1:J1"/>
    </sheetView>
  </sheetViews>
  <sheetFormatPr baseColWidth="10" defaultColWidth="11.375" defaultRowHeight="14.25"/>
  <cols>
    <col min="1" max="1" width="5.75" style="35" customWidth="1"/>
    <col min="2" max="4" width="16" style="32" customWidth="1"/>
    <col min="5" max="6" width="5.75" style="32" customWidth="1"/>
    <col min="7" max="7" width="11.375" style="32"/>
    <col min="8" max="8" width="12" style="32" bestFit="1" customWidth="1"/>
    <col min="9" max="9" width="12" style="32" customWidth="1"/>
    <col min="10" max="10" width="12.375" style="32"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55</v>
      </c>
      <c r="E3" s="81" t="s">
        <v>56</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57</v>
      </c>
      <c r="C5" s="81"/>
      <c r="D5" s="81"/>
      <c r="E5" s="27"/>
      <c r="F5" s="27"/>
      <c r="G5" s="27"/>
      <c r="H5" s="27">
        <v>10</v>
      </c>
      <c r="I5" s="30">
        <f>(H5*10)/SUM($H$5:$H$14)</f>
        <v>1.9230769230769231</v>
      </c>
      <c r="J5" s="28">
        <f>IF(F5="X",((H5*10)/SUM($H$5:$H$14)),0)</f>
        <v>0</v>
      </c>
    </row>
    <row r="6" spans="1:10" ht="47.25" customHeight="1">
      <c r="A6" s="25">
        <v>2</v>
      </c>
      <c r="B6" s="81" t="s">
        <v>58</v>
      </c>
      <c r="C6" s="81"/>
      <c r="D6" s="81"/>
      <c r="E6" s="27"/>
      <c r="F6" s="27"/>
      <c r="G6" s="27"/>
      <c r="H6" s="27">
        <v>2</v>
      </c>
      <c r="I6" s="30">
        <f t="shared" ref="I6:I14" si="0">(H6*10)/SUM($H$5:$H$14)</f>
        <v>0.38461538461538464</v>
      </c>
      <c r="J6" s="28">
        <f t="shared" ref="J6:J14" si="1">IF(F6="X",((H6*10)/SUM($H$5:$H$14)),0)</f>
        <v>0</v>
      </c>
    </row>
    <row r="7" spans="1:10" ht="33" customHeight="1">
      <c r="A7" s="25">
        <v>3</v>
      </c>
      <c r="B7" s="81" t="s">
        <v>59</v>
      </c>
      <c r="C7" s="81"/>
      <c r="D7" s="81"/>
      <c r="E7" s="27"/>
      <c r="F7" s="27"/>
      <c r="G7" s="27"/>
      <c r="H7" s="27">
        <v>6</v>
      </c>
      <c r="I7" s="30">
        <f t="shared" si="0"/>
        <v>1.1538461538461537</v>
      </c>
      <c r="J7" s="28">
        <f t="shared" si="1"/>
        <v>0</v>
      </c>
    </row>
    <row r="8" spans="1:10" ht="31.5" customHeight="1">
      <c r="A8" s="25">
        <v>4</v>
      </c>
      <c r="B8" s="81" t="s">
        <v>60</v>
      </c>
      <c r="C8" s="81"/>
      <c r="D8" s="81"/>
      <c r="E8" s="27"/>
      <c r="F8" s="27"/>
      <c r="G8" s="27"/>
      <c r="H8" s="27">
        <v>6</v>
      </c>
      <c r="I8" s="30">
        <f t="shared" si="0"/>
        <v>1.1538461538461537</v>
      </c>
      <c r="J8" s="28">
        <f t="shared" si="1"/>
        <v>0</v>
      </c>
    </row>
    <row r="9" spans="1:10" ht="30" customHeight="1">
      <c r="A9" s="25">
        <v>5</v>
      </c>
      <c r="B9" s="81" t="s">
        <v>61</v>
      </c>
      <c r="C9" s="81"/>
      <c r="D9" s="81"/>
      <c r="E9" s="27"/>
      <c r="F9" s="27"/>
      <c r="G9" s="27"/>
      <c r="H9" s="27">
        <v>10</v>
      </c>
      <c r="I9" s="30">
        <f t="shared" si="0"/>
        <v>1.9230769230769231</v>
      </c>
      <c r="J9" s="28">
        <f t="shared" si="1"/>
        <v>0</v>
      </c>
    </row>
    <row r="10" spans="1:10" ht="47.25" customHeight="1">
      <c r="A10" s="25">
        <v>6</v>
      </c>
      <c r="B10" s="81" t="s">
        <v>62</v>
      </c>
      <c r="C10" s="81"/>
      <c r="D10" s="81"/>
      <c r="E10" s="27"/>
      <c r="F10" s="27"/>
      <c r="G10" s="27"/>
      <c r="H10" s="27">
        <v>6</v>
      </c>
      <c r="I10" s="30">
        <f t="shared" si="0"/>
        <v>1.1538461538461537</v>
      </c>
      <c r="J10" s="28">
        <f t="shared" si="1"/>
        <v>0</v>
      </c>
    </row>
    <row r="11" spans="1:10" ht="47.25" customHeight="1">
      <c r="A11" s="25">
        <v>7</v>
      </c>
      <c r="B11" s="81" t="s">
        <v>63</v>
      </c>
      <c r="C11" s="81"/>
      <c r="D11" s="81"/>
      <c r="E11" s="27"/>
      <c r="F11" s="27"/>
      <c r="G11" s="27"/>
      <c r="H11" s="27">
        <v>2</v>
      </c>
      <c r="I11" s="30">
        <f t="shared" si="0"/>
        <v>0.38461538461538464</v>
      </c>
      <c r="J11" s="28">
        <f t="shared" si="1"/>
        <v>0</v>
      </c>
    </row>
    <row r="12" spans="1:10" ht="47.25" customHeight="1">
      <c r="A12" s="25">
        <v>8</v>
      </c>
      <c r="B12" s="81" t="s">
        <v>64</v>
      </c>
      <c r="C12" s="81"/>
      <c r="D12" s="81"/>
      <c r="E12" s="27"/>
      <c r="F12" s="27"/>
      <c r="G12" s="27"/>
      <c r="H12" s="27">
        <v>6</v>
      </c>
      <c r="I12" s="30">
        <f t="shared" si="0"/>
        <v>1.1538461538461537</v>
      </c>
      <c r="J12" s="28">
        <f t="shared" si="1"/>
        <v>0</v>
      </c>
    </row>
    <row r="13" spans="1:10" ht="45" customHeight="1">
      <c r="A13" s="25">
        <v>9</v>
      </c>
      <c r="B13" s="81" t="s">
        <v>65</v>
      </c>
      <c r="C13" s="81"/>
      <c r="D13" s="81"/>
      <c r="E13" s="27"/>
      <c r="F13" s="27"/>
      <c r="G13" s="27"/>
      <c r="H13" s="27">
        <v>2</v>
      </c>
      <c r="I13" s="30">
        <f t="shared" si="0"/>
        <v>0.38461538461538464</v>
      </c>
      <c r="J13" s="28">
        <f t="shared" si="1"/>
        <v>0</v>
      </c>
    </row>
    <row r="14" spans="1:10" ht="33.75" customHeight="1">
      <c r="A14" s="25">
        <v>10</v>
      </c>
      <c r="B14" s="81" t="s">
        <v>66</v>
      </c>
      <c r="C14" s="81"/>
      <c r="D14" s="81"/>
      <c r="E14" s="27"/>
      <c r="F14" s="27"/>
      <c r="G14" s="27"/>
      <c r="H14" s="27">
        <v>2</v>
      </c>
      <c r="I14" s="44">
        <f t="shared" si="0"/>
        <v>0.38461538461538464</v>
      </c>
      <c r="J14" s="28">
        <f t="shared" si="1"/>
        <v>0</v>
      </c>
    </row>
    <row r="15" spans="1:10" ht="15" customHeight="1">
      <c r="A15" s="82" t="s">
        <v>37</v>
      </c>
      <c r="B15" s="83"/>
      <c r="C15" s="83"/>
      <c r="D15" s="83"/>
      <c r="E15" s="83"/>
      <c r="F15" s="83"/>
      <c r="G15" s="83"/>
      <c r="H15" s="95"/>
      <c r="I15" s="41">
        <f>SUM(I5:I14)</f>
        <v>10</v>
      </c>
      <c r="J15" s="43">
        <f>SUM(J5:J14)</f>
        <v>0</v>
      </c>
    </row>
    <row r="17" spans="8:9">
      <c r="H17" s="23"/>
      <c r="I17" s="23"/>
    </row>
  </sheetData>
  <mergeCells count="18">
    <mergeCell ref="A15:H15"/>
    <mergeCell ref="E3:J3"/>
    <mergeCell ref="B11:D11"/>
    <mergeCell ref="B12:D12"/>
    <mergeCell ref="B13:D13"/>
    <mergeCell ref="B14:D14"/>
    <mergeCell ref="B10:D10"/>
    <mergeCell ref="A3:B3"/>
    <mergeCell ref="B4:D4"/>
    <mergeCell ref="B5:D5"/>
    <mergeCell ref="B6:D6"/>
    <mergeCell ref="B7:D7"/>
    <mergeCell ref="B8:D8"/>
    <mergeCell ref="B9:D9"/>
    <mergeCell ref="A1:B1"/>
    <mergeCell ref="A2:B2"/>
    <mergeCell ref="C1:J1"/>
    <mergeCell ref="C2:J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169D-43FA-4A6C-95BB-D7F2C238AF6A}">
  <dimension ref="A1:J17"/>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ustomHeight="1">
      <c r="A2" s="77" t="s">
        <v>0</v>
      </c>
      <c r="B2" s="77"/>
      <c r="C2" s="99"/>
      <c r="D2" s="100"/>
      <c r="E2" s="100"/>
      <c r="F2" s="100"/>
      <c r="G2" s="100"/>
      <c r="H2" s="100"/>
      <c r="I2" s="100"/>
      <c r="J2" s="101"/>
    </row>
    <row r="3" spans="1:10" ht="30">
      <c r="A3" s="77" t="s">
        <v>22</v>
      </c>
      <c r="B3" s="77"/>
      <c r="C3" s="26" t="s">
        <v>38</v>
      </c>
      <c r="D3" s="24" t="s">
        <v>67</v>
      </c>
      <c r="E3" s="102" t="s">
        <v>68</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1.5" customHeight="1">
      <c r="A5" s="25">
        <v>1</v>
      </c>
      <c r="B5" s="81" t="s">
        <v>69</v>
      </c>
      <c r="C5" s="81"/>
      <c r="D5" s="81"/>
      <c r="E5" s="27"/>
      <c r="F5" s="27"/>
      <c r="G5" s="27"/>
      <c r="H5" s="27">
        <v>10</v>
      </c>
      <c r="I5" s="30">
        <f>(H5*10)/SUM($H$5:$H$16)</f>
        <v>1.0416666666666667</v>
      </c>
      <c r="J5" s="28">
        <f>IF(F5="X",((H5*10)/SUM($H$5:$H$16)),0)</f>
        <v>0</v>
      </c>
    </row>
    <row r="6" spans="1:10" ht="32.25" customHeight="1">
      <c r="A6" s="25">
        <v>2</v>
      </c>
      <c r="B6" s="81" t="s">
        <v>70</v>
      </c>
      <c r="C6" s="81"/>
      <c r="D6" s="81"/>
      <c r="E6" s="27"/>
      <c r="F6" s="27"/>
      <c r="G6" s="27"/>
      <c r="H6" s="27">
        <v>6</v>
      </c>
      <c r="I6" s="30">
        <f t="shared" ref="I6:I16" si="0">(H6*10)/SUM($H$5:$H$16)</f>
        <v>0.625</v>
      </c>
      <c r="J6" s="28">
        <f t="shared" ref="J6:J16" si="1">IF(F6="X",((H6*10)/SUM($H$5:$H$16)),0)</f>
        <v>0</v>
      </c>
    </row>
    <row r="7" spans="1:10" ht="45" customHeight="1">
      <c r="A7" s="25">
        <v>3</v>
      </c>
      <c r="B7" s="81" t="s">
        <v>71</v>
      </c>
      <c r="C7" s="81"/>
      <c r="D7" s="81"/>
      <c r="E7" s="27"/>
      <c r="F7" s="27"/>
      <c r="G7" s="27"/>
      <c r="H7" s="27">
        <v>10</v>
      </c>
      <c r="I7" s="30">
        <f t="shared" si="0"/>
        <v>1.0416666666666667</v>
      </c>
      <c r="J7" s="28">
        <f t="shared" si="1"/>
        <v>0</v>
      </c>
    </row>
    <row r="8" spans="1:10" ht="47.25" customHeight="1">
      <c r="A8" s="25">
        <v>4</v>
      </c>
      <c r="B8" s="81" t="s">
        <v>72</v>
      </c>
      <c r="C8" s="81"/>
      <c r="D8" s="81"/>
      <c r="E8" s="27"/>
      <c r="F8" s="27"/>
      <c r="G8" s="27"/>
      <c r="H8" s="27">
        <v>10</v>
      </c>
      <c r="I8" s="30">
        <f t="shared" si="0"/>
        <v>1.0416666666666667</v>
      </c>
      <c r="J8" s="28">
        <f t="shared" si="1"/>
        <v>0</v>
      </c>
    </row>
    <row r="9" spans="1:10" ht="32.25" customHeight="1">
      <c r="A9" s="25">
        <v>5</v>
      </c>
      <c r="B9" s="81" t="s">
        <v>73</v>
      </c>
      <c r="C9" s="81"/>
      <c r="D9" s="81"/>
      <c r="E9" s="27"/>
      <c r="F9" s="27"/>
      <c r="G9" s="27"/>
      <c r="H9" s="27">
        <v>10</v>
      </c>
      <c r="I9" s="30">
        <f t="shared" si="0"/>
        <v>1.0416666666666667</v>
      </c>
      <c r="J9" s="28">
        <f t="shared" si="1"/>
        <v>0</v>
      </c>
    </row>
    <row r="10" spans="1:10" ht="57" customHeight="1">
      <c r="A10" s="25">
        <v>6</v>
      </c>
      <c r="B10" s="81" t="s">
        <v>74</v>
      </c>
      <c r="C10" s="81"/>
      <c r="D10" s="81"/>
      <c r="E10" s="27"/>
      <c r="F10" s="27"/>
      <c r="G10" s="27"/>
      <c r="H10" s="27">
        <v>6</v>
      </c>
      <c r="I10" s="30">
        <f t="shared" si="0"/>
        <v>0.625</v>
      </c>
      <c r="J10" s="28">
        <f t="shared" si="1"/>
        <v>0</v>
      </c>
    </row>
    <row r="11" spans="1:10" ht="31.5" customHeight="1">
      <c r="A11" s="25">
        <v>7</v>
      </c>
      <c r="B11" s="81" t="s">
        <v>75</v>
      </c>
      <c r="C11" s="81"/>
      <c r="D11" s="81"/>
      <c r="E11" s="27"/>
      <c r="F11" s="27"/>
      <c r="G11" s="27"/>
      <c r="H11" s="27">
        <v>6</v>
      </c>
      <c r="I11" s="30">
        <f t="shared" si="0"/>
        <v>0.625</v>
      </c>
      <c r="J11" s="28">
        <f t="shared" si="1"/>
        <v>0</v>
      </c>
    </row>
    <row r="12" spans="1:10" ht="57.75" customHeight="1">
      <c r="A12" s="25">
        <v>8</v>
      </c>
      <c r="B12" s="81" t="s">
        <v>76</v>
      </c>
      <c r="C12" s="81"/>
      <c r="D12" s="81"/>
      <c r="E12" s="27"/>
      <c r="F12" s="27"/>
      <c r="G12" s="27"/>
      <c r="H12" s="27">
        <v>10</v>
      </c>
      <c r="I12" s="30">
        <f t="shared" si="0"/>
        <v>1.0416666666666667</v>
      </c>
      <c r="J12" s="28">
        <f t="shared" si="1"/>
        <v>0</v>
      </c>
    </row>
    <row r="13" spans="1:10" ht="33" customHeight="1">
      <c r="A13" s="25">
        <v>9</v>
      </c>
      <c r="B13" s="81" t="s">
        <v>77</v>
      </c>
      <c r="C13" s="81"/>
      <c r="D13" s="81"/>
      <c r="E13" s="27"/>
      <c r="F13" s="27"/>
      <c r="G13" s="27"/>
      <c r="H13" s="27">
        <v>6</v>
      </c>
      <c r="I13" s="30">
        <f t="shared" si="0"/>
        <v>0.625</v>
      </c>
      <c r="J13" s="28">
        <f t="shared" si="1"/>
        <v>0</v>
      </c>
    </row>
    <row r="14" spans="1:10" ht="46.5" customHeight="1">
      <c r="A14" s="25">
        <v>10</v>
      </c>
      <c r="B14" s="81" t="s">
        <v>78</v>
      </c>
      <c r="C14" s="81"/>
      <c r="D14" s="81"/>
      <c r="E14" s="27"/>
      <c r="F14" s="27"/>
      <c r="G14" s="27"/>
      <c r="H14" s="27">
        <v>6</v>
      </c>
      <c r="I14" s="30">
        <f t="shared" si="0"/>
        <v>0.625</v>
      </c>
      <c r="J14" s="28">
        <f t="shared" si="1"/>
        <v>0</v>
      </c>
    </row>
    <row r="15" spans="1:10" ht="33.75" customHeight="1">
      <c r="A15" s="25">
        <v>11</v>
      </c>
      <c r="B15" s="81" t="s">
        <v>79</v>
      </c>
      <c r="C15" s="81"/>
      <c r="D15" s="81"/>
      <c r="E15" s="27"/>
      <c r="F15" s="27"/>
      <c r="G15" s="27"/>
      <c r="H15" s="27">
        <v>10</v>
      </c>
      <c r="I15" s="30">
        <f t="shared" si="0"/>
        <v>1.0416666666666667</v>
      </c>
      <c r="J15" s="28">
        <f t="shared" si="1"/>
        <v>0</v>
      </c>
    </row>
    <row r="16" spans="1:10" ht="74.25" customHeight="1">
      <c r="A16" s="25">
        <v>12</v>
      </c>
      <c r="B16" s="81" t="s">
        <v>80</v>
      </c>
      <c r="C16" s="81"/>
      <c r="D16" s="81"/>
      <c r="E16" s="27"/>
      <c r="F16" s="27"/>
      <c r="G16" s="27"/>
      <c r="H16" s="27">
        <v>6</v>
      </c>
      <c r="I16" s="30">
        <f t="shared" si="0"/>
        <v>0.625</v>
      </c>
      <c r="J16" s="28">
        <f t="shared" si="1"/>
        <v>0</v>
      </c>
    </row>
    <row r="17" spans="1:10" ht="15" customHeight="1">
      <c r="A17" s="96" t="s">
        <v>37</v>
      </c>
      <c r="B17" s="96"/>
      <c r="C17" s="96"/>
      <c r="D17" s="96"/>
      <c r="E17" s="96"/>
      <c r="F17" s="96"/>
      <c r="G17" s="96"/>
      <c r="H17" s="96"/>
      <c r="I17" s="41">
        <f>SUM(I5:I16)</f>
        <v>10</v>
      </c>
      <c r="J17" s="29">
        <f>SUM(J5:J16)</f>
        <v>0</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F16E6-D100-42F7-9042-D2B8C035042B}">
  <dimension ref="A1:J17"/>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6.75" customHeight="1">
      <c r="A3" s="77" t="s">
        <v>22</v>
      </c>
      <c r="B3" s="77"/>
      <c r="C3" s="26" t="s">
        <v>38</v>
      </c>
      <c r="D3" s="24" t="s">
        <v>81</v>
      </c>
      <c r="E3" s="81" t="s">
        <v>82</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8" customHeight="1">
      <c r="A5" s="25">
        <v>1</v>
      </c>
      <c r="B5" s="81" t="s">
        <v>83</v>
      </c>
      <c r="C5" s="81"/>
      <c r="D5" s="81"/>
      <c r="E5" s="27"/>
      <c r="F5" s="27"/>
      <c r="G5" s="27"/>
      <c r="H5" s="27">
        <v>2</v>
      </c>
      <c r="I5" s="30">
        <f t="shared" ref="I5:I10" si="0">(H5*10)/SUM($H$5:$H$16)</f>
        <v>0.33333333333333331</v>
      </c>
      <c r="J5" s="28">
        <f>IF(F5="X",((H5*10)/SUM($H$5:$H$16)),0)</f>
        <v>0</v>
      </c>
    </row>
    <row r="6" spans="1:10" ht="46.5" customHeight="1">
      <c r="A6" s="25">
        <v>2</v>
      </c>
      <c r="B6" s="81" t="s">
        <v>84</v>
      </c>
      <c r="C6" s="81"/>
      <c r="D6" s="81"/>
      <c r="E6" s="27"/>
      <c r="F6" s="27"/>
      <c r="G6" s="27"/>
      <c r="H6" s="27">
        <v>6</v>
      </c>
      <c r="I6" s="30">
        <f t="shared" si="0"/>
        <v>1</v>
      </c>
      <c r="J6" s="28">
        <f t="shared" ref="J6:J15" si="1">IF(F6="X",((H6*10)/SUM($H$5:$H$16)),0)</f>
        <v>0</v>
      </c>
    </row>
    <row r="7" spans="1:10" ht="62.25" customHeight="1">
      <c r="A7" s="25">
        <v>3</v>
      </c>
      <c r="B7" s="81" t="s">
        <v>85</v>
      </c>
      <c r="C7" s="81"/>
      <c r="D7" s="81"/>
      <c r="E7" s="27"/>
      <c r="F7" s="27"/>
      <c r="G7" s="27"/>
      <c r="H7" s="27">
        <v>10</v>
      </c>
      <c r="I7" s="30">
        <f t="shared" si="0"/>
        <v>1.6666666666666667</v>
      </c>
      <c r="J7" s="28">
        <f t="shared" si="1"/>
        <v>0</v>
      </c>
    </row>
    <row r="8" spans="1:10" ht="48" customHeight="1">
      <c r="A8" s="25">
        <v>4</v>
      </c>
      <c r="B8" s="81" t="s">
        <v>86</v>
      </c>
      <c r="C8" s="81"/>
      <c r="D8" s="81"/>
      <c r="E8" s="27"/>
      <c r="F8" s="27"/>
      <c r="G8" s="27"/>
      <c r="H8" s="27">
        <v>10</v>
      </c>
      <c r="I8" s="30">
        <f t="shared" si="0"/>
        <v>1.6666666666666667</v>
      </c>
      <c r="J8" s="28">
        <f t="shared" si="1"/>
        <v>0</v>
      </c>
    </row>
    <row r="9" spans="1:10" ht="36" customHeight="1">
      <c r="A9" s="25">
        <v>5</v>
      </c>
      <c r="B9" s="81" t="s">
        <v>87</v>
      </c>
      <c r="C9" s="81"/>
      <c r="D9" s="81"/>
      <c r="E9" s="27"/>
      <c r="F9" s="27"/>
      <c r="G9" s="27"/>
      <c r="H9" s="27">
        <v>10</v>
      </c>
      <c r="I9" s="30">
        <f t="shared" si="0"/>
        <v>1.6666666666666667</v>
      </c>
      <c r="J9" s="28">
        <f t="shared" si="1"/>
        <v>0</v>
      </c>
    </row>
    <row r="10" spans="1:10" ht="35.25" customHeight="1">
      <c r="A10" s="25">
        <v>6</v>
      </c>
      <c r="B10" s="81" t="s">
        <v>88</v>
      </c>
      <c r="C10" s="81"/>
      <c r="D10" s="81"/>
      <c r="E10" s="27"/>
      <c r="F10" s="27"/>
      <c r="G10" s="27"/>
      <c r="H10" s="27">
        <v>2</v>
      </c>
      <c r="I10" s="30">
        <f t="shared" si="0"/>
        <v>0.33333333333333331</v>
      </c>
      <c r="J10" s="28">
        <f t="shared" si="1"/>
        <v>0</v>
      </c>
    </row>
    <row r="11" spans="1:10" ht="59.25" customHeight="1">
      <c r="A11" s="25">
        <v>7</v>
      </c>
      <c r="B11" s="81" t="s">
        <v>89</v>
      </c>
      <c r="C11" s="81"/>
      <c r="D11" s="81"/>
      <c r="E11" s="27"/>
      <c r="F11" s="27"/>
      <c r="G11" s="27"/>
      <c r="H11" s="27">
        <v>2</v>
      </c>
      <c r="I11" s="30">
        <f t="shared" ref="I11:I16" si="2">(H11*10)/SUM($H$5:$H$16)</f>
        <v>0.33333333333333331</v>
      </c>
      <c r="J11" s="28">
        <f t="shared" si="1"/>
        <v>0</v>
      </c>
    </row>
    <row r="12" spans="1:10" ht="47.25" customHeight="1">
      <c r="A12" s="25">
        <v>8</v>
      </c>
      <c r="B12" s="81" t="s">
        <v>90</v>
      </c>
      <c r="C12" s="81"/>
      <c r="D12" s="81"/>
      <c r="E12" s="27"/>
      <c r="F12" s="27"/>
      <c r="G12" s="27"/>
      <c r="H12" s="27">
        <v>6</v>
      </c>
      <c r="I12" s="30">
        <f t="shared" si="2"/>
        <v>1</v>
      </c>
      <c r="J12" s="28">
        <f t="shared" si="1"/>
        <v>0</v>
      </c>
    </row>
    <row r="13" spans="1:10" ht="33.75" customHeight="1">
      <c r="A13" s="25">
        <v>9</v>
      </c>
      <c r="B13" s="81" t="s">
        <v>91</v>
      </c>
      <c r="C13" s="81"/>
      <c r="D13" s="81"/>
      <c r="E13" s="27"/>
      <c r="F13" s="27"/>
      <c r="G13" s="27"/>
      <c r="H13" s="27">
        <v>6</v>
      </c>
      <c r="I13" s="30">
        <f t="shared" si="2"/>
        <v>1</v>
      </c>
      <c r="J13" s="28">
        <f t="shared" si="1"/>
        <v>0</v>
      </c>
    </row>
    <row r="14" spans="1:10" ht="33" customHeight="1">
      <c r="A14" s="25">
        <v>10</v>
      </c>
      <c r="B14" s="81" t="s">
        <v>92</v>
      </c>
      <c r="C14" s="81"/>
      <c r="D14" s="81"/>
      <c r="E14" s="27"/>
      <c r="F14" s="27"/>
      <c r="G14" s="27"/>
      <c r="H14" s="27">
        <v>2</v>
      </c>
      <c r="I14" s="30">
        <f t="shared" si="2"/>
        <v>0.33333333333333331</v>
      </c>
      <c r="J14" s="28">
        <f t="shared" si="1"/>
        <v>0</v>
      </c>
    </row>
    <row r="15" spans="1:10" ht="31.5" customHeight="1">
      <c r="A15" s="25">
        <v>11</v>
      </c>
      <c r="B15" s="81" t="s">
        <v>93</v>
      </c>
      <c r="C15" s="81"/>
      <c r="D15" s="81"/>
      <c r="E15" s="27"/>
      <c r="F15" s="27"/>
      <c r="G15" s="27"/>
      <c r="H15" s="27">
        <v>2</v>
      </c>
      <c r="I15" s="30">
        <f t="shared" si="2"/>
        <v>0.33333333333333331</v>
      </c>
      <c r="J15" s="28">
        <f t="shared" si="1"/>
        <v>0</v>
      </c>
    </row>
    <row r="16" spans="1:10" ht="46.5" customHeight="1">
      <c r="A16" s="25">
        <v>12</v>
      </c>
      <c r="B16" s="81" t="s">
        <v>94</v>
      </c>
      <c r="C16" s="81"/>
      <c r="D16" s="81"/>
      <c r="E16" s="27"/>
      <c r="F16" s="27"/>
      <c r="G16" s="27"/>
      <c r="H16" s="27">
        <v>2</v>
      </c>
      <c r="I16" s="30">
        <f t="shared" si="2"/>
        <v>0.33333333333333331</v>
      </c>
      <c r="J16" s="28">
        <f>IF(F16="X",((H16*10)/SUM($H$5:$H$16)),0)</f>
        <v>0</v>
      </c>
    </row>
    <row r="17" spans="1:10" ht="15" customHeight="1">
      <c r="A17" s="96" t="s">
        <v>37</v>
      </c>
      <c r="B17" s="96"/>
      <c r="C17" s="96"/>
      <c r="D17" s="96"/>
      <c r="E17" s="96"/>
      <c r="F17" s="96"/>
      <c r="G17" s="96"/>
      <c r="H17" s="96"/>
      <c r="I17" s="41">
        <f>SUM(I5:I16)</f>
        <v>10.000000000000002</v>
      </c>
      <c r="J17" s="29">
        <f>SUM(J5:J16)</f>
        <v>0</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B889-992A-4A17-A07B-5C7CDB9136BD}">
  <dimension ref="A1:J17"/>
  <sheetViews>
    <sheetView workbookViewId="0">
      <selection activeCell="C1" sqref="C1:J1"/>
    </sheetView>
  </sheetViews>
  <sheetFormatPr baseColWidth="10" defaultColWidth="11.375" defaultRowHeight="14.25"/>
  <cols>
    <col min="1" max="1" width="5.75" style="32" customWidth="1"/>
    <col min="2" max="4" width="16" style="32" customWidth="1"/>
    <col min="5" max="6" width="5.75" style="32" customWidth="1"/>
    <col min="7" max="7" width="11.375" style="32"/>
    <col min="8" max="8" width="12" style="32" bestFit="1" customWidth="1"/>
    <col min="9" max="9" width="12" style="32" customWidth="1"/>
    <col min="10" max="10" width="13"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95</v>
      </c>
      <c r="E3" s="81" t="s">
        <v>96</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6" customHeight="1">
      <c r="A5" s="25">
        <v>1</v>
      </c>
      <c r="B5" s="81" t="s">
        <v>97</v>
      </c>
      <c r="C5" s="81"/>
      <c r="D5" s="81"/>
      <c r="E5" s="27"/>
      <c r="F5" s="27"/>
      <c r="G5" s="27"/>
      <c r="H5" s="34">
        <v>6</v>
      </c>
      <c r="I5" s="28">
        <f>(H5*10)/SUM($H$5:$H$16)</f>
        <v>1.0714285714285714</v>
      </c>
      <c r="J5" s="28">
        <f>IF(F5="X",((H5*10)/SUM($H$5:$H$16)),0)</f>
        <v>0</v>
      </c>
    </row>
    <row r="6" spans="1:10" ht="31.5" customHeight="1">
      <c r="A6" s="25">
        <v>2</v>
      </c>
      <c r="B6" s="81" t="s">
        <v>98</v>
      </c>
      <c r="C6" s="81"/>
      <c r="D6" s="81"/>
      <c r="E6" s="27"/>
      <c r="F6" s="27"/>
      <c r="G6" s="27"/>
      <c r="H6" s="34">
        <v>2</v>
      </c>
      <c r="I6" s="28">
        <f t="shared" ref="I6:I16" si="0">(H6*10)/SUM($H$5:$H$16)</f>
        <v>0.35714285714285715</v>
      </c>
      <c r="J6" s="28">
        <f t="shared" ref="J6:J16" si="1">IF(F6="X",((H6*10)/SUM($H$5:$H$16)),0)</f>
        <v>0</v>
      </c>
    </row>
    <row r="7" spans="1:10" ht="35.25" customHeight="1">
      <c r="A7" s="25">
        <v>3</v>
      </c>
      <c r="B7" s="81" t="s">
        <v>99</v>
      </c>
      <c r="C7" s="81"/>
      <c r="D7" s="81"/>
      <c r="E7" s="27"/>
      <c r="F7" s="27"/>
      <c r="G7" s="27"/>
      <c r="H7" s="34">
        <v>2</v>
      </c>
      <c r="I7" s="28">
        <f t="shared" si="0"/>
        <v>0.35714285714285715</v>
      </c>
      <c r="J7" s="28">
        <f t="shared" si="1"/>
        <v>0</v>
      </c>
    </row>
    <row r="8" spans="1:10" ht="75.75" customHeight="1">
      <c r="A8" s="25">
        <v>4</v>
      </c>
      <c r="B8" s="81" t="s">
        <v>100</v>
      </c>
      <c r="C8" s="81"/>
      <c r="D8" s="81"/>
      <c r="E8" s="27"/>
      <c r="F8" s="27"/>
      <c r="G8" s="27"/>
      <c r="H8" s="34">
        <v>6</v>
      </c>
      <c r="I8" s="28">
        <f t="shared" si="0"/>
        <v>1.0714285714285714</v>
      </c>
      <c r="J8" s="28">
        <f t="shared" si="1"/>
        <v>0</v>
      </c>
    </row>
    <row r="9" spans="1:10" ht="59.25" customHeight="1">
      <c r="A9" s="25">
        <v>5</v>
      </c>
      <c r="B9" s="81" t="s">
        <v>101</v>
      </c>
      <c r="C9" s="81"/>
      <c r="D9" s="81"/>
      <c r="E9" s="27"/>
      <c r="F9" s="27"/>
      <c r="G9" s="27"/>
      <c r="H9" s="34">
        <v>10</v>
      </c>
      <c r="I9" s="28">
        <f t="shared" si="0"/>
        <v>1.7857142857142858</v>
      </c>
      <c r="J9" s="28">
        <f>IF(F9="X",((H9*10)/SUM($H$5:$H$16)),0)</f>
        <v>0</v>
      </c>
    </row>
    <row r="10" spans="1:10" ht="90.75" customHeight="1">
      <c r="A10" s="25">
        <v>6</v>
      </c>
      <c r="B10" s="81" t="s">
        <v>102</v>
      </c>
      <c r="C10" s="81"/>
      <c r="D10" s="81"/>
      <c r="E10" s="27"/>
      <c r="F10" s="27"/>
      <c r="G10" s="27"/>
      <c r="H10" s="34">
        <v>6</v>
      </c>
      <c r="I10" s="28">
        <f t="shared" si="0"/>
        <v>1.0714285714285714</v>
      </c>
      <c r="J10" s="28">
        <f t="shared" si="1"/>
        <v>0</v>
      </c>
    </row>
    <row r="11" spans="1:10" ht="45.75" customHeight="1">
      <c r="A11" s="25">
        <v>7</v>
      </c>
      <c r="B11" s="81" t="s">
        <v>103</v>
      </c>
      <c r="C11" s="81"/>
      <c r="D11" s="81"/>
      <c r="E11" s="27"/>
      <c r="F11" s="27"/>
      <c r="G11" s="27"/>
      <c r="H11" s="34">
        <v>6</v>
      </c>
      <c r="I11" s="28">
        <f t="shared" si="0"/>
        <v>1.0714285714285714</v>
      </c>
      <c r="J11" s="28">
        <f t="shared" si="1"/>
        <v>0</v>
      </c>
    </row>
    <row r="12" spans="1:10" ht="31.5" customHeight="1">
      <c r="A12" s="25">
        <v>8</v>
      </c>
      <c r="B12" s="81" t="s">
        <v>104</v>
      </c>
      <c r="C12" s="81"/>
      <c r="D12" s="81"/>
      <c r="E12" s="27"/>
      <c r="F12" s="27"/>
      <c r="G12" s="27"/>
      <c r="H12" s="34">
        <v>2</v>
      </c>
      <c r="I12" s="28">
        <f t="shared" si="0"/>
        <v>0.35714285714285715</v>
      </c>
      <c r="J12" s="28">
        <f t="shared" si="1"/>
        <v>0</v>
      </c>
    </row>
    <row r="13" spans="1:10" ht="33.75" customHeight="1">
      <c r="A13" s="25">
        <v>9</v>
      </c>
      <c r="B13" s="81" t="s">
        <v>105</v>
      </c>
      <c r="C13" s="81"/>
      <c r="D13" s="81"/>
      <c r="E13" s="27"/>
      <c r="F13" s="27"/>
      <c r="G13" s="27"/>
      <c r="H13" s="34">
        <v>2</v>
      </c>
      <c r="I13" s="28">
        <f t="shared" si="0"/>
        <v>0.35714285714285715</v>
      </c>
      <c r="J13" s="28">
        <f t="shared" si="1"/>
        <v>0</v>
      </c>
    </row>
    <row r="14" spans="1:10" ht="35.25" customHeight="1">
      <c r="A14" s="25">
        <v>10</v>
      </c>
      <c r="B14" s="81" t="s">
        <v>106</v>
      </c>
      <c r="C14" s="81"/>
      <c r="D14" s="81"/>
      <c r="E14" s="27"/>
      <c r="F14" s="27"/>
      <c r="G14" s="27"/>
      <c r="H14" s="34">
        <v>2</v>
      </c>
      <c r="I14" s="28">
        <f t="shared" si="0"/>
        <v>0.35714285714285715</v>
      </c>
      <c r="J14" s="28">
        <f t="shared" si="1"/>
        <v>0</v>
      </c>
    </row>
    <row r="15" spans="1:10" ht="46.5" customHeight="1">
      <c r="A15" s="25">
        <v>11</v>
      </c>
      <c r="B15" s="81" t="s">
        <v>107</v>
      </c>
      <c r="C15" s="81"/>
      <c r="D15" s="81"/>
      <c r="E15" s="27"/>
      <c r="F15" s="27"/>
      <c r="G15" s="27"/>
      <c r="H15" s="34">
        <v>6</v>
      </c>
      <c r="I15" s="28">
        <f t="shared" si="0"/>
        <v>1.0714285714285714</v>
      </c>
      <c r="J15" s="28">
        <f t="shared" si="1"/>
        <v>0</v>
      </c>
    </row>
    <row r="16" spans="1:10" ht="61.5" customHeight="1">
      <c r="A16" s="25">
        <v>12</v>
      </c>
      <c r="B16" s="81" t="s">
        <v>108</v>
      </c>
      <c r="C16" s="81"/>
      <c r="D16" s="81"/>
      <c r="E16" s="27"/>
      <c r="F16" s="27"/>
      <c r="G16" s="27"/>
      <c r="H16" s="34">
        <v>6</v>
      </c>
      <c r="I16" s="28">
        <f t="shared" si="0"/>
        <v>1.0714285714285714</v>
      </c>
      <c r="J16" s="28">
        <f t="shared" si="1"/>
        <v>0</v>
      </c>
    </row>
    <row r="17" spans="1:10" ht="15" customHeight="1">
      <c r="A17" s="96" t="s">
        <v>37</v>
      </c>
      <c r="B17" s="96"/>
      <c r="C17" s="96"/>
      <c r="D17" s="96"/>
      <c r="E17" s="96"/>
      <c r="F17" s="96"/>
      <c r="G17" s="96"/>
      <c r="H17" s="96"/>
      <c r="I17" s="41">
        <f>SUM(I5:I16)</f>
        <v>9.9999999999999982</v>
      </c>
      <c r="J17" s="29">
        <f>SUM(J5:J16)</f>
        <v>0</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DBEC-ABE5-4798-A130-058AF629BD96}">
  <dimension ref="A1:J13"/>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109</v>
      </c>
      <c r="E3" s="81" t="s">
        <v>110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111</v>
      </c>
      <c r="C5" s="81"/>
      <c r="D5" s="81"/>
      <c r="E5" s="27"/>
      <c r="F5" s="27"/>
      <c r="G5" s="27"/>
      <c r="H5" s="27">
        <v>6</v>
      </c>
      <c r="I5" s="30">
        <f>(H5*10)/SUM($H$5:$H$12)</f>
        <v>1.25</v>
      </c>
      <c r="J5" s="28">
        <f>IF(F5="X",((H5*10)/SUM($H$5:$H$12)),0)</f>
        <v>0</v>
      </c>
    </row>
    <row r="6" spans="1:10" ht="47.25" customHeight="1">
      <c r="A6" s="25">
        <v>2</v>
      </c>
      <c r="B6" s="81" t="s">
        <v>112</v>
      </c>
      <c r="C6" s="81"/>
      <c r="D6" s="81"/>
      <c r="E6" s="27"/>
      <c r="F6" s="27"/>
      <c r="G6" s="27"/>
      <c r="H6" s="27">
        <v>6</v>
      </c>
      <c r="I6" s="30">
        <f t="shared" ref="I6:I12" si="0">(H6*10)/SUM($H$5:$H$12)</f>
        <v>1.25</v>
      </c>
      <c r="J6" s="28">
        <f t="shared" ref="J6:J12" si="1">IF(F6="X",((H6*10)/SUM($H$5:$H$12)),0)</f>
        <v>0</v>
      </c>
    </row>
    <row r="7" spans="1:10" ht="59.25" customHeight="1">
      <c r="A7" s="25">
        <v>3</v>
      </c>
      <c r="B7" s="81" t="s">
        <v>113</v>
      </c>
      <c r="C7" s="81"/>
      <c r="D7" s="81"/>
      <c r="E7" s="27"/>
      <c r="F7" s="27"/>
      <c r="G7" s="27"/>
      <c r="H7" s="27">
        <v>6</v>
      </c>
      <c r="I7" s="30">
        <f t="shared" si="0"/>
        <v>1.25</v>
      </c>
      <c r="J7" s="28">
        <f t="shared" si="1"/>
        <v>0</v>
      </c>
    </row>
    <row r="8" spans="1:10" ht="31.5" customHeight="1">
      <c r="A8" s="25">
        <v>4</v>
      </c>
      <c r="B8" s="81" t="s">
        <v>114</v>
      </c>
      <c r="C8" s="81"/>
      <c r="D8" s="81"/>
      <c r="E8" s="27"/>
      <c r="F8" s="27"/>
      <c r="G8" s="27"/>
      <c r="H8" s="27">
        <v>2</v>
      </c>
      <c r="I8" s="30">
        <f t="shared" si="0"/>
        <v>0.41666666666666669</v>
      </c>
      <c r="J8" s="28">
        <f t="shared" si="1"/>
        <v>0</v>
      </c>
    </row>
    <row r="9" spans="1:10" ht="31.5" customHeight="1">
      <c r="A9" s="25">
        <v>5</v>
      </c>
      <c r="B9" s="81" t="s">
        <v>115</v>
      </c>
      <c r="C9" s="81"/>
      <c r="D9" s="81"/>
      <c r="E9" s="27"/>
      <c r="F9" s="27"/>
      <c r="G9" s="27"/>
      <c r="H9" s="27">
        <v>10</v>
      </c>
      <c r="I9" s="30">
        <f t="shared" si="0"/>
        <v>2.0833333333333335</v>
      </c>
      <c r="J9" s="28">
        <f t="shared" si="1"/>
        <v>0</v>
      </c>
    </row>
    <row r="10" spans="1:10" ht="48.75" customHeight="1">
      <c r="A10" s="25">
        <v>6</v>
      </c>
      <c r="B10" s="81" t="s">
        <v>116</v>
      </c>
      <c r="C10" s="81"/>
      <c r="D10" s="81"/>
      <c r="E10" s="27"/>
      <c r="F10" s="27"/>
      <c r="G10" s="27"/>
      <c r="H10" s="27">
        <v>10</v>
      </c>
      <c r="I10" s="30">
        <f t="shared" si="0"/>
        <v>2.0833333333333335</v>
      </c>
      <c r="J10" s="28">
        <f t="shared" si="1"/>
        <v>0</v>
      </c>
    </row>
    <row r="11" spans="1:10" ht="47.25" customHeight="1">
      <c r="A11" s="25">
        <v>7</v>
      </c>
      <c r="B11" s="81" t="s">
        <v>117</v>
      </c>
      <c r="C11" s="81"/>
      <c r="D11" s="81"/>
      <c r="E11" s="27"/>
      <c r="F11" s="27"/>
      <c r="G11" s="27"/>
      <c r="H11" s="27">
        <v>6</v>
      </c>
      <c r="I11" s="30">
        <f t="shared" si="0"/>
        <v>1.25</v>
      </c>
      <c r="J11" s="28">
        <f t="shared" si="1"/>
        <v>0</v>
      </c>
    </row>
    <row r="12" spans="1:10" ht="47.25" customHeight="1">
      <c r="A12" s="25">
        <v>8</v>
      </c>
      <c r="B12" s="81" t="s">
        <v>118</v>
      </c>
      <c r="C12" s="81"/>
      <c r="D12" s="81"/>
      <c r="E12" s="27"/>
      <c r="F12" s="27"/>
      <c r="G12" s="27"/>
      <c r="H12" s="27">
        <v>2</v>
      </c>
      <c r="I12" s="30">
        <f t="shared" si="0"/>
        <v>0.41666666666666669</v>
      </c>
      <c r="J12" s="28">
        <f t="shared" si="1"/>
        <v>0</v>
      </c>
    </row>
    <row r="13" spans="1:10" ht="15" customHeight="1">
      <c r="A13" s="96" t="s">
        <v>37</v>
      </c>
      <c r="B13" s="96"/>
      <c r="C13" s="96"/>
      <c r="D13" s="96"/>
      <c r="E13" s="96"/>
      <c r="F13" s="96"/>
      <c r="G13" s="96"/>
      <c r="H13" s="96"/>
      <c r="I13" s="41">
        <f>SUM(I5:I12)</f>
        <v>10</v>
      </c>
      <c r="J13" s="29">
        <f>SUM(J5:J12)</f>
        <v>0</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E2A4-0940-486A-BDD0-5C40C50496AD}">
  <dimension ref="A1:J17"/>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119</v>
      </c>
      <c r="E3" s="81" t="s">
        <v>120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121</v>
      </c>
      <c r="C5" s="81"/>
      <c r="D5" s="81"/>
      <c r="E5" s="27"/>
      <c r="F5" s="27"/>
      <c r="G5" s="27"/>
      <c r="H5" s="27">
        <v>10</v>
      </c>
      <c r="I5" s="30">
        <f>(H5*10)/SUM($H$5:$H$16)</f>
        <v>1.6666666666666667</v>
      </c>
      <c r="J5" s="28">
        <f>IF(F5="X",((H5*10)/SUM($H$5:$H$16)),0)</f>
        <v>0</v>
      </c>
    </row>
    <row r="6" spans="1:10" ht="63" customHeight="1">
      <c r="A6" s="25">
        <v>2</v>
      </c>
      <c r="B6" s="81" t="s">
        <v>122</v>
      </c>
      <c r="C6" s="81"/>
      <c r="D6" s="81"/>
      <c r="E6" s="27"/>
      <c r="F6" s="27"/>
      <c r="G6" s="27"/>
      <c r="H6" s="27">
        <v>10</v>
      </c>
      <c r="I6" s="30">
        <f t="shared" ref="I6:I16" si="0">(H6*10)/SUM($H$5:$H$16)</f>
        <v>1.6666666666666667</v>
      </c>
      <c r="J6" s="28">
        <f t="shared" ref="J6:J16" si="1">IF(F6="X",((H6*10)/SUM($H$5:$H$16)),0)</f>
        <v>0</v>
      </c>
    </row>
    <row r="7" spans="1:10" ht="31.5" customHeight="1">
      <c r="A7" s="25">
        <v>3</v>
      </c>
      <c r="B7" s="81" t="s">
        <v>123</v>
      </c>
      <c r="C7" s="81"/>
      <c r="D7" s="81"/>
      <c r="E7" s="27"/>
      <c r="F7" s="27"/>
      <c r="G7" s="27"/>
      <c r="H7" s="27">
        <v>6</v>
      </c>
      <c r="I7" s="30">
        <f t="shared" si="0"/>
        <v>1</v>
      </c>
      <c r="J7" s="28">
        <f t="shared" si="1"/>
        <v>0</v>
      </c>
    </row>
    <row r="8" spans="1:10" ht="59.25" customHeight="1">
      <c r="A8" s="25">
        <v>4</v>
      </c>
      <c r="B8" s="81" t="s">
        <v>124</v>
      </c>
      <c r="C8" s="81"/>
      <c r="D8" s="81"/>
      <c r="E8" s="27"/>
      <c r="F8" s="27"/>
      <c r="G8" s="27"/>
      <c r="H8" s="27">
        <v>6</v>
      </c>
      <c r="I8" s="30">
        <f t="shared" si="0"/>
        <v>1</v>
      </c>
      <c r="J8" s="28">
        <f t="shared" si="1"/>
        <v>0</v>
      </c>
    </row>
    <row r="9" spans="1:10" ht="91.5" customHeight="1">
      <c r="A9" s="25">
        <v>5</v>
      </c>
      <c r="B9" s="81" t="s">
        <v>125</v>
      </c>
      <c r="C9" s="81"/>
      <c r="D9" s="81"/>
      <c r="E9" s="27"/>
      <c r="F9" s="27"/>
      <c r="G9" s="27"/>
      <c r="H9" s="27">
        <v>6</v>
      </c>
      <c r="I9" s="30">
        <f t="shared" si="0"/>
        <v>1</v>
      </c>
      <c r="J9" s="28">
        <f t="shared" si="1"/>
        <v>0</v>
      </c>
    </row>
    <row r="10" spans="1:10" ht="47.25" customHeight="1">
      <c r="A10" s="25">
        <v>6</v>
      </c>
      <c r="B10" s="81" t="s">
        <v>126</v>
      </c>
      <c r="C10" s="81"/>
      <c r="D10" s="81"/>
      <c r="E10" s="27"/>
      <c r="F10" s="27"/>
      <c r="G10" s="27"/>
      <c r="H10" s="27">
        <v>6</v>
      </c>
      <c r="I10" s="30">
        <f t="shared" si="0"/>
        <v>1</v>
      </c>
      <c r="J10" s="28">
        <f t="shared" si="1"/>
        <v>0</v>
      </c>
    </row>
    <row r="11" spans="1:10" ht="47.25" customHeight="1">
      <c r="A11" s="25">
        <v>7</v>
      </c>
      <c r="B11" s="81" t="s">
        <v>127</v>
      </c>
      <c r="C11" s="81"/>
      <c r="D11" s="81"/>
      <c r="E11" s="27"/>
      <c r="F11" s="27"/>
      <c r="G11" s="27"/>
      <c r="H11" s="27">
        <v>2</v>
      </c>
      <c r="I11" s="30">
        <f t="shared" si="0"/>
        <v>0.33333333333333331</v>
      </c>
      <c r="J11" s="28">
        <f t="shared" si="1"/>
        <v>0</v>
      </c>
    </row>
    <row r="12" spans="1:10" ht="59.25" customHeight="1">
      <c r="A12" s="25">
        <v>8</v>
      </c>
      <c r="B12" s="81" t="s">
        <v>128</v>
      </c>
      <c r="C12" s="81"/>
      <c r="D12" s="81"/>
      <c r="E12" s="27"/>
      <c r="F12" s="27"/>
      <c r="G12" s="27"/>
      <c r="H12" s="27">
        <v>2</v>
      </c>
      <c r="I12" s="30">
        <f t="shared" si="0"/>
        <v>0.33333333333333331</v>
      </c>
      <c r="J12" s="28">
        <f t="shared" si="1"/>
        <v>0</v>
      </c>
    </row>
    <row r="13" spans="1:10" ht="63" customHeight="1">
      <c r="A13" s="25">
        <v>9</v>
      </c>
      <c r="B13" s="81" t="s">
        <v>129</v>
      </c>
      <c r="C13" s="81"/>
      <c r="D13" s="81"/>
      <c r="E13" s="27"/>
      <c r="F13" s="27"/>
      <c r="G13" s="27"/>
      <c r="H13" s="27">
        <v>6</v>
      </c>
      <c r="I13" s="30">
        <f t="shared" si="0"/>
        <v>1</v>
      </c>
      <c r="J13" s="28">
        <f t="shared" si="1"/>
        <v>0</v>
      </c>
    </row>
    <row r="14" spans="1:10" ht="47.25" customHeight="1">
      <c r="A14" s="25">
        <v>10</v>
      </c>
      <c r="B14" s="81" t="s">
        <v>130</v>
      </c>
      <c r="C14" s="81"/>
      <c r="D14" s="81"/>
      <c r="E14" s="27"/>
      <c r="F14" s="27"/>
      <c r="G14" s="27"/>
      <c r="H14" s="27">
        <v>2</v>
      </c>
      <c r="I14" s="30">
        <f t="shared" si="0"/>
        <v>0.33333333333333331</v>
      </c>
      <c r="J14" s="28">
        <f t="shared" si="1"/>
        <v>0</v>
      </c>
    </row>
    <row r="15" spans="1:10" ht="47.25" customHeight="1">
      <c r="A15" s="25">
        <v>11</v>
      </c>
      <c r="B15" s="81" t="s">
        <v>131</v>
      </c>
      <c r="C15" s="81"/>
      <c r="D15" s="81"/>
      <c r="E15" s="27"/>
      <c r="F15" s="27"/>
      <c r="G15" s="27"/>
      <c r="H15" s="27">
        <v>2</v>
      </c>
      <c r="I15" s="30">
        <f t="shared" si="0"/>
        <v>0.33333333333333331</v>
      </c>
      <c r="J15" s="28">
        <f t="shared" si="1"/>
        <v>0</v>
      </c>
    </row>
    <row r="16" spans="1:10" ht="31.5" customHeight="1">
      <c r="A16" s="25">
        <v>12</v>
      </c>
      <c r="B16" s="81" t="s">
        <v>132</v>
      </c>
      <c r="C16" s="81"/>
      <c r="D16" s="81"/>
      <c r="E16" s="27"/>
      <c r="F16" s="27"/>
      <c r="G16" s="27"/>
      <c r="H16" s="27">
        <v>2</v>
      </c>
      <c r="I16" s="30">
        <f t="shared" si="0"/>
        <v>0.33333333333333331</v>
      </c>
      <c r="J16" s="28">
        <f t="shared" si="1"/>
        <v>0</v>
      </c>
    </row>
    <row r="17" spans="1:10" ht="15" customHeight="1">
      <c r="A17" s="96" t="s">
        <v>37</v>
      </c>
      <c r="B17" s="96"/>
      <c r="C17" s="96"/>
      <c r="D17" s="96"/>
      <c r="E17" s="96"/>
      <c r="F17" s="96"/>
      <c r="G17" s="96"/>
      <c r="H17" s="96"/>
      <c r="I17" s="41">
        <f>SUM(I5:I16)</f>
        <v>10.000000000000002</v>
      </c>
      <c r="J17" s="29">
        <f>SUM(J5:J16)</f>
        <v>0</v>
      </c>
    </row>
  </sheetData>
  <mergeCells count="20">
    <mergeCell ref="A17:H17"/>
    <mergeCell ref="B10:D10"/>
    <mergeCell ref="A3:B3"/>
    <mergeCell ref="B4:D4"/>
    <mergeCell ref="B5:D5"/>
    <mergeCell ref="B6:D6"/>
    <mergeCell ref="B7:D7"/>
    <mergeCell ref="B8:D8"/>
    <mergeCell ref="B9:D9"/>
    <mergeCell ref="E3:J3"/>
    <mergeCell ref="B11:D11"/>
    <mergeCell ref="B12:D12"/>
    <mergeCell ref="B13:D13"/>
    <mergeCell ref="B14:D14"/>
    <mergeCell ref="B15:D15"/>
    <mergeCell ref="A1:B1"/>
    <mergeCell ref="A2:B2"/>
    <mergeCell ref="C1:J1"/>
    <mergeCell ref="C2:J2"/>
    <mergeCell ref="B16:D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07FA-8819-49E4-9E4D-7264DD8DB1B3}">
  <dimension ref="A1:J19"/>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133</v>
      </c>
      <c r="E3" s="81" t="s">
        <v>134</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1.5" customHeight="1">
      <c r="A5" s="25">
        <v>1</v>
      </c>
      <c r="B5" s="81" t="s">
        <v>135</v>
      </c>
      <c r="C5" s="81"/>
      <c r="D5" s="81"/>
      <c r="E5" s="27"/>
      <c r="F5" s="27"/>
      <c r="G5" s="27"/>
      <c r="H5" s="27">
        <v>6</v>
      </c>
      <c r="I5" s="30">
        <f>(H5*10)/SUM($H$5:$H$18)</f>
        <v>0.83333333333333337</v>
      </c>
      <c r="J5" s="28">
        <f>IF(F5="X",((H5*10)/SUM($H$5:$H$18)),0)</f>
        <v>0</v>
      </c>
    </row>
    <row r="6" spans="1:10" ht="47.25" customHeight="1">
      <c r="A6" s="25">
        <v>2</v>
      </c>
      <c r="B6" s="81" t="s">
        <v>136</v>
      </c>
      <c r="C6" s="81"/>
      <c r="D6" s="81"/>
      <c r="E6" s="27"/>
      <c r="F6" s="27"/>
      <c r="G6" s="27"/>
      <c r="H6" s="27">
        <v>6</v>
      </c>
      <c r="I6" s="30">
        <f t="shared" ref="I6:I18" si="0">(H6*10)/SUM($H$5:$H$18)</f>
        <v>0.83333333333333337</v>
      </c>
      <c r="J6" s="28">
        <f t="shared" ref="J6:J18" si="1">IF(F6="X",((H6*10)/SUM($H$5:$H$18)),0)</f>
        <v>0</v>
      </c>
    </row>
    <row r="7" spans="1:10" ht="63" customHeight="1">
      <c r="A7" s="25">
        <v>3</v>
      </c>
      <c r="B7" s="81" t="s">
        <v>137</v>
      </c>
      <c r="C7" s="81"/>
      <c r="D7" s="81"/>
      <c r="E7" s="27"/>
      <c r="F7" s="27"/>
      <c r="G7" s="27"/>
      <c r="H7" s="27">
        <v>2</v>
      </c>
      <c r="I7" s="30">
        <f t="shared" si="0"/>
        <v>0.27777777777777779</v>
      </c>
      <c r="J7" s="28">
        <f t="shared" si="1"/>
        <v>0</v>
      </c>
    </row>
    <row r="8" spans="1:10" ht="47.25" customHeight="1">
      <c r="A8" s="25">
        <v>4</v>
      </c>
      <c r="B8" s="81" t="s">
        <v>138</v>
      </c>
      <c r="C8" s="81"/>
      <c r="D8" s="81"/>
      <c r="E8" s="27"/>
      <c r="F8" s="27"/>
      <c r="G8" s="27"/>
      <c r="H8" s="27">
        <v>10</v>
      </c>
      <c r="I8" s="30">
        <f t="shared" si="0"/>
        <v>1.3888888888888888</v>
      </c>
      <c r="J8" s="28">
        <f t="shared" si="1"/>
        <v>0</v>
      </c>
    </row>
    <row r="9" spans="1:10" ht="63" customHeight="1">
      <c r="A9" s="25">
        <v>5</v>
      </c>
      <c r="B9" s="81" t="s">
        <v>139</v>
      </c>
      <c r="C9" s="81"/>
      <c r="D9" s="81"/>
      <c r="E9" s="27"/>
      <c r="F9" s="27"/>
      <c r="G9" s="27"/>
      <c r="H9" s="27">
        <v>6</v>
      </c>
      <c r="I9" s="30">
        <f t="shared" si="0"/>
        <v>0.83333333333333337</v>
      </c>
      <c r="J9" s="28">
        <f t="shared" si="1"/>
        <v>0</v>
      </c>
    </row>
    <row r="10" spans="1:10" ht="63" customHeight="1">
      <c r="A10" s="25">
        <v>6</v>
      </c>
      <c r="B10" s="81" t="s">
        <v>140</v>
      </c>
      <c r="C10" s="81"/>
      <c r="D10" s="81"/>
      <c r="E10" s="27"/>
      <c r="F10" s="27"/>
      <c r="G10" s="27"/>
      <c r="H10" s="27">
        <v>6</v>
      </c>
      <c r="I10" s="30">
        <f t="shared" si="0"/>
        <v>0.83333333333333337</v>
      </c>
      <c r="J10" s="28">
        <f t="shared" si="1"/>
        <v>0</v>
      </c>
    </row>
    <row r="11" spans="1:10" ht="31.5" customHeight="1">
      <c r="A11" s="25">
        <v>7</v>
      </c>
      <c r="B11" s="81" t="s">
        <v>141</v>
      </c>
      <c r="C11" s="81"/>
      <c r="D11" s="81"/>
      <c r="E11" s="27"/>
      <c r="F11" s="27"/>
      <c r="G11" s="27"/>
      <c r="H11" s="27">
        <v>6</v>
      </c>
      <c r="I11" s="30">
        <f t="shared" si="0"/>
        <v>0.83333333333333337</v>
      </c>
      <c r="J11" s="28">
        <f t="shared" si="1"/>
        <v>0</v>
      </c>
    </row>
    <row r="12" spans="1:10" ht="47.25" customHeight="1">
      <c r="A12" s="25">
        <v>8</v>
      </c>
      <c r="B12" s="81" t="s">
        <v>142</v>
      </c>
      <c r="C12" s="81"/>
      <c r="D12" s="81"/>
      <c r="E12" s="27"/>
      <c r="F12" s="27"/>
      <c r="G12" s="27"/>
      <c r="H12" s="27">
        <v>6</v>
      </c>
      <c r="I12" s="30">
        <f t="shared" si="0"/>
        <v>0.83333333333333337</v>
      </c>
      <c r="J12" s="28">
        <f t="shared" si="1"/>
        <v>0</v>
      </c>
    </row>
    <row r="13" spans="1:10" ht="31.5" customHeight="1">
      <c r="A13" s="25">
        <v>9</v>
      </c>
      <c r="B13" s="81" t="s">
        <v>143</v>
      </c>
      <c r="C13" s="81"/>
      <c r="D13" s="81"/>
      <c r="E13" s="27"/>
      <c r="F13" s="27"/>
      <c r="G13" s="27"/>
      <c r="H13" s="27">
        <v>6</v>
      </c>
      <c r="I13" s="30">
        <f t="shared" si="0"/>
        <v>0.83333333333333337</v>
      </c>
      <c r="J13" s="28">
        <f t="shared" si="1"/>
        <v>0</v>
      </c>
    </row>
    <row r="14" spans="1:10" ht="63" customHeight="1">
      <c r="A14" s="25">
        <v>10</v>
      </c>
      <c r="B14" s="81" t="s">
        <v>144</v>
      </c>
      <c r="C14" s="81"/>
      <c r="D14" s="81"/>
      <c r="E14" s="27"/>
      <c r="F14" s="27"/>
      <c r="G14" s="27"/>
      <c r="H14" s="27">
        <v>6</v>
      </c>
      <c r="I14" s="30">
        <f t="shared" si="0"/>
        <v>0.83333333333333337</v>
      </c>
      <c r="J14" s="28">
        <f t="shared" si="1"/>
        <v>0</v>
      </c>
    </row>
    <row r="15" spans="1:10" ht="15">
      <c r="A15" s="25">
        <v>11</v>
      </c>
      <c r="B15" s="81" t="s">
        <v>145</v>
      </c>
      <c r="C15" s="81"/>
      <c r="D15" s="81"/>
      <c r="E15" s="27"/>
      <c r="F15" s="27"/>
      <c r="G15" s="27"/>
      <c r="H15" s="27">
        <v>2</v>
      </c>
      <c r="I15" s="30">
        <f t="shared" si="0"/>
        <v>0.27777777777777779</v>
      </c>
      <c r="J15" s="28">
        <f t="shared" si="1"/>
        <v>0</v>
      </c>
    </row>
    <row r="16" spans="1:10" ht="47.25" customHeight="1">
      <c r="A16" s="25">
        <v>12</v>
      </c>
      <c r="B16" s="81" t="s">
        <v>146</v>
      </c>
      <c r="C16" s="81"/>
      <c r="D16" s="81"/>
      <c r="E16" s="27"/>
      <c r="F16" s="27"/>
      <c r="G16" s="27"/>
      <c r="H16" s="27">
        <v>2</v>
      </c>
      <c r="I16" s="30">
        <f t="shared" si="0"/>
        <v>0.27777777777777779</v>
      </c>
      <c r="J16" s="28">
        <f t="shared" si="1"/>
        <v>0</v>
      </c>
    </row>
    <row r="17" spans="1:10" ht="59.25" customHeight="1">
      <c r="A17" s="25">
        <v>13</v>
      </c>
      <c r="B17" s="81" t="s">
        <v>147</v>
      </c>
      <c r="C17" s="81"/>
      <c r="D17" s="81"/>
      <c r="E17" s="27"/>
      <c r="F17" s="27"/>
      <c r="G17" s="27"/>
      <c r="H17" s="27">
        <v>6</v>
      </c>
      <c r="I17" s="30">
        <f t="shared" si="0"/>
        <v>0.83333333333333337</v>
      </c>
      <c r="J17" s="28">
        <f t="shared" si="1"/>
        <v>0</v>
      </c>
    </row>
    <row r="18" spans="1:10" ht="78.75" customHeight="1">
      <c r="A18" s="25">
        <v>14</v>
      </c>
      <c r="B18" s="81" t="s">
        <v>148</v>
      </c>
      <c r="C18" s="81"/>
      <c r="D18" s="81"/>
      <c r="E18" s="27"/>
      <c r="F18" s="27"/>
      <c r="G18" s="27"/>
      <c r="H18" s="27">
        <v>2</v>
      </c>
      <c r="I18" s="30">
        <f t="shared" si="0"/>
        <v>0.27777777777777779</v>
      </c>
      <c r="J18" s="28">
        <f t="shared" si="1"/>
        <v>0</v>
      </c>
    </row>
    <row r="19" spans="1:10" ht="15" customHeight="1">
      <c r="A19" s="96" t="s">
        <v>37</v>
      </c>
      <c r="B19" s="96"/>
      <c r="C19" s="96"/>
      <c r="D19" s="96"/>
      <c r="E19" s="96"/>
      <c r="F19" s="96"/>
      <c r="G19" s="96"/>
      <c r="H19" s="96"/>
      <c r="I19" s="41">
        <f>SUM(I5:I18)</f>
        <v>10.000000000000002</v>
      </c>
      <c r="J19" s="29">
        <f>SUM(J5:J18)</f>
        <v>0</v>
      </c>
    </row>
  </sheetData>
  <mergeCells count="22">
    <mergeCell ref="B15:D15"/>
    <mergeCell ref="B16:D16"/>
    <mergeCell ref="A19:H19"/>
    <mergeCell ref="E3:J3"/>
    <mergeCell ref="B17:D17"/>
    <mergeCell ref="B18:D18"/>
    <mergeCell ref="B11:D11"/>
    <mergeCell ref="B12:D12"/>
    <mergeCell ref="B10:D10"/>
    <mergeCell ref="A3:B3"/>
    <mergeCell ref="B4:D4"/>
    <mergeCell ref="B5:D5"/>
    <mergeCell ref="B6:D6"/>
    <mergeCell ref="B7:D7"/>
    <mergeCell ref="B8:D8"/>
    <mergeCell ref="B9:D9"/>
    <mergeCell ref="B13:D13"/>
    <mergeCell ref="B14:D14"/>
    <mergeCell ref="A1:B1"/>
    <mergeCell ref="A2:B2"/>
    <mergeCell ref="C1:J1"/>
    <mergeCell ref="C2:J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5644-8A44-4D35-A555-06A1B1A96118}">
  <dimension ref="A1:J15"/>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90">
      <c r="A3" s="77" t="s">
        <v>22</v>
      </c>
      <c r="B3" s="77"/>
      <c r="C3" s="26" t="s">
        <v>38</v>
      </c>
      <c r="D3" s="24" t="s">
        <v>285</v>
      </c>
      <c r="E3" s="81" t="s">
        <v>149</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150</v>
      </c>
      <c r="C5" s="81"/>
      <c r="D5" s="81"/>
      <c r="E5" s="27"/>
      <c r="F5" s="27"/>
      <c r="G5" s="27"/>
      <c r="H5" s="27">
        <v>10</v>
      </c>
      <c r="I5" s="30">
        <f>(H5*10)/SUM($H$5:$H$14)</f>
        <v>1.9230769230769231</v>
      </c>
      <c r="J5" s="28">
        <f>IF(F5="X",((H5*10)/SUM($H$5:$H$14)),0)</f>
        <v>0</v>
      </c>
    </row>
    <row r="6" spans="1:10" ht="35.25" customHeight="1">
      <c r="A6" s="25">
        <v>2</v>
      </c>
      <c r="B6" s="81" t="s">
        <v>151</v>
      </c>
      <c r="C6" s="81"/>
      <c r="D6" s="81"/>
      <c r="E6" s="27"/>
      <c r="F6" s="27"/>
      <c r="G6" s="27"/>
      <c r="H6" s="27">
        <v>6</v>
      </c>
      <c r="I6" s="30">
        <f t="shared" ref="I6:I14" si="0">(H6*10)/SUM($H$5:$H$14)</f>
        <v>1.1538461538461537</v>
      </c>
      <c r="J6" s="28">
        <f t="shared" ref="J6:J14" si="1">IF(F6="X",((H6*10)/SUM($H$5:$H$14)),0)</f>
        <v>0</v>
      </c>
    </row>
    <row r="7" spans="1:10" ht="35.25" customHeight="1">
      <c r="A7" s="25">
        <v>3</v>
      </c>
      <c r="B7" s="81" t="s">
        <v>152</v>
      </c>
      <c r="C7" s="81"/>
      <c r="D7" s="81"/>
      <c r="E7" s="27"/>
      <c r="F7" s="27"/>
      <c r="G7" s="27"/>
      <c r="H7" s="27">
        <v>6</v>
      </c>
      <c r="I7" s="30">
        <f t="shared" si="0"/>
        <v>1.1538461538461537</v>
      </c>
      <c r="J7" s="28">
        <f t="shared" si="1"/>
        <v>0</v>
      </c>
    </row>
    <row r="8" spans="1:10" ht="31.5" customHeight="1">
      <c r="A8" s="25">
        <v>4</v>
      </c>
      <c r="B8" s="81" t="s">
        <v>153</v>
      </c>
      <c r="C8" s="81"/>
      <c r="D8" s="81"/>
      <c r="E8" s="27"/>
      <c r="F8" s="27"/>
      <c r="G8" s="27"/>
      <c r="H8" s="27">
        <v>10</v>
      </c>
      <c r="I8" s="30">
        <f t="shared" si="0"/>
        <v>1.9230769230769231</v>
      </c>
      <c r="J8" s="28">
        <f t="shared" si="1"/>
        <v>0</v>
      </c>
    </row>
    <row r="9" spans="1:10" ht="31.5" customHeight="1">
      <c r="A9" s="25">
        <v>5</v>
      </c>
      <c r="B9" s="81" t="s">
        <v>154</v>
      </c>
      <c r="C9" s="81"/>
      <c r="D9" s="81"/>
      <c r="E9" s="27"/>
      <c r="F9" s="27"/>
      <c r="G9" s="27"/>
      <c r="H9" s="27">
        <v>2</v>
      </c>
      <c r="I9" s="30">
        <f t="shared" si="0"/>
        <v>0.38461538461538464</v>
      </c>
      <c r="J9" s="28">
        <f t="shared" si="1"/>
        <v>0</v>
      </c>
    </row>
    <row r="10" spans="1:10" ht="58.5" customHeight="1">
      <c r="A10" s="25">
        <v>6</v>
      </c>
      <c r="B10" s="81" t="s">
        <v>155</v>
      </c>
      <c r="C10" s="81"/>
      <c r="D10" s="81"/>
      <c r="E10" s="27"/>
      <c r="F10" s="27"/>
      <c r="G10" s="27"/>
      <c r="H10" s="27">
        <v>6</v>
      </c>
      <c r="I10" s="30">
        <f t="shared" si="0"/>
        <v>1.1538461538461537</v>
      </c>
      <c r="J10" s="28">
        <f t="shared" si="1"/>
        <v>0</v>
      </c>
    </row>
    <row r="11" spans="1:10" ht="31.5" customHeight="1">
      <c r="A11" s="25">
        <v>7</v>
      </c>
      <c r="B11" s="81" t="s">
        <v>156</v>
      </c>
      <c r="C11" s="81"/>
      <c r="D11" s="81"/>
      <c r="E11" s="27"/>
      <c r="F11" s="27"/>
      <c r="G11" s="27"/>
      <c r="H11" s="27">
        <v>2</v>
      </c>
      <c r="I11" s="30">
        <f t="shared" si="0"/>
        <v>0.38461538461538464</v>
      </c>
      <c r="J11" s="28">
        <f t="shared" si="1"/>
        <v>0</v>
      </c>
    </row>
    <row r="12" spans="1:10" ht="43.5" customHeight="1">
      <c r="A12" s="25">
        <v>8</v>
      </c>
      <c r="B12" s="81" t="s">
        <v>157</v>
      </c>
      <c r="C12" s="81"/>
      <c r="D12" s="81"/>
      <c r="E12" s="27"/>
      <c r="F12" s="27"/>
      <c r="G12" s="27"/>
      <c r="H12" s="27">
        <v>2</v>
      </c>
      <c r="I12" s="30">
        <f t="shared" si="0"/>
        <v>0.38461538461538464</v>
      </c>
      <c r="J12" s="28">
        <f t="shared" si="1"/>
        <v>0</v>
      </c>
    </row>
    <row r="13" spans="1:10" ht="31.5" customHeight="1">
      <c r="A13" s="25">
        <v>9</v>
      </c>
      <c r="B13" s="81" t="s">
        <v>158</v>
      </c>
      <c r="C13" s="81"/>
      <c r="D13" s="81"/>
      <c r="E13" s="27"/>
      <c r="F13" s="27"/>
      <c r="G13" s="27"/>
      <c r="H13" s="27">
        <v>2</v>
      </c>
      <c r="I13" s="30">
        <f t="shared" si="0"/>
        <v>0.38461538461538464</v>
      </c>
      <c r="J13" s="28">
        <f t="shared" si="1"/>
        <v>0</v>
      </c>
    </row>
    <row r="14" spans="1:10" ht="45.75" customHeight="1">
      <c r="A14" s="25">
        <v>10</v>
      </c>
      <c r="B14" s="81" t="s">
        <v>159</v>
      </c>
      <c r="C14" s="81"/>
      <c r="D14" s="81"/>
      <c r="E14" s="27"/>
      <c r="F14" s="27"/>
      <c r="G14" s="27"/>
      <c r="H14" s="27">
        <v>6</v>
      </c>
      <c r="I14" s="30">
        <f t="shared" si="0"/>
        <v>1.1538461538461537</v>
      </c>
      <c r="J14" s="28">
        <f t="shared" si="1"/>
        <v>0</v>
      </c>
    </row>
    <row r="15" spans="1:10" ht="15" customHeight="1">
      <c r="A15" s="96" t="s">
        <v>37</v>
      </c>
      <c r="B15" s="96"/>
      <c r="C15" s="96"/>
      <c r="D15" s="96"/>
      <c r="E15" s="96"/>
      <c r="F15" s="96"/>
      <c r="G15" s="96"/>
      <c r="H15" s="96"/>
      <c r="I15" s="41">
        <f>SUM(I5:I14)</f>
        <v>10</v>
      </c>
      <c r="J15" s="29">
        <f>SUM(J5:J14)</f>
        <v>0</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89B4-E121-4E86-BD87-BC83F07CD311}">
  <dimension ref="A1:J15"/>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90">
      <c r="A3" s="77" t="s">
        <v>22</v>
      </c>
      <c r="B3" s="77"/>
      <c r="C3" s="26" t="s">
        <v>38</v>
      </c>
      <c r="D3" s="24" t="s">
        <v>286</v>
      </c>
      <c r="E3" s="81" t="s">
        <v>160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161</v>
      </c>
      <c r="C5" s="81"/>
      <c r="D5" s="81"/>
      <c r="E5" s="27"/>
      <c r="F5" s="27"/>
      <c r="G5" s="27"/>
      <c r="H5" s="27">
        <v>6</v>
      </c>
      <c r="I5" s="30">
        <f>(H5*10)/SUM($H$5:$H$14)</f>
        <v>1.5</v>
      </c>
      <c r="J5" s="28">
        <f>IF(F5="X",((H5*10)/SUM($H$5:$H$14)),0)</f>
        <v>0</v>
      </c>
    </row>
    <row r="6" spans="1:10" ht="44.25" customHeight="1">
      <c r="A6" s="25">
        <v>2</v>
      </c>
      <c r="B6" s="81" t="s">
        <v>162</v>
      </c>
      <c r="C6" s="81"/>
      <c r="D6" s="81"/>
      <c r="E6" s="27"/>
      <c r="F6" s="27"/>
      <c r="G6" s="27"/>
      <c r="H6" s="27">
        <v>6</v>
      </c>
      <c r="I6" s="30">
        <f t="shared" ref="I6:I14" si="0">(H6*10)/SUM($H$5:$H$14)</f>
        <v>1.5</v>
      </c>
      <c r="J6" s="28">
        <f t="shared" ref="J6:J14" si="1">IF(F6="X",((H6*10)/SUM($H$5:$H$14)),0)</f>
        <v>0</v>
      </c>
    </row>
    <row r="7" spans="1:10" ht="43.5" customHeight="1">
      <c r="A7" s="25">
        <v>3</v>
      </c>
      <c r="B7" s="81" t="s">
        <v>163</v>
      </c>
      <c r="C7" s="81"/>
      <c r="D7" s="81"/>
      <c r="E7" s="27"/>
      <c r="F7" s="27"/>
      <c r="G7" s="27"/>
      <c r="H7" s="27">
        <v>2</v>
      </c>
      <c r="I7" s="30">
        <f t="shared" si="0"/>
        <v>0.5</v>
      </c>
      <c r="J7" s="28">
        <f t="shared" si="1"/>
        <v>0</v>
      </c>
    </row>
    <row r="8" spans="1:10" ht="15">
      <c r="A8" s="25">
        <v>4</v>
      </c>
      <c r="B8" s="81" t="s">
        <v>164</v>
      </c>
      <c r="C8" s="81"/>
      <c r="D8" s="81"/>
      <c r="E8" s="27"/>
      <c r="F8" s="27"/>
      <c r="G8" s="27"/>
      <c r="H8" s="27">
        <v>2</v>
      </c>
      <c r="I8" s="30">
        <f t="shared" si="0"/>
        <v>0.5</v>
      </c>
      <c r="J8" s="28">
        <f t="shared" si="1"/>
        <v>0</v>
      </c>
    </row>
    <row r="9" spans="1:10" ht="31.5" customHeight="1">
      <c r="A9" s="25">
        <v>5</v>
      </c>
      <c r="B9" s="81" t="s">
        <v>165</v>
      </c>
      <c r="C9" s="81"/>
      <c r="D9" s="81"/>
      <c r="E9" s="27"/>
      <c r="F9" s="27"/>
      <c r="G9" s="27"/>
      <c r="H9" s="27">
        <v>2</v>
      </c>
      <c r="I9" s="30">
        <f t="shared" si="0"/>
        <v>0.5</v>
      </c>
      <c r="J9" s="28">
        <f t="shared" si="1"/>
        <v>0</v>
      </c>
    </row>
    <row r="10" spans="1:10" ht="42.75" customHeight="1">
      <c r="A10" s="25">
        <v>6</v>
      </c>
      <c r="B10" s="81" t="s">
        <v>166</v>
      </c>
      <c r="C10" s="81"/>
      <c r="D10" s="81"/>
      <c r="E10" s="27"/>
      <c r="F10" s="27"/>
      <c r="G10" s="27"/>
      <c r="H10" s="27">
        <v>2</v>
      </c>
      <c r="I10" s="30">
        <f t="shared" si="0"/>
        <v>0.5</v>
      </c>
      <c r="J10" s="28">
        <f t="shared" si="1"/>
        <v>0</v>
      </c>
    </row>
    <row r="11" spans="1:10" ht="29.25" customHeight="1">
      <c r="A11" s="25">
        <v>7</v>
      </c>
      <c r="B11" s="81" t="s">
        <v>167</v>
      </c>
      <c r="C11" s="81"/>
      <c r="D11" s="81"/>
      <c r="E11" s="27"/>
      <c r="F11" s="27"/>
      <c r="G11" s="27"/>
      <c r="H11" s="27">
        <v>6</v>
      </c>
      <c r="I11" s="30">
        <f t="shared" si="0"/>
        <v>1.5</v>
      </c>
      <c r="J11" s="28">
        <f t="shared" si="1"/>
        <v>0</v>
      </c>
    </row>
    <row r="12" spans="1:10" ht="44.25" customHeight="1">
      <c r="A12" s="25">
        <v>8</v>
      </c>
      <c r="B12" s="81" t="s">
        <v>168</v>
      </c>
      <c r="C12" s="81"/>
      <c r="D12" s="81"/>
      <c r="E12" s="27"/>
      <c r="F12" s="27"/>
      <c r="G12" s="27"/>
      <c r="H12" s="27">
        <v>6</v>
      </c>
      <c r="I12" s="30">
        <f t="shared" si="0"/>
        <v>1.5</v>
      </c>
      <c r="J12" s="28">
        <f t="shared" si="1"/>
        <v>0</v>
      </c>
    </row>
    <row r="13" spans="1:10" ht="31.5" customHeight="1">
      <c r="A13" s="25">
        <v>9</v>
      </c>
      <c r="B13" s="81" t="s">
        <v>169</v>
      </c>
      <c r="C13" s="81"/>
      <c r="D13" s="81"/>
      <c r="E13" s="27"/>
      <c r="F13" s="27"/>
      <c r="G13" s="27"/>
      <c r="H13" s="27">
        <v>2</v>
      </c>
      <c r="I13" s="30">
        <f t="shared" si="0"/>
        <v>0.5</v>
      </c>
      <c r="J13" s="28">
        <f t="shared" si="1"/>
        <v>0</v>
      </c>
    </row>
    <row r="14" spans="1:10" ht="60" customHeight="1">
      <c r="A14" s="25">
        <v>10</v>
      </c>
      <c r="B14" s="81" t="s">
        <v>170</v>
      </c>
      <c r="C14" s="81"/>
      <c r="D14" s="81"/>
      <c r="E14" s="27"/>
      <c r="F14" s="27"/>
      <c r="G14" s="27"/>
      <c r="H14" s="27">
        <v>6</v>
      </c>
      <c r="I14" s="30">
        <f t="shared" si="0"/>
        <v>1.5</v>
      </c>
      <c r="J14" s="28">
        <f t="shared" si="1"/>
        <v>0</v>
      </c>
    </row>
    <row r="15" spans="1:10" ht="15" customHeight="1">
      <c r="A15" s="96" t="s">
        <v>37</v>
      </c>
      <c r="B15" s="96"/>
      <c r="C15" s="96"/>
      <c r="D15" s="96"/>
      <c r="E15" s="96"/>
      <c r="F15" s="96"/>
      <c r="G15" s="96"/>
      <c r="H15" s="96"/>
      <c r="I15" s="41">
        <f>SUM(I5:I14)</f>
        <v>10</v>
      </c>
      <c r="J15" s="29">
        <f>SUM(J5:J14)</f>
        <v>0</v>
      </c>
    </row>
  </sheetData>
  <mergeCells count="18">
    <mergeCell ref="B11:D11"/>
    <mergeCell ref="B12:D12"/>
    <mergeCell ref="B13:D13"/>
    <mergeCell ref="B14:D14"/>
    <mergeCell ref="A15:H15"/>
    <mergeCell ref="B10:D10"/>
    <mergeCell ref="A3:B3"/>
    <mergeCell ref="B4:D4"/>
    <mergeCell ref="B5:D5"/>
    <mergeCell ref="B6:D6"/>
    <mergeCell ref="B7:D7"/>
    <mergeCell ref="B8:D8"/>
    <mergeCell ref="B9:D9"/>
    <mergeCell ref="A1:B1"/>
    <mergeCell ref="A2:B2"/>
    <mergeCell ref="C1:J1"/>
    <mergeCell ref="C2:J2"/>
    <mergeCell ref="E3:J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ECB4D-AD1C-43F6-BD19-33FBD6B63C1A}">
  <dimension ref="A1:J20"/>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171</v>
      </c>
      <c r="D3" s="24" t="s">
        <v>172</v>
      </c>
      <c r="E3" s="81" t="s">
        <v>173</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174</v>
      </c>
      <c r="C5" s="81"/>
      <c r="D5" s="81"/>
      <c r="E5" s="27"/>
      <c r="F5" s="27"/>
      <c r="G5" s="27"/>
      <c r="H5" s="27">
        <v>10</v>
      </c>
      <c r="I5" s="30">
        <f>(H5*10)/SUM($H$5:$H$19)</f>
        <v>1.3513513513513513</v>
      </c>
      <c r="J5" s="28">
        <f>IF(F5="X",((H5*10)/SUM($H$5:$H$19)),0)</f>
        <v>0</v>
      </c>
    </row>
    <row r="6" spans="1:10" ht="47.25" customHeight="1">
      <c r="A6" s="25">
        <v>2</v>
      </c>
      <c r="B6" s="81" t="s">
        <v>175</v>
      </c>
      <c r="C6" s="81"/>
      <c r="D6" s="81"/>
      <c r="E6" s="27"/>
      <c r="F6" s="27"/>
      <c r="G6" s="27"/>
      <c r="H6" s="27">
        <v>6</v>
      </c>
      <c r="I6" s="30">
        <f t="shared" ref="I6:I19" si="0">(H6*10)/SUM($H$5:$H$19)</f>
        <v>0.81081081081081086</v>
      </c>
      <c r="J6" s="28">
        <f t="shared" ref="J6:J19" si="1">IF(F6="X",((H6*10)/SUM($H$5:$H$19)),0)</f>
        <v>0</v>
      </c>
    </row>
    <row r="7" spans="1:10" ht="31.5" customHeight="1">
      <c r="A7" s="25">
        <v>3</v>
      </c>
      <c r="B7" s="81" t="s">
        <v>176</v>
      </c>
      <c r="C7" s="81"/>
      <c r="D7" s="81"/>
      <c r="E7" s="27"/>
      <c r="F7" s="27"/>
      <c r="G7" s="27"/>
      <c r="H7" s="27">
        <v>10</v>
      </c>
      <c r="I7" s="30">
        <f t="shared" si="0"/>
        <v>1.3513513513513513</v>
      </c>
      <c r="J7" s="28">
        <f t="shared" si="1"/>
        <v>0</v>
      </c>
    </row>
    <row r="8" spans="1:10" ht="47.25" customHeight="1">
      <c r="A8" s="25">
        <v>4</v>
      </c>
      <c r="B8" s="81" t="s">
        <v>177</v>
      </c>
      <c r="C8" s="81"/>
      <c r="D8" s="81"/>
      <c r="E8" s="27"/>
      <c r="F8" s="27"/>
      <c r="G8" s="27"/>
      <c r="H8" s="27">
        <v>10</v>
      </c>
      <c r="I8" s="30">
        <f t="shared" si="0"/>
        <v>1.3513513513513513</v>
      </c>
      <c r="J8" s="28">
        <f t="shared" si="1"/>
        <v>0</v>
      </c>
    </row>
    <row r="9" spans="1:10" ht="47.25" customHeight="1">
      <c r="A9" s="25">
        <v>5</v>
      </c>
      <c r="B9" s="81" t="s">
        <v>178</v>
      </c>
      <c r="C9" s="81"/>
      <c r="D9" s="81"/>
      <c r="E9" s="27"/>
      <c r="F9" s="27"/>
      <c r="G9" s="27"/>
      <c r="H9" s="27">
        <v>6</v>
      </c>
      <c r="I9" s="30">
        <f t="shared" si="0"/>
        <v>0.81081081081081086</v>
      </c>
      <c r="J9" s="28">
        <f t="shared" si="1"/>
        <v>0</v>
      </c>
    </row>
    <row r="10" spans="1:10" ht="31.5" customHeight="1">
      <c r="A10" s="25">
        <v>6</v>
      </c>
      <c r="B10" s="81" t="s">
        <v>179</v>
      </c>
      <c r="C10" s="81"/>
      <c r="D10" s="81"/>
      <c r="E10" s="27"/>
      <c r="F10" s="27"/>
      <c r="G10" s="27"/>
      <c r="H10" s="27">
        <v>2</v>
      </c>
      <c r="I10" s="30">
        <f t="shared" si="0"/>
        <v>0.27027027027027029</v>
      </c>
      <c r="J10" s="28">
        <f t="shared" si="1"/>
        <v>0</v>
      </c>
    </row>
    <row r="11" spans="1:10" ht="47.25" customHeight="1">
      <c r="A11" s="25">
        <v>7</v>
      </c>
      <c r="B11" s="81" t="s">
        <v>180</v>
      </c>
      <c r="C11" s="81"/>
      <c r="D11" s="81"/>
      <c r="E11" s="27"/>
      <c r="F11" s="27"/>
      <c r="G11" s="27"/>
      <c r="H11" s="27">
        <v>6</v>
      </c>
      <c r="I11" s="30">
        <f t="shared" si="0"/>
        <v>0.81081081081081086</v>
      </c>
      <c r="J11" s="28">
        <f t="shared" si="1"/>
        <v>0</v>
      </c>
    </row>
    <row r="12" spans="1:10" ht="47.25" customHeight="1">
      <c r="A12" s="25">
        <v>8</v>
      </c>
      <c r="B12" s="81" t="s">
        <v>181</v>
      </c>
      <c r="C12" s="81"/>
      <c r="D12" s="81"/>
      <c r="E12" s="27"/>
      <c r="F12" s="27"/>
      <c r="G12" s="27"/>
      <c r="H12" s="27">
        <v>2</v>
      </c>
      <c r="I12" s="30">
        <f t="shared" si="0"/>
        <v>0.27027027027027029</v>
      </c>
      <c r="J12" s="28">
        <f t="shared" si="1"/>
        <v>0</v>
      </c>
    </row>
    <row r="13" spans="1:10" ht="45" customHeight="1">
      <c r="A13" s="25">
        <v>9</v>
      </c>
      <c r="B13" s="81" t="s">
        <v>182</v>
      </c>
      <c r="C13" s="81"/>
      <c r="D13" s="81"/>
      <c r="E13" s="27"/>
      <c r="F13" s="27"/>
      <c r="G13" s="27"/>
      <c r="H13" s="27">
        <v>2</v>
      </c>
      <c r="I13" s="30">
        <f t="shared" si="0"/>
        <v>0.27027027027027029</v>
      </c>
      <c r="J13" s="28">
        <f t="shared" si="1"/>
        <v>0</v>
      </c>
    </row>
    <row r="14" spans="1:10" ht="31.5" customHeight="1">
      <c r="A14" s="25">
        <v>10</v>
      </c>
      <c r="B14" s="81" t="s">
        <v>183</v>
      </c>
      <c r="C14" s="81"/>
      <c r="D14" s="81"/>
      <c r="E14" s="27"/>
      <c r="F14" s="27"/>
      <c r="G14" s="27"/>
      <c r="H14" s="27">
        <v>2</v>
      </c>
      <c r="I14" s="30">
        <f t="shared" si="0"/>
        <v>0.27027027027027029</v>
      </c>
      <c r="J14" s="28">
        <f t="shared" si="1"/>
        <v>0</v>
      </c>
    </row>
    <row r="15" spans="1:10" ht="43.5" customHeight="1">
      <c r="A15" s="25">
        <v>11</v>
      </c>
      <c r="B15" s="81" t="s">
        <v>184</v>
      </c>
      <c r="C15" s="81"/>
      <c r="D15" s="81"/>
      <c r="E15" s="27"/>
      <c r="F15" s="27"/>
      <c r="G15" s="27"/>
      <c r="H15" s="27">
        <v>2</v>
      </c>
      <c r="I15" s="30">
        <f t="shared" si="0"/>
        <v>0.27027027027027029</v>
      </c>
      <c r="J15" s="28">
        <f t="shared" si="1"/>
        <v>0</v>
      </c>
    </row>
    <row r="16" spans="1:10" ht="31.5" customHeight="1">
      <c r="A16" s="25">
        <v>12</v>
      </c>
      <c r="B16" s="81" t="s">
        <v>185</v>
      </c>
      <c r="C16" s="81"/>
      <c r="D16" s="81"/>
      <c r="E16" s="27"/>
      <c r="F16" s="27"/>
      <c r="G16" s="27"/>
      <c r="H16" s="27">
        <v>6</v>
      </c>
      <c r="I16" s="30">
        <f t="shared" si="0"/>
        <v>0.81081081081081086</v>
      </c>
      <c r="J16" s="28">
        <f t="shared" si="1"/>
        <v>0</v>
      </c>
    </row>
    <row r="17" spans="1:10" ht="47.25" customHeight="1">
      <c r="A17" s="25">
        <v>13</v>
      </c>
      <c r="B17" s="81" t="s">
        <v>186</v>
      </c>
      <c r="C17" s="81"/>
      <c r="D17" s="81"/>
      <c r="E17" s="27"/>
      <c r="F17" s="27"/>
      <c r="G17" s="27"/>
      <c r="H17" s="27">
        <v>6</v>
      </c>
      <c r="I17" s="30">
        <f t="shared" si="0"/>
        <v>0.81081081081081086</v>
      </c>
      <c r="J17" s="28">
        <f t="shared" si="1"/>
        <v>0</v>
      </c>
    </row>
    <row r="18" spans="1:10" ht="31.5" customHeight="1">
      <c r="A18" s="25">
        <v>14</v>
      </c>
      <c r="B18" s="81" t="s">
        <v>187</v>
      </c>
      <c r="C18" s="81"/>
      <c r="D18" s="81"/>
      <c r="E18" s="27"/>
      <c r="F18" s="27"/>
      <c r="G18" s="27"/>
      <c r="H18" s="27">
        <v>2</v>
      </c>
      <c r="I18" s="30">
        <f t="shared" si="0"/>
        <v>0.27027027027027029</v>
      </c>
      <c r="J18" s="28">
        <f t="shared" si="1"/>
        <v>0</v>
      </c>
    </row>
    <row r="19" spans="1:10" ht="47.25" customHeight="1">
      <c r="A19" s="25">
        <v>15</v>
      </c>
      <c r="B19" s="81" t="s">
        <v>188</v>
      </c>
      <c r="C19" s="81"/>
      <c r="D19" s="81"/>
      <c r="E19" s="27"/>
      <c r="F19" s="27"/>
      <c r="G19" s="27"/>
      <c r="H19" s="27">
        <v>2</v>
      </c>
      <c r="I19" s="30">
        <f t="shared" si="0"/>
        <v>0.27027027027027029</v>
      </c>
      <c r="J19" s="28">
        <f t="shared" si="1"/>
        <v>0</v>
      </c>
    </row>
    <row r="20" spans="1:10" ht="15" customHeight="1">
      <c r="A20" s="96" t="s">
        <v>37</v>
      </c>
      <c r="B20" s="96"/>
      <c r="C20" s="96"/>
      <c r="D20" s="96"/>
      <c r="E20" s="96"/>
      <c r="F20" s="96"/>
      <c r="G20" s="96"/>
      <c r="H20" s="96"/>
      <c r="I20" s="41">
        <f>SUM(I5:I19)</f>
        <v>9.9999999999999982</v>
      </c>
      <c r="J20" s="29">
        <f>SUM(J5:J19)</f>
        <v>0</v>
      </c>
    </row>
  </sheetData>
  <mergeCells count="23">
    <mergeCell ref="A20:H20"/>
    <mergeCell ref="B10:D10"/>
    <mergeCell ref="B19:D19"/>
    <mergeCell ref="B8:D8"/>
    <mergeCell ref="B9:D9"/>
    <mergeCell ref="B17:D17"/>
    <mergeCell ref="B18:D18"/>
    <mergeCell ref="B15:D15"/>
    <mergeCell ref="B16:D16"/>
    <mergeCell ref="B4:D4"/>
    <mergeCell ref="B5:D5"/>
    <mergeCell ref="B6:D6"/>
    <mergeCell ref="B7:D7"/>
    <mergeCell ref="B14:D14"/>
    <mergeCell ref="B11:D11"/>
    <mergeCell ref="B12:D12"/>
    <mergeCell ref="B13:D13"/>
    <mergeCell ref="A1:B1"/>
    <mergeCell ref="A2:B2"/>
    <mergeCell ref="C1:J1"/>
    <mergeCell ref="C2:J2"/>
    <mergeCell ref="E3:J3"/>
    <mergeCell ref="A3:B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C017-F006-43EF-B94E-0C805DC894D4}">
  <dimension ref="A1:J14"/>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60">
      <c r="A3" s="77" t="s">
        <v>22</v>
      </c>
      <c r="B3" s="77"/>
      <c r="C3" s="26" t="s">
        <v>189</v>
      </c>
      <c r="D3" s="24" t="s">
        <v>287</v>
      </c>
      <c r="E3" s="81" t="s">
        <v>290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1.5" customHeight="1">
      <c r="A5" s="25">
        <v>1</v>
      </c>
      <c r="B5" s="81" t="s">
        <v>190</v>
      </c>
      <c r="C5" s="81"/>
      <c r="D5" s="81"/>
      <c r="E5" s="27"/>
      <c r="F5" s="27"/>
      <c r="G5" s="27"/>
      <c r="H5" s="27">
        <v>10</v>
      </c>
      <c r="I5" s="30">
        <f>(H5*10)/SUM($H$5:$H$13)</f>
        <v>1.4285714285714286</v>
      </c>
      <c r="J5" s="28">
        <f>IF(F5="X",((H5*10)/SUM($H$5:$H$13)),0)</f>
        <v>0</v>
      </c>
    </row>
    <row r="6" spans="1:10" ht="31.5" customHeight="1">
      <c r="A6" s="25">
        <v>2</v>
      </c>
      <c r="B6" s="81" t="s">
        <v>59</v>
      </c>
      <c r="C6" s="81"/>
      <c r="D6" s="81"/>
      <c r="E6" s="27"/>
      <c r="F6" s="27"/>
      <c r="G6" s="27"/>
      <c r="H6" s="27">
        <v>6</v>
      </c>
      <c r="I6" s="30">
        <f t="shared" ref="I6:I13" si="0">(H6*10)/SUM($H$5:$H$13)</f>
        <v>0.8571428571428571</v>
      </c>
      <c r="J6" s="28">
        <f t="shared" ref="J6:J13" si="1">IF(F6="X",((H6*10)/SUM($H$5:$H$13)),0)</f>
        <v>0</v>
      </c>
    </row>
    <row r="7" spans="1:10" ht="31.5" customHeight="1">
      <c r="A7" s="25">
        <v>3</v>
      </c>
      <c r="B7" s="81" t="s">
        <v>191</v>
      </c>
      <c r="C7" s="81"/>
      <c r="D7" s="81"/>
      <c r="E7" s="27"/>
      <c r="F7" s="27"/>
      <c r="G7" s="27"/>
      <c r="H7" s="27">
        <v>10</v>
      </c>
      <c r="I7" s="30">
        <f t="shared" si="0"/>
        <v>1.4285714285714286</v>
      </c>
      <c r="J7" s="28">
        <f t="shared" si="1"/>
        <v>0</v>
      </c>
    </row>
    <row r="8" spans="1:10" ht="31.5" customHeight="1">
      <c r="A8" s="25">
        <v>4</v>
      </c>
      <c r="B8" s="81" t="s">
        <v>41</v>
      </c>
      <c r="C8" s="81"/>
      <c r="D8" s="81"/>
      <c r="E8" s="27"/>
      <c r="F8" s="27"/>
      <c r="G8" s="27"/>
      <c r="H8" s="27">
        <v>10</v>
      </c>
      <c r="I8" s="30">
        <f t="shared" si="0"/>
        <v>1.4285714285714286</v>
      </c>
      <c r="J8" s="28">
        <f t="shared" si="1"/>
        <v>0</v>
      </c>
    </row>
    <row r="9" spans="1:10" ht="31.5" customHeight="1">
      <c r="A9" s="25">
        <v>5</v>
      </c>
      <c r="B9" s="81" t="s">
        <v>192</v>
      </c>
      <c r="C9" s="81"/>
      <c r="D9" s="81"/>
      <c r="E9" s="27"/>
      <c r="F9" s="27"/>
      <c r="G9" s="27"/>
      <c r="H9" s="27">
        <v>10</v>
      </c>
      <c r="I9" s="30">
        <f t="shared" si="0"/>
        <v>1.4285714285714286</v>
      </c>
      <c r="J9" s="28">
        <f t="shared" si="1"/>
        <v>0</v>
      </c>
    </row>
    <row r="10" spans="1:10" ht="45.75" customHeight="1">
      <c r="A10" s="25">
        <v>6</v>
      </c>
      <c r="B10" s="81" t="s">
        <v>193</v>
      </c>
      <c r="C10" s="81"/>
      <c r="D10" s="81"/>
      <c r="E10" s="27"/>
      <c r="F10" s="27"/>
      <c r="G10" s="27"/>
      <c r="H10" s="27">
        <v>10</v>
      </c>
      <c r="I10" s="30">
        <f t="shared" si="0"/>
        <v>1.4285714285714286</v>
      </c>
      <c r="J10" s="28">
        <f t="shared" si="1"/>
        <v>0</v>
      </c>
    </row>
    <row r="11" spans="1:10" ht="45" customHeight="1">
      <c r="A11" s="25">
        <v>7</v>
      </c>
      <c r="B11" s="81" t="s">
        <v>194</v>
      </c>
      <c r="C11" s="81"/>
      <c r="D11" s="81"/>
      <c r="E11" s="27"/>
      <c r="F11" s="27"/>
      <c r="G11" s="27"/>
      <c r="H11" s="27">
        <v>6</v>
      </c>
      <c r="I11" s="30">
        <f t="shared" si="0"/>
        <v>0.8571428571428571</v>
      </c>
      <c r="J11" s="28">
        <f t="shared" si="1"/>
        <v>0</v>
      </c>
    </row>
    <row r="12" spans="1:10" ht="43.5" customHeight="1">
      <c r="A12" s="25">
        <v>8</v>
      </c>
      <c r="B12" s="81" t="s">
        <v>195</v>
      </c>
      <c r="C12" s="81"/>
      <c r="D12" s="81"/>
      <c r="E12" s="27"/>
      <c r="F12" s="27"/>
      <c r="G12" s="27"/>
      <c r="H12" s="27">
        <v>6</v>
      </c>
      <c r="I12" s="30">
        <f t="shared" si="0"/>
        <v>0.8571428571428571</v>
      </c>
      <c r="J12" s="28">
        <f t="shared" si="1"/>
        <v>0</v>
      </c>
    </row>
    <row r="13" spans="1:10" ht="31.5" customHeight="1">
      <c r="A13" s="25">
        <v>9</v>
      </c>
      <c r="B13" s="81" t="s">
        <v>179</v>
      </c>
      <c r="C13" s="81"/>
      <c r="D13" s="81"/>
      <c r="E13" s="27"/>
      <c r="F13" s="27"/>
      <c r="G13" s="27"/>
      <c r="H13" s="27">
        <v>2</v>
      </c>
      <c r="I13" s="30">
        <f t="shared" si="0"/>
        <v>0.2857142857142857</v>
      </c>
      <c r="J13" s="28">
        <f t="shared" si="1"/>
        <v>0</v>
      </c>
    </row>
    <row r="14" spans="1:10" ht="15" customHeight="1">
      <c r="A14" s="96" t="s">
        <v>37</v>
      </c>
      <c r="B14" s="96"/>
      <c r="C14" s="96"/>
      <c r="D14" s="96"/>
      <c r="E14" s="96"/>
      <c r="F14" s="96"/>
      <c r="G14" s="96"/>
      <c r="H14" s="96"/>
      <c r="I14" s="41">
        <f>SUM(I5:I13)</f>
        <v>10.000000000000002</v>
      </c>
      <c r="J14" s="29">
        <f>SUM(J5:J13)</f>
        <v>0</v>
      </c>
    </row>
  </sheetData>
  <mergeCells count="17">
    <mergeCell ref="B13:D13"/>
    <mergeCell ref="B12:D12"/>
    <mergeCell ref="A14:H14"/>
    <mergeCell ref="B11:D11"/>
    <mergeCell ref="B10:D10"/>
    <mergeCell ref="B9:D9"/>
    <mergeCell ref="E3:J3"/>
    <mergeCell ref="A3:B3"/>
    <mergeCell ref="B4:D4"/>
    <mergeCell ref="B5:D5"/>
    <mergeCell ref="B6:D6"/>
    <mergeCell ref="B7:D7"/>
    <mergeCell ref="A1:B1"/>
    <mergeCell ref="A2:B2"/>
    <mergeCell ref="C1:J1"/>
    <mergeCell ref="C2:J2"/>
    <mergeCell ref="B8:D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C0E21-03FD-4740-826A-EEB1852D4049}">
  <dimension ref="A1:J18"/>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90">
      <c r="A3" s="77" t="s">
        <v>22</v>
      </c>
      <c r="B3" s="77"/>
      <c r="C3" s="26" t="s">
        <v>189</v>
      </c>
      <c r="D3" s="24" t="s">
        <v>288</v>
      </c>
      <c r="E3" s="81" t="s">
        <v>291</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7.25" customHeight="1">
      <c r="A5" s="25">
        <v>1</v>
      </c>
      <c r="B5" s="81" t="s">
        <v>196</v>
      </c>
      <c r="C5" s="81"/>
      <c r="D5" s="81"/>
      <c r="E5" s="27"/>
      <c r="F5" s="27"/>
      <c r="G5" s="27"/>
      <c r="H5" s="27">
        <v>10</v>
      </c>
      <c r="I5" s="30">
        <f>(H5*10)/SUM($H$5:$H$17)</f>
        <v>1.0204081632653061</v>
      </c>
      <c r="J5" s="28">
        <f>IF(F5="X",((H5*10)/SUM($H$5:$H$17)),0)</f>
        <v>0</v>
      </c>
    </row>
    <row r="6" spans="1:10" ht="31.5" customHeight="1">
      <c r="A6" s="25">
        <v>2</v>
      </c>
      <c r="B6" s="81" t="s">
        <v>197</v>
      </c>
      <c r="C6" s="81"/>
      <c r="D6" s="81"/>
      <c r="E6" s="27"/>
      <c r="F6" s="27"/>
      <c r="G6" s="27"/>
      <c r="H6" s="27">
        <v>6</v>
      </c>
      <c r="I6" s="30">
        <f t="shared" ref="I6:I17" si="0">(H6*10)/SUM($H$5:$H$17)</f>
        <v>0.61224489795918369</v>
      </c>
      <c r="J6" s="28">
        <f t="shared" ref="J6:J17" si="1">IF(F6="X",((H6*10)/SUM($H$5:$H$17)),0)</f>
        <v>0</v>
      </c>
    </row>
    <row r="7" spans="1:10" ht="47.25" customHeight="1">
      <c r="A7" s="25">
        <v>3</v>
      </c>
      <c r="B7" s="81" t="s">
        <v>198</v>
      </c>
      <c r="C7" s="81"/>
      <c r="D7" s="81"/>
      <c r="E7" s="27"/>
      <c r="F7" s="27"/>
      <c r="G7" s="27"/>
      <c r="H7" s="27">
        <v>10</v>
      </c>
      <c r="I7" s="30">
        <f t="shared" si="0"/>
        <v>1.0204081632653061</v>
      </c>
      <c r="J7" s="28">
        <f t="shared" si="1"/>
        <v>0</v>
      </c>
    </row>
    <row r="8" spans="1:10" ht="31.5" customHeight="1">
      <c r="A8" s="25">
        <v>4</v>
      </c>
      <c r="B8" s="81" t="s">
        <v>199</v>
      </c>
      <c r="C8" s="81"/>
      <c r="D8" s="81"/>
      <c r="E8" s="27"/>
      <c r="F8" s="27"/>
      <c r="G8" s="27"/>
      <c r="H8" s="27">
        <v>10</v>
      </c>
      <c r="I8" s="30">
        <f t="shared" si="0"/>
        <v>1.0204081632653061</v>
      </c>
      <c r="J8" s="28">
        <f t="shared" si="1"/>
        <v>0</v>
      </c>
    </row>
    <row r="9" spans="1:10" ht="47.25" customHeight="1">
      <c r="A9" s="25">
        <v>5</v>
      </c>
      <c r="B9" s="81" t="s">
        <v>200</v>
      </c>
      <c r="C9" s="81"/>
      <c r="D9" s="81"/>
      <c r="E9" s="27"/>
      <c r="F9" s="27"/>
      <c r="G9" s="27"/>
      <c r="H9" s="27">
        <v>10</v>
      </c>
      <c r="I9" s="30">
        <f t="shared" si="0"/>
        <v>1.0204081632653061</v>
      </c>
      <c r="J9" s="28">
        <f t="shared" si="1"/>
        <v>0</v>
      </c>
    </row>
    <row r="10" spans="1:10" ht="60" customHeight="1">
      <c r="A10" s="25">
        <v>6</v>
      </c>
      <c r="B10" s="81" t="s">
        <v>201</v>
      </c>
      <c r="C10" s="81"/>
      <c r="D10" s="81"/>
      <c r="E10" s="27"/>
      <c r="F10" s="27"/>
      <c r="G10" s="27"/>
      <c r="H10" s="27">
        <v>10</v>
      </c>
      <c r="I10" s="30">
        <f t="shared" si="0"/>
        <v>1.0204081632653061</v>
      </c>
      <c r="J10" s="28">
        <f t="shared" si="1"/>
        <v>0</v>
      </c>
    </row>
    <row r="11" spans="1:10" ht="59.25" customHeight="1">
      <c r="A11" s="25">
        <v>7</v>
      </c>
      <c r="B11" s="81" t="s">
        <v>202</v>
      </c>
      <c r="C11" s="81"/>
      <c r="D11" s="81"/>
      <c r="E11" s="27"/>
      <c r="F11" s="27"/>
      <c r="G11" s="27"/>
      <c r="H11" s="27">
        <v>10</v>
      </c>
      <c r="I11" s="30">
        <f t="shared" si="0"/>
        <v>1.0204081632653061</v>
      </c>
      <c r="J11" s="28">
        <f t="shared" si="1"/>
        <v>0</v>
      </c>
    </row>
    <row r="12" spans="1:10" ht="47.25" customHeight="1">
      <c r="A12" s="25">
        <v>8</v>
      </c>
      <c r="B12" s="81" t="s">
        <v>203</v>
      </c>
      <c r="C12" s="81"/>
      <c r="D12" s="81"/>
      <c r="E12" s="27"/>
      <c r="F12" s="27"/>
      <c r="G12" s="27"/>
      <c r="H12" s="27">
        <v>2</v>
      </c>
      <c r="I12" s="30">
        <f t="shared" si="0"/>
        <v>0.20408163265306123</v>
      </c>
      <c r="J12" s="28">
        <f t="shared" si="1"/>
        <v>0</v>
      </c>
    </row>
    <row r="13" spans="1:10" ht="31.5" customHeight="1">
      <c r="A13" s="25">
        <v>9</v>
      </c>
      <c r="B13" s="81" t="s">
        <v>204</v>
      </c>
      <c r="C13" s="81"/>
      <c r="D13" s="81"/>
      <c r="E13" s="27"/>
      <c r="F13" s="27"/>
      <c r="G13" s="27"/>
      <c r="H13" s="27">
        <v>6</v>
      </c>
      <c r="I13" s="30">
        <f t="shared" si="0"/>
        <v>0.61224489795918369</v>
      </c>
      <c r="J13" s="28">
        <f t="shared" si="1"/>
        <v>0</v>
      </c>
    </row>
    <row r="14" spans="1:10" ht="60" customHeight="1">
      <c r="A14" s="25">
        <v>10</v>
      </c>
      <c r="B14" s="81" t="s">
        <v>205</v>
      </c>
      <c r="C14" s="81"/>
      <c r="D14" s="81"/>
      <c r="E14" s="27"/>
      <c r="F14" s="27"/>
      <c r="G14" s="27"/>
      <c r="H14" s="27">
        <v>10</v>
      </c>
      <c r="I14" s="30">
        <f t="shared" si="0"/>
        <v>1.0204081632653061</v>
      </c>
      <c r="J14" s="28">
        <f t="shared" si="1"/>
        <v>0</v>
      </c>
    </row>
    <row r="15" spans="1:10" ht="31.5" customHeight="1">
      <c r="A15" s="25">
        <v>11</v>
      </c>
      <c r="B15" s="81" t="s">
        <v>206</v>
      </c>
      <c r="C15" s="81"/>
      <c r="D15" s="81"/>
      <c r="E15" s="27"/>
      <c r="F15" s="27"/>
      <c r="G15" s="27"/>
      <c r="H15" s="27">
        <v>6</v>
      </c>
      <c r="I15" s="30">
        <f t="shared" si="0"/>
        <v>0.61224489795918369</v>
      </c>
      <c r="J15" s="28">
        <f t="shared" si="1"/>
        <v>0</v>
      </c>
    </row>
    <row r="16" spans="1:10" ht="31.5" customHeight="1">
      <c r="A16" s="25">
        <v>12</v>
      </c>
      <c r="B16" s="81" t="s">
        <v>207</v>
      </c>
      <c r="C16" s="81"/>
      <c r="D16" s="81"/>
      <c r="E16" s="27"/>
      <c r="F16" s="27"/>
      <c r="G16" s="27"/>
      <c r="H16" s="27">
        <v>2</v>
      </c>
      <c r="I16" s="30">
        <f t="shared" si="0"/>
        <v>0.20408163265306123</v>
      </c>
      <c r="J16" s="28">
        <f t="shared" si="1"/>
        <v>0</v>
      </c>
    </row>
    <row r="17" spans="1:10" ht="47.25" customHeight="1">
      <c r="A17" s="25">
        <v>13</v>
      </c>
      <c r="B17" s="81" t="s">
        <v>208</v>
      </c>
      <c r="C17" s="81"/>
      <c r="D17" s="81"/>
      <c r="E17" s="27"/>
      <c r="F17" s="27"/>
      <c r="G17" s="27"/>
      <c r="H17" s="27">
        <v>6</v>
      </c>
      <c r="I17" s="30">
        <f t="shared" si="0"/>
        <v>0.61224489795918369</v>
      </c>
      <c r="J17" s="28">
        <f t="shared" si="1"/>
        <v>0</v>
      </c>
    </row>
    <row r="18" spans="1:10" ht="15" customHeight="1">
      <c r="A18" s="96" t="s">
        <v>37</v>
      </c>
      <c r="B18" s="96"/>
      <c r="C18" s="96"/>
      <c r="D18" s="96"/>
      <c r="E18" s="96"/>
      <c r="F18" s="96"/>
      <c r="G18" s="96"/>
      <c r="H18" s="96"/>
      <c r="I18" s="41">
        <f>SUM(I5:I17)</f>
        <v>9.9999999999999982</v>
      </c>
      <c r="J18" s="29">
        <f>SUM(J5:J17)</f>
        <v>0</v>
      </c>
    </row>
  </sheetData>
  <mergeCells count="21">
    <mergeCell ref="B4:D4"/>
    <mergeCell ref="B5:D5"/>
    <mergeCell ref="B6:D6"/>
    <mergeCell ref="B7:D7"/>
    <mergeCell ref="A18:H18"/>
    <mergeCell ref="B10:D10"/>
    <mergeCell ref="B8:D8"/>
    <mergeCell ref="B9:D9"/>
    <mergeCell ref="B17:D17"/>
    <mergeCell ref="B11:D11"/>
    <mergeCell ref="B12:D12"/>
    <mergeCell ref="B13:D13"/>
    <mergeCell ref="B14:D14"/>
    <mergeCell ref="B15:D15"/>
    <mergeCell ref="B16:D16"/>
    <mergeCell ref="A1:B1"/>
    <mergeCell ref="A2:B2"/>
    <mergeCell ref="C1:J1"/>
    <mergeCell ref="C2:J2"/>
    <mergeCell ref="E3:J3"/>
    <mergeCell ref="A3:B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823C-6563-4E4A-9676-CAFE4DDB995C}">
  <dimension ref="A1:J13"/>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75">
      <c r="A3" s="77" t="s">
        <v>22</v>
      </c>
      <c r="B3" s="77"/>
      <c r="C3" s="26" t="s">
        <v>189</v>
      </c>
      <c r="D3" s="24" t="s">
        <v>289</v>
      </c>
      <c r="E3" s="81" t="s">
        <v>292</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45.75" customHeight="1">
      <c r="A5" s="25">
        <v>1</v>
      </c>
      <c r="B5" s="81" t="s">
        <v>209</v>
      </c>
      <c r="C5" s="81"/>
      <c r="D5" s="81"/>
      <c r="E5" s="27"/>
      <c r="F5" s="27"/>
      <c r="G5" s="27"/>
      <c r="H5" s="27">
        <v>6</v>
      </c>
      <c r="I5" s="30">
        <f>(H5*10)/SUM($H$5:$H$12)</f>
        <v>1.3636363636363635</v>
      </c>
      <c r="J5" s="28">
        <f>IF(F5="X",((H5*10)/SUM($H$5:$H$12)),0)</f>
        <v>0</v>
      </c>
    </row>
    <row r="6" spans="1:10" ht="31.5" customHeight="1">
      <c r="A6" s="25">
        <v>2</v>
      </c>
      <c r="B6" s="81" t="s">
        <v>210</v>
      </c>
      <c r="C6" s="81"/>
      <c r="D6" s="81"/>
      <c r="E6" s="27"/>
      <c r="F6" s="27"/>
      <c r="G6" s="27"/>
      <c r="H6" s="27">
        <v>10</v>
      </c>
      <c r="I6" s="30">
        <f t="shared" ref="I6:I12" si="0">(H6*10)/SUM($H$5:$H$12)</f>
        <v>2.2727272727272729</v>
      </c>
      <c r="J6" s="28">
        <f t="shared" ref="J6:J12" si="1">IF(F6="X",((H6*10)/SUM($H$5:$H$12)),0)</f>
        <v>0</v>
      </c>
    </row>
    <row r="7" spans="1:10" ht="31.5" customHeight="1">
      <c r="A7" s="25">
        <v>3</v>
      </c>
      <c r="B7" s="81" t="s">
        <v>211</v>
      </c>
      <c r="C7" s="81"/>
      <c r="D7" s="81"/>
      <c r="E7" s="27"/>
      <c r="F7" s="27"/>
      <c r="G7" s="27"/>
      <c r="H7" s="27">
        <v>6</v>
      </c>
      <c r="I7" s="30">
        <f t="shared" si="0"/>
        <v>1.3636363636363635</v>
      </c>
      <c r="J7" s="28">
        <f t="shared" si="1"/>
        <v>0</v>
      </c>
    </row>
    <row r="8" spans="1:10" ht="31.5" customHeight="1">
      <c r="A8" s="25">
        <v>4</v>
      </c>
      <c r="B8" s="81" t="s">
        <v>212</v>
      </c>
      <c r="C8" s="81"/>
      <c r="D8" s="81"/>
      <c r="E8" s="27"/>
      <c r="F8" s="27"/>
      <c r="G8" s="27"/>
      <c r="H8" s="27">
        <v>6</v>
      </c>
      <c r="I8" s="30">
        <f t="shared" si="0"/>
        <v>1.3636363636363635</v>
      </c>
      <c r="J8" s="28">
        <f t="shared" si="1"/>
        <v>0</v>
      </c>
    </row>
    <row r="9" spans="1:10" ht="31.5" customHeight="1">
      <c r="A9" s="25">
        <v>5</v>
      </c>
      <c r="B9" s="81" t="s">
        <v>213</v>
      </c>
      <c r="C9" s="81"/>
      <c r="D9" s="81"/>
      <c r="E9" s="27"/>
      <c r="F9" s="27"/>
      <c r="G9" s="27"/>
      <c r="H9" s="27">
        <v>6</v>
      </c>
      <c r="I9" s="30">
        <f t="shared" si="0"/>
        <v>1.3636363636363635</v>
      </c>
      <c r="J9" s="28">
        <f t="shared" si="1"/>
        <v>0</v>
      </c>
    </row>
    <row r="10" spans="1:10" ht="47.25" customHeight="1">
      <c r="A10" s="25">
        <v>6</v>
      </c>
      <c r="B10" s="81" t="s">
        <v>214</v>
      </c>
      <c r="C10" s="81"/>
      <c r="D10" s="81"/>
      <c r="E10" s="27"/>
      <c r="F10" s="27"/>
      <c r="G10" s="27"/>
      <c r="H10" s="27">
        <v>2</v>
      </c>
      <c r="I10" s="30">
        <f t="shared" si="0"/>
        <v>0.45454545454545453</v>
      </c>
      <c r="J10" s="28">
        <f t="shared" si="1"/>
        <v>0</v>
      </c>
    </row>
    <row r="11" spans="1:10" ht="31.5" customHeight="1">
      <c r="A11" s="25">
        <v>7</v>
      </c>
      <c r="B11" s="81" t="s">
        <v>215</v>
      </c>
      <c r="C11" s="81"/>
      <c r="D11" s="81"/>
      <c r="E11" s="27"/>
      <c r="F11" s="27"/>
      <c r="G11" s="27"/>
      <c r="H11" s="27">
        <v>2</v>
      </c>
      <c r="I11" s="30">
        <f t="shared" si="0"/>
        <v>0.45454545454545453</v>
      </c>
      <c r="J11" s="28">
        <f t="shared" si="1"/>
        <v>0</v>
      </c>
    </row>
    <row r="12" spans="1:10" ht="44.25" customHeight="1">
      <c r="A12" s="25">
        <v>8</v>
      </c>
      <c r="B12" s="81" t="s">
        <v>216</v>
      </c>
      <c r="C12" s="81"/>
      <c r="D12" s="81"/>
      <c r="E12" s="27"/>
      <c r="F12" s="27"/>
      <c r="G12" s="27"/>
      <c r="H12" s="27">
        <v>6</v>
      </c>
      <c r="I12" s="30">
        <f t="shared" si="0"/>
        <v>1.3636363636363635</v>
      </c>
      <c r="J12" s="28">
        <f t="shared" si="1"/>
        <v>0</v>
      </c>
    </row>
    <row r="13" spans="1:10" ht="15" customHeight="1">
      <c r="A13" s="96" t="s">
        <v>37</v>
      </c>
      <c r="B13" s="96"/>
      <c r="C13" s="96"/>
      <c r="D13" s="96"/>
      <c r="E13" s="96"/>
      <c r="F13" s="96"/>
      <c r="G13" s="96"/>
      <c r="H13" s="96"/>
      <c r="I13" s="29">
        <f>SUM(I5:I12)</f>
        <v>10</v>
      </c>
      <c r="J13" s="29">
        <f>SUM(J5:J12)</f>
        <v>0</v>
      </c>
    </row>
  </sheetData>
  <mergeCells count="16">
    <mergeCell ref="A13:H13"/>
    <mergeCell ref="A3:B3"/>
    <mergeCell ref="B4:D4"/>
    <mergeCell ref="B11:D11"/>
    <mergeCell ref="B12:D12"/>
    <mergeCell ref="E3:J3"/>
    <mergeCell ref="B5:D5"/>
    <mergeCell ref="B6:D6"/>
    <mergeCell ref="B7:D7"/>
    <mergeCell ref="B8:D8"/>
    <mergeCell ref="B9:D9"/>
    <mergeCell ref="A1:B1"/>
    <mergeCell ref="A2:B2"/>
    <mergeCell ref="C1:J1"/>
    <mergeCell ref="C2:J2"/>
    <mergeCell ref="B10:D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584E0-5831-4190-B8C2-5CC7110FB7DB}">
  <dimension ref="A1:I13"/>
  <sheetViews>
    <sheetView workbookViewId="0">
      <selection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9" width="12" style="32" customWidth="1"/>
    <col min="10" max="16384" width="11.375" style="32"/>
  </cols>
  <sheetData>
    <row r="1" spans="1:9" ht="15">
      <c r="A1" s="77" t="s">
        <v>443</v>
      </c>
      <c r="B1" s="77"/>
      <c r="C1" s="78"/>
      <c r="D1" s="79"/>
      <c r="E1" s="79"/>
      <c r="F1" s="79"/>
      <c r="G1" s="79"/>
      <c r="H1" s="79"/>
      <c r="I1" s="80"/>
    </row>
    <row r="2" spans="1:9" ht="15">
      <c r="A2" s="77" t="s">
        <v>0</v>
      </c>
      <c r="B2" s="77"/>
      <c r="C2" s="78"/>
      <c r="D2" s="79"/>
      <c r="E2" s="79"/>
      <c r="F2" s="79"/>
      <c r="G2" s="79"/>
      <c r="H2" s="79"/>
      <c r="I2" s="80"/>
    </row>
    <row r="3" spans="1:9" ht="15">
      <c r="A3" s="77" t="s">
        <v>218</v>
      </c>
      <c r="B3" s="77"/>
      <c r="C3" s="24" t="s">
        <v>219</v>
      </c>
      <c r="D3" s="81">
        <v>330</v>
      </c>
      <c r="E3" s="81"/>
      <c r="F3" s="81"/>
      <c r="G3" s="81"/>
      <c r="H3" s="81"/>
      <c r="I3" s="81"/>
    </row>
    <row r="4" spans="1:9" ht="60">
      <c r="A4" s="25" t="s">
        <v>25</v>
      </c>
      <c r="B4" s="77" t="s">
        <v>26</v>
      </c>
      <c r="C4" s="77"/>
      <c r="D4" s="25" t="s">
        <v>27</v>
      </c>
      <c r="E4" s="25" t="s">
        <v>28</v>
      </c>
      <c r="F4" s="25" t="s">
        <v>284</v>
      </c>
      <c r="G4" s="25" t="s">
        <v>294</v>
      </c>
      <c r="H4" s="25" t="s">
        <v>295</v>
      </c>
      <c r="I4" s="25" t="s">
        <v>298</v>
      </c>
    </row>
    <row r="5" spans="1:9" ht="46.5" customHeight="1">
      <c r="A5" s="25">
        <v>1</v>
      </c>
      <c r="B5" s="81" t="s">
        <v>220</v>
      </c>
      <c r="C5" s="81"/>
      <c r="D5" s="27"/>
      <c r="E5" s="27"/>
      <c r="F5" s="27"/>
      <c r="G5" s="27">
        <v>10</v>
      </c>
      <c r="H5" s="30">
        <f>(G5*10)/SUM($G$5:$G$12)</f>
        <v>1.5625</v>
      </c>
      <c r="I5" s="30">
        <f t="shared" ref="I5:I12" si="0">IF(E5="X",((G5*10)/SUM($G$5:$G$12)),0)</f>
        <v>0</v>
      </c>
    </row>
    <row r="6" spans="1:9" ht="60" customHeight="1">
      <c r="A6" s="25">
        <v>2</v>
      </c>
      <c r="B6" s="81" t="s">
        <v>221</v>
      </c>
      <c r="C6" s="81"/>
      <c r="D6" s="27"/>
      <c r="E6" s="27"/>
      <c r="F6" s="27"/>
      <c r="G6" s="27">
        <v>6</v>
      </c>
      <c r="H6" s="30">
        <f t="shared" ref="H6:H12" si="1">(G6*10)/SUM($G$5:$G$12)</f>
        <v>0.9375</v>
      </c>
      <c r="I6" s="30">
        <f t="shared" si="0"/>
        <v>0</v>
      </c>
    </row>
    <row r="7" spans="1:9" ht="47.25" customHeight="1">
      <c r="A7" s="25">
        <v>3</v>
      </c>
      <c r="B7" s="81" t="s">
        <v>222</v>
      </c>
      <c r="C7" s="81"/>
      <c r="D7" s="27"/>
      <c r="E7" s="27"/>
      <c r="F7" s="27"/>
      <c r="G7" s="27">
        <v>10</v>
      </c>
      <c r="H7" s="30">
        <f t="shared" si="1"/>
        <v>1.5625</v>
      </c>
      <c r="I7" s="30">
        <f t="shared" si="0"/>
        <v>0</v>
      </c>
    </row>
    <row r="8" spans="1:9" ht="47.25" customHeight="1">
      <c r="A8" s="25">
        <v>4</v>
      </c>
      <c r="B8" s="81" t="s">
        <v>223</v>
      </c>
      <c r="C8" s="81"/>
      <c r="D8" s="27"/>
      <c r="E8" s="27"/>
      <c r="F8" s="27"/>
      <c r="G8" s="27">
        <v>2</v>
      </c>
      <c r="H8" s="30">
        <f t="shared" si="1"/>
        <v>0.3125</v>
      </c>
      <c r="I8" s="30">
        <f t="shared" si="0"/>
        <v>0</v>
      </c>
    </row>
    <row r="9" spans="1:9" ht="75.75" customHeight="1">
      <c r="A9" s="25">
        <v>5</v>
      </c>
      <c r="B9" s="81" t="s">
        <v>224</v>
      </c>
      <c r="C9" s="81"/>
      <c r="D9" s="27"/>
      <c r="E9" s="27"/>
      <c r="F9" s="27"/>
      <c r="G9" s="27">
        <v>10</v>
      </c>
      <c r="H9" s="30">
        <f t="shared" si="1"/>
        <v>1.5625</v>
      </c>
      <c r="I9" s="30">
        <f t="shared" si="0"/>
        <v>0</v>
      </c>
    </row>
    <row r="10" spans="1:9" ht="46.5" customHeight="1">
      <c r="A10" s="25">
        <v>6</v>
      </c>
      <c r="B10" s="81" t="s">
        <v>225</v>
      </c>
      <c r="C10" s="81"/>
      <c r="D10" s="27"/>
      <c r="E10" s="27"/>
      <c r="F10" s="27"/>
      <c r="G10" s="27">
        <v>6</v>
      </c>
      <c r="H10" s="30">
        <f t="shared" si="1"/>
        <v>0.9375</v>
      </c>
      <c r="I10" s="30">
        <f t="shared" si="0"/>
        <v>0</v>
      </c>
    </row>
    <row r="11" spans="1:9" ht="50.25" customHeight="1">
      <c r="A11" s="25">
        <v>7</v>
      </c>
      <c r="B11" s="81" t="s">
        <v>226</v>
      </c>
      <c r="C11" s="81"/>
      <c r="D11" s="45"/>
      <c r="E11" s="45"/>
      <c r="F11" s="27"/>
      <c r="G11" s="27">
        <v>10</v>
      </c>
      <c r="H11" s="30">
        <f t="shared" si="1"/>
        <v>1.5625</v>
      </c>
      <c r="I11" s="30">
        <f t="shared" si="0"/>
        <v>0</v>
      </c>
    </row>
    <row r="12" spans="1:9" ht="61.5" customHeight="1">
      <c r="A12" s="25">
        <v>8</v>
      </c>
      <c r="B12" s="81" t="s">
        <v>227</v>
      </c>
      <c r="C12" s="81"/>
      <c r="D12" s="27"/>
      <c r="E12" s="27"/>
      <c r="F12" s="27"/>
      <c r="G12" s="27">
        <v>10</v>
      </c>
      <c r="H12" s="30">
        <f t="shared" si="1"/>
        <v>1.5625</v>
      </c>
      <c r="I12" s="30">
        <f t="shared" si="0"/>
        <v>0</v>
      </c>
    </row>
    <row r="13" spans="1:9" ht="15.75" customHeight="1">
      <c r="A13" s="82" t="s">
        <v>37</v>
      </c>
      <c r="B13" s="83"/>
      <c r="C13" s="83"/>
      <c r="D13" s="83"/>
      <c r="E13" s="83"/>
      <c r="F13" s="83"/>
      <c r="G13" s="83"/>
      <c r="H13" s="42">
        <f>SUM(H5:H12)</f>
        <v>10</v>
      </c>
      <c r="I13" s="31">
        <f>SUM(I5:I12)</f>
        <v>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B77B-3C21-490B-B93E-74DB22BF3BA7}">
  <dimension ref="A1:I13"/>
  <sheetViews>
    <sheetView workbookViewId="0">
      <selection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97"/>
      <c r="D1" s="79"/>
      <c r="E1" s="79"/>
      <c r="F1" s="79"/>
      <c r="G1" s="79"/>
      <c r="H1" s="79"/>
      <c r="I1" s="80"/>
    </row>
    <row r="2" spans="1:9" ht="15">
      <c r="A2" s="77" t="s">
        <v>0</v>
      </c>
      <c r="B2" s="77"/>
      <c r="C2" s="98"/>
      <c r="D2" s="79"/>
      <c r="E2" s="79"/>
      <c r="F2" s="79"/>
      <c r="G2" s="79"/>
      <c r="H2" s="79"/>
      <c r="I2" s="80"/>
    </row>
    <row r="3" spans="1:9" ht="15">
      <c r="A3" s="77" t="s">
        <v>218</v>
      </c>
      <c r="B3" s="77"/>
      <c r="C3" s="24" t="s">
        <v>228</v>
      </c>
      <c r="D3" s="81">
        <v>340</v>
      </c>
      <c r="E3" s="81"/>
      <c r="F3" s="81"/>
      <c r="G3" s="81"/>
      <c r="H3" s="81"/>
      <c r="I3" s="81"/>
    </row>
    <row r="4" spans="1:9" ht="60">
      <c r="A4" s="25" t="s">
        <v>25</v>
      </c>
      <c r="B4" s="77" t="s">
        <v>26</v>
      </c>
      <c r="C4" s="77"/>
      <c r="D4" s="25" t="s">
        <v>27</v>
      </c>
      <c r="E4" s="25" t="s">
        <v>28</v>
      </c>
      <c r="F4" s="25" t="s">
        <v>284</v>
      </c>
      <c r="G4" s="25" t="s">
        <v>294</v>
      </c>
      <c r="H4" s="25" t="s">
        <v>295</v>
      </c>
      <c r="I4" s="25" t="s">
        <v>298</v>
      </c>
    </row>
    <row r="5" spans="1:9" ht="57.75" customHeight="1">
      <c r="A5" s="25">
        <v>1</v>
      </c>
      <c r="B5" s="81" t="s">
        <v>229</v>
      </c>
      <c r="C5" s="81"/>
      <c r="D5" s="27"/>
      <c r="E5" s="27"/>
      <c r="F5" s="27"/>
      <c r="G5" s="27">
        <v>6</v>
      </c>
      <c r="H5" s="30">
        <f>(G5*10)/SUM($G$5:$G$12)</f>
        <v>1</v>
      </c>
      <c r="I5" s="28">
        <f>IF(E5="X",((G5*10)/SUM($G$5:$G$12)),0)</f>
        <v>0</v>
      </c>
    </row>
    <row r="6" spans="1:9" ht="47.25" customHeight="1">
      <c r="A6" s="25">
        <v>2</v>
      </c>
      <c r="B6" s="81" t="s">
        <v>230</v>
      </c>
      <c r="C6" s="81"/>
      <c r="D6" s="27"/>
      <c r="E6" s="27"/>
      <c r="F6" s="27"/>
      <c r="G6" s="27">
        <v>6</v>
      </c>
      <c r="H6" s="30">
        <f t="shared" ref="H6:H12" si="0">(G6*10)/SUM($G$5:$G$12)</f>
        <v>1</v>
      </c>
      <c r="I6" s="28">
        <f t="shared" ref="I6:I12" si="1">IF(E6="X",((G6*10)/SUM($G$5:$G$12)),0)</f>
        <v>0</v>
      </c>
    </row>
    <row r="7" spans="1:9" ht="41.25" customHeight="1">
      <c r="A7" s="25">
        <v>3</v>
      </c>
      <c r="B7" s="81" t="s">
        <v>231</v>
      </c>
      <c r="C7" s="81"/>
      <c r="D7" s="27"/>
      <c r="E7" s="27"/>
      <c r="F7" s="27"/>
      <c r="G7" s="27">
        <v>2</v>
      </c>
      <c r="H7" s="30">
        <f t="shared" si="0"/>
        <v>0.33333333333333331</v>
      </c>
      <c r="I7" s="28">
        <f t="shared" si="1"/>
        <v>0</v>
      </c>
    </row>
    <row r="8" spans="1:9" ht="74.25" customHeight="1">
      <c r="A8" s="25">
        <v>4</v>
      </c>
      <c r="B8" s="81" t="s">
        <v>232</v>
      </c>
      <c r="C8" s="81"/>
      <c r="D8" s="27"/>
      <c r="E8" s="27"/>
      <c r="F8" s="27"/>
      <c r="G8" s="27">
        <v>6</v>
      </c>
      <c r="H8" s="30">
        <f t="shared" si="0"/>
        <v>1</v>
      </c>
      <c r="I8" s="28">
        <f t="shared" si="1"/>
        <v>0</v>
      </c>
    </row>
    <row r="9" spans="1:9" ht="45" customHeight="1">
      <c r="A9" s="25">
        <v>5</v>
      </c>
      <c r="B9" s="81" t="s">
        <v>233</v>
      </c>
      <c r="C9" s="81"/>
      <c r="D9" s="27"/>
      <c r="E9" s="27"/>
      <c r="F9" s="27"/>
      <c r="G9" s="27">
        <v>10</v>
      </c>
      <c r="H9" s="30">
        <f t="shared" si="0"/>
        <v>1.6666666666666667</v>
      </c>
      <c r="I9" s="28">
        <f t="shared" si="1"/>
        <v>0</v>
      </c>
    </row>
    <row r="10" spans="1:9" ht="47.25" customHeight="1">
      <c r="A10" s="25">
        <v>6</v>
      </c>
      <c r="B10" s="81" t="s">
        <v>234</v>
      </c>
      <c r="C10" s="81"/>
      <c r="D10" s="27"/>
      <c r="E10" s="27"/>
      <c r="F10" s="27"/>
      <c r="G10" s="27">
        <v>10</v>
      </c>
      <c r="H10" s="30">
        <f t="shared" si="0"/>
        <v>1.6666666666666667</v>
      </c>
      <c r="I10" s="28">
        <f t="shared" si="1"/>
        <v>0</v>
      </c>
    </row>
    <row r="11" spans="1:9" ht="60" customHeight="1">
      <c r="A11" s="25">
        <v>7</v>
      </c>
      <c r="B11" s="81" t="s">
        <v>235</v>
      </c>
      <c r="C11" s="81"/>
      <c r="D11" s="27"/>
      <c r="E11" s="27"/>
      <c r="F11" s="27"/>
      <c r="G11" s="27">
        <v>10</v>
      </c>
      <c r="H11" s="30">
        <f t="shared" si="0"/>
        <v>1.6666666666666667</v>
      </c>
      <c r="I11" s="28">
        <f t="shared" si="1"/>
        <v>0</v>
      </c>
    </row>
    <row r="12" spans="1:9" ht="63" customHeight="1">
      <c r="A12" s="25">
        <v>8</v>
      </c>
      <c r="B12" s="81" t="s">
        <v>236</v>
      </c>
      <c r="C12" s="81"/>
      <c r="D12" s="27"/>
      <c r="E12" s="27"/>
      <c r="F12" s="27"/>
      <c r="G12" s="27">
        <v>10</v>
      </c>
      <c r="H12" s="30">
        <f t="shared" si="0"/>
        <v>1.6666666666666667</v>
      </c>
      <c r="I12" s="28">
        <f t="shared" si="1"/>
        <v>0</v>
      </c>
    </row>
    <row r="13" spans="1:9" ht="15.75" customHeight="1">
      <c r="A13" s="96" t="s">
        <v>37</v>
      </c>
      <c r="B13" s="96"/>
      <c r="C13" s="96"/>
      <c r="D13" s="96"/>
      <c r="E13" s="96"/>
      <c r="F13" s="96"/>
      <c r="G13" s="96"/>
      <c r="H13" s="41">
        <f>SUM(H5:H12)</f>
        <v>10</v>
      </c>
      <c r="I13" s="31">
        <f>SUM(I5:I12)</f>
        <v>0</v>
      </c>
    </row>
  </sheetData>
  <mergeCells count="16">
    <mergeCell ref="A13:G13"/>
    <mergeCell ref="A3:B3"/>
    <mergeCell ref="B4:C4"/>
    <mergeCell ref="B11:C11"/>
    <mergeCell ref="B12:C12"/>
    <mergeCell ref="D3:I3"/>
    <mergeCell ref="B5:C5"/>
    <mergeCell ref="B6:C6"/>
    <mergeCell ref="B7:C7"/>
    <mergeCell ref="B8:C8"/>
    <mergeCell ref="B9:C9"/>
    <mergeCell ref="A1:B1"/>
    <mergeCell ref="A2:B2"/>
    <mergeCell ref="C1:I1"/>
    <mergeCell ref="C2:I2"/>
    <mergeCell ref="B10:C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930EF-64A6-46C1-8879-0AD8E767DCEF}">
  <sheetPr>
    <tabColor rgb="FFF2F2F2"/>
  </sheetPr>
  <dimension ref="A1:I19"/>
  <sheetViews>
    <sheetView workbookViewId="0">
      <pane xSplit="3" ySplit="4" topLeftCell="D5" activePane="bottomRight" state="frozen"/>
      <selection activeCell="A34" sqref="A34:A50"/>
      <selection pane="topRight" activeCell="A34" sqref="A34:A50"/>
      <selection pane="bottomLeft" activeCell="A34" sqref="A34:A50"/>
      <selection pane="bottomRight"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97"/>
      <c r="D1" s="79"/>
      <c r="E1" s="79"/>
      <c r="F1" s="79"/>
      <c r="G1" s="79"/>
      <c r="H1" s="79"/>
      <c r="I1" s="80"/>
    </row>
    <row r="2" spans="1:9" ht="15">
      <c r="A2" s="77" t="s">
        <v>0</v>
      </c>
      <c r="B2" s="77"/>
      <c r="C2" s="105"/>
      <c r="D2" s="79"/>
      <c r="E2" s="79"/>
      <c r="F2" s="79"/>
      <c r="G2" s="79"/>
      <c r="H2" s="79"/>
      <c r="I2" s="80"/>
    </row>
    <row r="3" spans="1:9" ht="30">
      <c r="A3" s="77" t="s">
        <v>237</v>
      </c>
      <c r="B3" s="77"/>
      <c r="C3" s="24" t="s">
        <v>238</v>
      </c>
      <c r="D3" s="81">
        <v>360</v>
      </c>
      <c r="E3" s="81"/>
      <c r="F3" s="81"/>
      <c r="G3" s="81"/>
      <c r="H3" s="81"/>
      <c r="I3" s="81"/>
    </row>
    <row r="4" spans="1:9" ht="60">
      <c r="A4" s="25" t="s">
        <v>25</v>
      </c>
      <c r="B4" s="77" t="s">
        <v>26</v>
      </c>
      <c r="C4" s="77"/>
      <c r="D4" s="25" t="s">
        <v>27</v>
      </c>
      <c r="E4" s="25" t="s">
        <v>28</v>
      </c>
      <c r="F4" s="25" t="s">
        <v>284</v>
      </c>
      <c r="G4" s="25" t="s">
        <v>294</v>
      </c>
      <c r="H4" s="25" t="s">
        <v>295</v>
      </c>
      <c r="I4" s="25" t="s">
        <v>298</v>
      </c>
    </row>
    <row r="5" spans="1:9" ht="48" customHeight="1">
      <c r="A5" s="25">
        <v>1</v>
      </c>
      <c r="B5" s="81" t="s">
        <v>239</v>
      </c>
      <c r="C5" s="81"/>
      <c r="D5" s="40"/>
      <c r="E5" s="52"/>
      <c r="F5" s="40"/>
      <c r="G5" s="39">
        <v>10</v>
      </c>
      <c r="H5" s="47">
        <f t="shared" ref="H5:H18" si="0">(G5*10)/SUM($G$5:$G$18)</f>
        <v>0.96153846153846156</v>
      </c>
      <c r="I5" s="28">
        <f>IF(E5="X",((G5*10)/SUM($G$5:$G$18)),0)</f>
        <v>0</v>
      </c>
    </row>
    <row r="6" spans="1:9" ht="71.25" customHeight="1">
      <c r="A6" s="25">
        <v>2</v>
      </c>
      <c r="B6" s="81" t="s">
        <v>240</v>
      </c>
      <c r="C6" s="81"/>
      <c r="D6" s="40"/>
      <c r="E6" s="52"/>
      <c r="F6" s="40"/>
      <c r="G6" s="39">
        <v>10</v>
      </c>
      <c r="H6" s="47">
        <f t="shared" si="0"/>
        <v>0.96153846153846156</v>
      </c>
      <c r="I6" s="28">
        <f t="shared" ref="I6:I18" si="1">IF(E6="X",((G6*10)/SUM($G$5:$G$18)),0)</f>
        <v>0</v>
      </c>
    </row>
    <row r="7" spans="1:9" ht="71.25" customHeight="1">
      <c r="A7" s="25">
        <v>3</v>
      </c>
      <c r="B7" s="81" t="s">
        <v>241</v>
      </c>
      <c r="C7" s="81"/>
      <c r="D7" s="40"/>
      <c r="E7" s="52"/>
      <c r="F7" s="40"/>
      <c r="G7" s="39">
        <v>10</v>
      </c>
      <c r="H7" s="47">
        <f t="shared" si="0"/>
        <v>0.96153846153846156</v>
      </c>
      <c r="I7" s="28">
        <f t="shared" si="1"/>
        <v>0</v>
      </c>
    </row>
    <row r="8" spans="1:9" ht="48.75" customHeight="1">
      <c r="A8" s="25">
        <v>4</v>
      </c>
      <c r="B8" s="81" t="s">
        <v>242</v>
      </c>
      <c r="C8" s="81"/>
      <c r="D8" s="40"/>
      <c r="E8" s="52"/>
      <c r="F8" s="40"/>
      <c r="G8" s="39">
        <v>10</v>
      </c>
      <c r="H8" s="47">
        <f t="shared" si="0"/>
        <v>0.96153846153846156</v>
      </c>
      <c r="I8" s="28">
        <f t="shared" si="1"/>
        <v>0</v>
      </c>
    </row>
    <row r="9" spans="1:9" ht="42.75" customHeight="1">
      <c r="A9" s="25">
        <v>5</v>
      </c>
      <c r="B9" s="81" t="s">
        <v>243</v>
      </c>
      <c r="C9" s="81"/>
      <c r="D9" s="52"/>
      <c r="E9" s="40"/>
      <c r="F9" s="40"/>
      <c r="G9" s="39">
        <v>10</v>
      </c>
      <c r="H9" s="47">
        <f t="shared" si="0"/>
        <v>0.96153846153846156</v>
      </c>
      <c r="I9" s="28">
        <f t="shared" si="1"/>
        <v>0</v>
      </c>
    </row>
    <row r="10" spans="1:9" ht="57" customHeight="1">
      <c r="A10" s="25">
        <v>6</v>
      </c>
      <c r="B10" s="81" t="s">
        <v>244</v>
      </c>
      <c r="C10" s="81"/>
      <c r="D10" s="40"/>
      <c r="E10" s="52"/>
      <c r="F10" s="40"/>
      <c r="G10" s="39">
        <v>6</v>
      </c>
      <c r="H10" s="47">
        <f t="shared" si="0"/>
        <v>0.57692307692307687</v>
      </c>
      <c r="I10" s="28">
        <f t="shared" si="1"/>
        <v>0</v>
      </c>
    </row>
    <row r="11" spans="1:9" ht="42.75" customHeight="1">
      <c r="A11" s="25">
        <v>7</v>
      </c>
      <c r="B11" s="81" t="s">
        <v>245</v>
      </c>
      <c r="C11" s="81"/>
      <c r="D11" s="40"/>
      <c r="E11" s="52"/>
      <c r="F11" s="40"/>
      <c r="G11" s="39">
        <v>6</v>
      </c>
      <c r="H11" s="47">
        <f t="shared" si="0"/>
        <v>0.57692307692307687</v>
      </c>
      <c r="I11" s="28">
        <f t="shared" si="1"/>
        <v>0</v>
      </c>
    </row>
    <row r="12" spans="1:9" ht="42.75" customHeight="1">
      <c r="A12" s="25">
        <v>8</v>
      </c>
      <c r="B12" s="81" t="s">
        <v>246</v>
      </c>
      <c r="C12" s="81"/>
      <c r="D12" s="40"/>
      <c r="E12" s="52"/>
      <c r="F12" s="40"/>
      <c r="G12" s="39">
        <v>2</v>
      </c>
      <c r="H12" s="47">
        <f t="shared" si="0"/>
        <v>0.19230769230769232</v>
      </c>
      <c r="I12" s="28">
        <f t="shared" si="1"/>
        <v>0</v>
      </c>
    </row>
    <row r="13" spans="1:9" ht="72" customHeight="1">
      <c r="A13" s="25">
        <v>9</v>
      </c>
      <c r="B13" s="106" t="s">
        <v>441</v>
      </c>
      <c r="C13" s="81"/>
      <c r="D13" s="40"/>
      <c r="E13" s="52"/>
      <c r="F13" s="40"/>
      <c r="G13" s="39">
        <v>6</v>
      </c>
      <c r="H13" s="47">
        <f t="shared" si="0"/>
        <v>0.57692307692307687</v>
      </c>
      <c r="I13" s="28">
        <f t="shared" si="1"/>
        <v>0</v>
      </c>
    </row>
    <row r="14" spans="1:9" ht="42.75" customHeight="1">
      <c r="A14" s="25">
        <v>10</v>
      </c>
      <c r="B14" s="81" t="s">
        <v>247</v>
      </c>
      <c r="C14" s="81"/>
      <c r="D14" s="40"/>
      <c r="E14" s="52"/>
      <c r="F14" s="40"/>
      <c r="G14" s="39">
        <v>6</v>
      </c>
      <c r="H14" s="47">
        <f t="shared" si="0"/>
        <v>0.57692307692307687</v>
      </c>
      <c r="I14" s="28">
        <f t="shared" si="1"/>
        <v>0</v>
      </c>
    </row>
    <row r="15" spans="1:9" ht="33" customHeight="1">
      <c r="A15" s="25">
        <v>11</v>
      </c>
      <c r="B15" s="81" t="s">
        <v>248</v>
      </c>
      <c r="C15" s="81"/>
      <c r="D15" s="40"/>
      <c r="E15" s="52"/>
      <c r="F15" s="40"/>
      <c r="G15" s="39">
        <v>6</v>
      </c>
      <c r="H15" s="47">
        <f t="shared" si="0"/>
        <v>0.57692307692307687</v>
      </c>
      <c r="I15" s="28">
        <f t="shared" si="1"/>
        <v>0</v>
      </c>
    </row>
    <row r="16" spans="1:9" ht="57" customHeight="1">
      <c r="A16" s="25">
        <v>12</v>
      </c>
      <c r="B16" s="81" t="s">
        <v>249</v>
      </c>
      <c r="C16" s="81"/>
      <c r="D16" s="40"/>
      <c r="E16" s="52"/>
      <c r="F16" s="40"/>
      <c r="G16" s="39">
        <v>10</v>
      </c>
      <c r="H16" s="47">
        <f t="shared" si="0"/>
        <v>0.96153846153846156</v>
      </c>
      <c r="I16" s="28">
        <f t="shared" si="1"/>
        <v>0</v>
      </c>
    </row>
    <row r="17" spans="1:9" ht="48.75" customHeight="1">
      <c r="A17" s="25">
        <v>13</v>
      </c>
      <c r="B17" s="81" t="s">
        <v>250</v>
      </c>
      <c r="C17" s="81"/>
      <c r="D17" s="52"/>
      <c r="E17" s="40"/>
      <c r="F17" s="40"/>
      <c r="G17" s="39">
        <v>6</v>
      </c>
      <c r="H17" s="47">
        <f t="shared" si="0"/>
        <v>0.57692307692307687</v>
      </c>
      <c r="I17" s="28">
        <f t="shared" si="1"/>
        <v>0</v>
      </c>
    </row>
    <row r="18" spans="1:9" ht="57" customHeight="1">
      <c r="A18" s="25">
        <v>14</v>
      </c>
      <c r="B18" s="81" t="s">
        <v>251</v>
      </c>
      <c r="C18" s="81"/>
      <c r="D18" s="52"/>
      <c r="E18" s="52"/>
      <c r="F18" s="40"/>
      <c r="G18" s="39">
        <v>6</v>
      </c>
      <c r="H18" s="47">
        <f t="shared" si="0"/>
        <v>0.57692307692307687</v>
      </c>
      <c r="I18" s="28">
        <f t="shared" si="1"/>
        <v>0</v>
      </c>
    </row>
    <row r="19" spans="1:9" ht="15">
      <c r="A19" s="77" t="s">
        <v>37</v>
      </c>
      <c r="B19" s="77"/>
      <c r="C19" s="77"/>
      <c r="D19" s="77"/>
      <c r="E19" s="77"/>
      <c r="F19" s="77"/>
      <c r="G19" s="77"/>
      <c r="H19" s="48">
        <f>SUM(H5:H18)</f>
        <v>9.9999999999999982</v>
      </c>
      <c r="I19" s="29">
        <f>SUM(I5:I18)</f>
        <v>0</v>
      </c>
    </row>
  </sheetData>
  <mergeCells count="22">
    <mergeCell ref="B18:C18"/>
    <mergeCell ref="A19:G19"/>
    <mergeCell ref="B11:C11"/>
    <mergeCell ref="B12:C12"/>
    <mergeCell ref="B13:C13"/>
    <mergeCell ref="B14:C14"/>
    <mergeCell ref="B15:C15"/>
    <mergeCell ref="B16:C16"/>
    <mergeCell ref="A1:B1"/>
    <mergeCell ref="A2:B2"/>
    <mergeCell ref="C2:I2"/>
    <mergeCell ref="C1:I1"/>
    <mergeCell ref="B17:C17"/>
    <mergeCell ref="B10:C10"/>
    <mergeCell ref="A3:B3"/>
    <mergeCell ref="D3:I3"/>
    <mergeCell ref="B4:C4"/>
    <mergeCell ref="B5:C5"/>
    <mergeCell ref="B6:C6"/>
    <mergeCell ref="B7:C7"/>
    <mergeCell ref="B8:C8"/>
    <mergeCell ref="B9:C9"/>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ADC0-AC0A-4C18-8BB0-CEDCBDE39370}">
  <dimension ref="A1:I12"/>
  <sheetViews>
    <sheetView workbookViewId="0">
      <selection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78"/>
      <c r="D1" s="84"/>
      <c r="E1" s="84"/>
      <c r="F1" s="84"/>
      <c r="G1" s="84"/>
      <c r="H1" s="84"/>
      <c r="I1" s="85"/>
    </row>
    <row r="2" spans="1:9" ht="15">
      <c r="A2" s="77" t="s">
        <v>0</v>
      </c>
      <c r="B2" s="77"/>
      <c r="C2" s="78"/>
      <c r="D2" s="84"/>
      <c r="E2" s="84"/>
      <c r="F2" s="84"/>
      <c r="G2" s="84"/>
      <c r="H2" s="84"/>
      <c r="I2" s="85"/>
    </row>
    <row r="3" spans="1:9" ht="15">
      <c r="A3" s="77" t="s">
        <v>252</v>
      </c>
      <c r="B3" s="77"/>
      <c r="C3" s="24" t="s">
        <v>253</v>
      </c>
      <c r="D3" s="81">
        <v>380</v>
      </c>
      <c r="E3" s="81"/>
      <c r="F3" s="81"/>
      <c r="G3" s="81"/>
      <c r="H3" s="81"/>
      <c r="I3" s="81"/>
    </row>
    <row r="4" spans="1:9" ht="60">
      <c r="A4" s="25" t="s">
        <v>25</v>
      </c>
      <c r="B4" s="77" t="s">
        <v>26</v>
      </c>
      <c r="C4" s="77"/>
      <c r="D4" s="25" t="s">
        <v>27</v>
      </c>
      <c r="E4" s="25" t="s">
        <v>28</v>
      </c>
      <c r="F4" s="25" t="s">
        <v>284</v>
      </c>
      <c r="G4" s="25" t="s">
        <v>294</v>
      </c>
      <c r="H4" s="25" t="s">
        <v>295</v>
      </c>
      <c r="I4" s="25" t="s">
        <v>298</v>
      </c>
    </row>
    <row r="5" spans="1:9" ht="63" customHeight="1">
      <c r="A5" s="25">
        <v>1</v>
      </c>
      <c r="B5" s="81" t="s">
        <v>293</v>
      </c>
      <c r="C5" s="81"/>
      <c r="D5" s="27"/>
      <c r="E5" s="27"/>
      <c r="F5" s="27"/>
      <c r="G5" s="27">
        <v>2</v>
      </c>
      <c r="H5" s="30">
        <f>(G5*10)/SUM($G$5:$G$11)</f>
        <v>0.52631578947368418</v>
      </c>
      <c r="I5" s="28">
        <f>IF(E5="X",((G5*10)/SUM($G$5:$G$11)),0)</f>
        <v>0</v>
      </c>
    </row>
    <row r="6" spans="1:9" ht="69" customHeight="1">
      <c r="A6" s="25">
        <v>2</v>
      </c>
      <c r="B6" s="81" t="s">
        <v>254</v>
      </c>
      <c r="C6" s="81"/>
      <c r="D6" s="27"/>
      <c r="E6" s="27"/>
      <c r="F6" s="27"/>
      <c r="G6" s="27">
        <v>6</v>
      </c>
      <c r="H6" s="30">
        <f t="shared" ref="H6:H11" si="0">(G6*10)/SUM($G$5:$G$11)</f>
        <v>1.5789473684210527</v>
      </c>
      <c r="I6" s="28">
        <f t="shared" ref="I6:I11" si="1">IF(E6="X",((G6*10)/SUM($G$5:$G$11)),0)</f>
        <v>0</v>
      </c>
    </row>
    <row r="7" spans="1:9" ht="31.5" customHeight="1">
      <c r="A7" s="25">
        <v>3</v>
      </c>
      <c r="B7" s="81" t="s">
        <v>255</v>
      </c>
      <c r="C7" s="81"/>
      <c r="D7" s="27"/>
      <c r="E7" s="45"/>
      <c r="F7" s="27"/>
      <c r="G7" s="27">
        <v>10</v>
      </c>
      <c r="H7" s="30">
        <f t="shared" si="0"/>
        <v>2.6315789473684212</v>
      </c>
      <c r="I7" s="28">
        <f t="shared" si="1"/>
        <v>0</v>
      </c>
    </row>
    <row r="8" spans="1:9" ht="47.25" customHeight="1">
      <c r="A8" s="25">
        <v>4</v>
      </c>
      <c r="B8" s="81" t="s">
        <v>256</v>
      </c>
      <c r="C8" s="81"/>
      <c r="D8" s="27"/>
      <c r="E8" s="27"/>
      <c r="F8" s="27"/>
      <c r="G8" s="27">
        <v>10</v>
      </c>
      <c r="H8" s="30">
        <f t="shared" si="0"/>
        <v>2.6315789473684212</v>
      </c>
      <c r="I8" s="28">
        <f t="shared" si="1"/>
        <v>0</v>
      </c>
    </row>
    <row r="9" spans="1:9" ht="47.25" customHeight="1">
      <c r="A9" s="25">
        <v>5</v>
      </c>
      <c r="B9" s="81" t="s">
        <v>257</v>
      </c>
      <c r="C9" s="81"/>
      <c r="D9" s="27"/>
      <c r="E9" s="27"/>
      <c r="F9" s="27"/>
      <c r="G9" s="27">
        <v>6</v>
      </c>
      <c r="H9" s="30">
        <f t="shared" si="0"/>
        <v>1.5789473684210527</v>
      </c>
      <c r="I9" s="28">
        <f t="shared" si="1"/>
        <v>0</v>
      </c>
    </row>
    <row r="10" spans="1:9" ht="35.25" customHeight="1">
      <c r="A10" s="25">
        <v>6</v>
      </c>
      <c r="B10" s="81" t="s">
        <v>258</v>
      </c>
      <c r="C10" s="81"/>
      <c r="D10" s="27"/>
      <c r="E10" s="27"/>
      <c r="F10" s="27"/>
      <c r="G10" s="27">
        <v>2</v>
      </c>
      <c r="H10" s="30">
        <f t="shared" si="0"/>
        <v>0.52631578947368418</v>
      </c>
      <c r="I10" s="28">
        <f t="shared" si="1"/>
        <v>0</v>
      </c>
    </row>
    <row r="11" spans="1:9" ht="44.25" customHeight="1">
      <c r="A11" s="25">
        <v>7</v>
      </c>
      <c r="B11" s="81" t="s">
        <v>259</v>
      </c>
      <c r="C11" s="81"/>
      <c r="D11" s="27"/>
      <c r="E11" s="27"/>
      <c r="F11" s="27"/>
      <c r="G11" s="27">
        <v>2</v>
      </c>
      <c r="H11" s="30">
        <f t="shared" si="0"/>
        <v>0.52631578947368418</v>
      </c>
      <c r="I11" s="28">
        <f t="shared" si="1"/>
        <v>0</v>
      </c>
    </row>
    <row r="12" spans="1:9" ht="15.75" customHeight="1">
      <c r="A12" s="82" t="s">
        <v>37</v>
      </c>
      <c r="B12" s="83"/>
      <c r="C12" s="83"/>
      <c r="D12" s="83"/>
      <c r="E12" s="83"/>
      <c r="F12" s="83"/>
      <c r="G12" s="83"/>
      <c r="H12" s="42">
        <f>SUM(H5:H11)</f>
        <v>10.000000000000002</v>
      </c>
      <c r="I12" s="31">
        <f>SUM(I5:I11)</f>
        <v>0</v>
      </c>
    </row>
  </sheetData>
  <mergeCells count="15">
    <mergeCell ref="A1:B1"/>
    <mergeCell ref="A2:B2"/>
    <mergeCell ref="C1:I1"/>
    <mergeCell ref="C2:I2"/>
    <mergeCell ref="A12:G12"/>
    <mergeCell ref="B11:C11"/>
    <mergeCell ref="A3:B3"/>
    <mergeCell ref="B4:C4"/>
    <mergeCell ref="B5:C5"/>
    <mergeCell ref="B6:C6"/>
    <mergeCell ref="B7:C7"/>
    <mergeCell ref="B8:C8"/>
    <mergeCell ref="B9:C9"/>
    <mergeCell ref="B10:C10"/>
    <mergeCell ref="D3:I3"/>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71FAD-051E-43D0-B53F-5D48CE592145}">
  <sheetPr>
    <tabColor rgb="FF92D050"/>
  </sheetPr>
  <dimension ref="A1:J15"/>
  <sheetViews>
    <sheetView workbookViewId="0">
      <selection sqref="A1:B1"/>
    </sheetView>
  </sheetViews>
  <sheetFormatPr baseColWidth="10" defaultRowHeight="14.25"/>
  <cols>
    <col min="1" max="1" width="5.75" style="1" customWidth="1"/>
    <col min="2" max="4" width="16" customWidth="1"/>
    <col min="5" max="6" width="5.75" customWidth="1"/>
  </cols>
  <sheetData>
    <row r="1" spans="1:10" ht="63.75" customHeight="1">
      <c r="A1" s="91" t="s">
        <v>22</v>
      </c>
      <c r="B1" s="91"/>
      <c r="C1" s="6" t="s">
        <v>38</v>
      </c>
      <c r="D1" s="5" t="s">
        <v>55</v>
      </c>
      <c r="E1" s="92" t="s">
        <v>56</v>
      </c>
      <c r="F1" s="93"/>
      <c r="G1" s="93"/>
      <c r="H1" s="93"/>
      <c r="I1" s="94"/>
    </row>
    <row r="2" spans="1:10" ht="57">
      <c r="A2" s="2" t="s">
        <v>25</v>
      </c>
      <c r="B2" s="91" t="s">
        <v>26</v>
      </c>
      <c r="C2" s="91"/>
      <c r="D2" s="91"/>
      <c r="E2" s="2" t="s">
        <v>27</v>
      </c>
      <c r="F2" s="2" t="s">
        <v>28</v>
      </c>
      <c r="G2" s="2" t="s">
        <v>284</v>
      </c>
      <c r="H2" s="4" t="s">
        <v>294</v>
      </c>
      <c r="I2" s="4" t="s">
        <v>295</v>
      </c>
      <c r="J2" s="18" t="s">
        <v>296</v>
      </c>
    </row>
    <row r="3" spans="1:10" ht="47.25" customHeight="1">
      <c r="A3" s="2">
        <v>1</v>
      </c>
      <c r="B3" s="89" t="s">
        <v>57</v>
      </c>
      <c r="C3" s="89"/>
      <c r="D3" s="89"/>
      <c r="E3" s="3"/>
      <c r="F3" s="3" t="s">
        <v>283</v>
      </c>
      <c r="G3" s="3"/>
      <c r="H3" s="3">
        <v>10</v>
      </c>
      <c r="I3" s="8">
        <f>+H3*$I$14/$H$14</f>
        <v>1.6666666666666667</v>
      </c>
      <c r="J3" s="19">
        <f>+I3</f>
        <v>1.6666666666666667</v>
      </c>
    </row>
    <row r="4" spans="1:10" ht="47.25" customHeight="1">
      <c r="A4" s="2">
        <v>2</v>
      </c>
      <c r="B4" s="89" t="s">
        <v>58</v>
      </c>
      <c r="C4" s="89"/>
      <c r="D4" s="89"/>
      <c r="E4" s="20" t="s">
        <v>283</v>
      </c>
      <c r="F4" s="20"/>
      <c r="G4" s="3"/>
      <c r="H4" s="3">
        <v>2</v>
      </c>
      <c r="I4" s="8">
        <f>+H4*$I$14/$H$14</f>
        <v>0.33333333333333331</v>
      </c>
      <c r="J4">
        <v>0</v>
      </c>
    </row>
    <row r="5" spans="1:10" ht="33" customHeight="1">
      <c r="A5" s="2">
        <v>3</v>
      </c>
      <c r="B5" s="89" t="s">
        <v>59</v>
      </c>
      <c r="C5" s="89"/>
      <c r="D5" s="89"/>
      <c r="E5" s="20"/>
      <c r="F5" s="20" t="s">
        <v>283</v>
      </c>
      <c r="G5" s="3"/>
      <c r="H5" s="3">
        <v>6</v>
      </c>
      <c r="I5" s="8">
        <f t="shared" ref="I5:I12" si="0">+H5*$I$14/$H$14</f>
        <v>1</v>
      </c>
      <c r="J5">
        <v>1</v>
      </c>
    </row>
    <row r="6" spans="1:10" ht="18" customHeight="1">
      <c r="A6" s="2">
        <v>4</v>
      </c>
      <c r="B6" s="89" t="s">
        <v>60</v>
      </c>
      <c r="C6" s="89"/>
      <c r="D6" s="89"/>
      <c r="E6" s="20" t="s">
        <v>283</v>
      </c>
      <c r="F6" s="20"/>
      <c r="G6" s="3"/>
      <c r="H6" s="3">
        <v>6</v>
      </c>
      <c r="I6" s="8">
        <f t="shared" si="0"/>
        <v>1</v>
      </c>
      <c r="J6">
        <v>0</v>
      </c>
    </row>
    <row r="7" spans="1:10" ht="30" customHeight="1">
      <c r="A7" s="2">
        <v>5</v>
      </c>
      <c r="B7" s="89" t="s">
        <v>61</v>
      </c>
      <c r="C7" s="89"/>
      <c r="D7" s="89"/>
      <c r="E7" s="20"/>
      <c r="F7" s="20" t="s">
        <v>283</v>
      </c>
      <c r="G7" s="3"/>
      <c r="H7" s="3">
        <v>10</v>
      </c>
      <c r="I7" s="8">
        <f t="shared" si="0"/>
        <v>1.6666666666666667</v>
      </c>
      <c r="J7">
        <v>1.67</v>
      </c>
    </row>
    <row r="8" spans="1:10" ht="47.25" customHeight="1">
      <c r="A8" s="2">
        <v>6</v>
      </c>
      <c r="B8" s="89" t="s">
        <v>62</v>
      </c>
      <c r="C8" s="89"/>
      <c r="D8" s="89"/>
      <c r="E8" s="20" t="s">
        <v>283</v>
      </c>
      <c r="F8" s="20"/>
      <c r="G8" s="3"/>
      <c r="H8" s="3">
        <v>10</v>
      </c>
      <c r="I8" s="8">
        <f t="shared" si="0"/>
        <v>1.6666666666666667</v>
      </c>
      <c r="J8">
        <v>0</v>
      </c>
    </row>
    <row r="9" spans="1:10" ht="47.25" customHeight="1">
      <c r="A9" s="2">
        <v>7</v>
      </c>
      <c r="B9" s="89" t="s">
        <v>63</v>
      </c>
      <c r="C9" s="89"/>
      <c r="D9" s="89"/>
      <c r="E9" s="20" t="s">
        <v>283</v>
      </c>
      <c r="F9" s="20"/>
      <c r="G9" s="3"/>
      <c r="H9" s="3">
        <v>2</v>
      </c>
      <c r="I9" s="8">
        <f t="shared" si="0"/>
        <v>0.33333333333333331</v>
      </c>
      <c r="J9">
        <v>0</v>
      </c>
    </row>
    <row r="10" spans="1:10" ht="47.25" customHeight="1">
      <c r="A10" s="2">
        <v>8</v>
      </c>
      <c r="B10" s="89" t="s">
        <v>64</v>
      </c>
      <c r="C10" s="89"/>
      <c r="D10" s="89"/>
      <c r="E10" s="20"/>
      <c r="F10" s="20"/>
      <c r="G10" s="3" t="s">
        <v>283</v>
      </c>
      <c r="H10" s="3">
        <v>2</v>
      </c>
      <c r="I10" s="8">
        <f t="shared" si="0"/>
        <v>0.33333333333333331</v>
      </c>
      <c r="J10">
        <v>0.33</v>
      </c>
    </row>
    <row r="11" spans="1:10" ht="35.25" customHeight="1">
      <c r="A11" s="2">
        <v>9</v>
      </c>
      <c r="B11" s="89" t="s">
        <v>65</v>
      </c>
      <c r="C11" s="89"/>
      <c r="D11" s="89"/>
      <c r="E11" s="20"/>
      <c r="F11" s="20" t="s">
        <v>283</v>
      </c>
      <c r="G11" s="3"/>
      <c r="H11" s="3">
        <v>6</v>
      </c>
      <c r="I11" s="8">
        <f t="shared" si="0"/>
        <v>1</v>
      </c>
      <c r="J11">
        <v>1</v>
      </c>
    </row>
    <row r="12" spans="1:10" ht="33.75" customHeight="1">
      <c r="A12" s="2">
        <v>10</v>
      </c>
      <c r="B12" s="89" t="s">
        <v>66</v>
      </c>
      <c r="C12" s="89"/>
      <c r="D12" s="89"/>
      <c r="E12" s="20"/>
      <c r="F12" s="20" t="s">
        <v>283</v>
      </c>
      <c r="G12" s="3"/>
      <c r="H12" s="3">
        <v>6</v>
      </c>
      <c r="I12" s="8">
        <f t="shared" si="0"/>
        <v>1</v>
      </c>
      <c r="J12">
        <v>1</v>
      </c>
    </row>
    <row r="13" spans="1:10" ht="15" customHeight="1">
      <c r="A13" s="90" t="s">
        <v>37</v>
      </c>
      <c r="B13" s="90"/>
      <c r="C13" s="90"/>
      <c r="D13" s="90"/>
      <c r="E13" s="90"/>
      <c r="F13" s="90"/>
      <c r="G13" s="90"/>
      <c r="H13" s="90"/>
      <c r="I13" s="7">
        <f>SUM(I3:I12)</f>
        <v>10</v>
      </c>
    </row>
    <row r="14" spans="1:10">
      <c r="H14">
        <f>SUM(H3:H12)</f>
        <v>60</v>
      </c>
      <c r="I14">
        <v>10</v>
      </c>
      <c r="J14" s="19">
        <f>SUM(J3:J12)</f>
        <v>6.666666666666667</v>
      </c>
    </row>
    <row r="15" spans="1:10" ht="15.75">
      <c r="H15" s="9">
        <v>2</v>
      </c>
    </row>
  </sheetData>
  <mergeCells count="14">
    <mergeCell ref="B5:D5"/>
    <mergeCell ref="A1:B1"/>
    <mergeCell ref="E1:I1"/>
    <mergeCell ref="B2:D2"/>
    <mergeCell ref="B3:D3"/>
    <mergeCell ref="B4:D4"/>
    <mergeCell ref="B12:D12"/>
    <mergeCell ref="A13:H13"/>
    <mergeCell ref="B6:D6"/>
    <mergeCell ref="B7:D7"/>
    <mergeCell ref="B8:D8"/>
    <mergeCell ref="B9:D9"/>
    <mergeCell ref="B10:D10"/>
    <mergeCell ref="B11:D1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77B77-95A8-42C0-A765-46C6712ADD34}">
  <sheetPr>
    <tabColor rgb="FF92D050"/>
  </sheetPr>
  <dimension ref="A1:K16"/>
  <sheetViews>
    <sheetView workbookViewId="0">
      <selection sqref="A1:B1"/>
    </sheetView>
  </sheetViews>
  <sheetFormatPr baseColWidth="10" defaultColWidth="11.375" defaultRowHeight="14.25"/>
  <cols>
    <col min="1" max="1" width="5.75" style="32" customWidth="1"/>
    <col min="2" max="4" width="16" style="32" customWidth="1"/>
    <col min="5" max="6" width="5.75" style="32" customWidth="1"/>
    <col min="7" max="8" width="11.375" style="32"/>
    <col min="9" max="9" width="13" style="32" bestFit="1" customWidth="1"/>
    <col min="10" max="16384" width="11.375" style="32"/>
  </cols>
  <sheetData>
    <row r="1" spans="1:11" ht="54" customHeight="1">
      <c r="A1" s="77" t="s">
        <v>22</v>
      </c>
      <c r="B1" s="77"/>
      <c r="C1" s="26" t="s">
        <v>38</v>
      </c>
      <c r="D1" s="24" t="s">
        <v>95</v>
      </c>
      <c r="E1" s="81" t="s">
        <v>96</v>
      </c>
      <c r="F1" s="81"/>
      <c r="G1" s="81"/>
      <c r="H1" s="81"/>
      <c r="I1" s="81"/>
    </row>
    <row r="2" spans="1:11" ht="60">
      <c r="A2" s="25" t="s">
        <v>25</v>
      </c>
      <c r="B2" s="77" t="s">
        <v>26</v>
      </c>
      <c r="C2" s="77"/>
      <c r="D2" s="77"/>
      <c r="E2" s="25" t="s">
        <v>27</v>
      </c>
      <c r="F2" s="25" t="s">
        <v>28</v>
      </c>
      <c r="G2" s="25" t="s">
        <v>284</v>
      </c>
      <c r="H2" s="25" t="s">
        <v>294</v>
      </c>
      <c r="I2" s="25" t="s">
        <v>298</v>
      </c>
      <c r="J2" s="33" t="s">
        <v>295</v>
      </c>
      <c r="K2" s="22" t="s">
        <v>297</v>
      </c>
    </row>
    <row r="3" spans="1:11" ht="38.25" customHeight="1">
      <c r="A3" s="25">
        <v>1</v>
      </c>
      <c r="B3" s="81" t="s">
        <v>97</v>
      </c>
      <c r="C3" s="81"/>
      <c r="D3" s="81"/>
      <c r="E3" s="27"/>
      <c r="F3" s="27" t="s">
        <v>283</v>
      </c>
      <c r="G3" s="27"/>
      <c r="H3" s="34">
        <v>6</v>
      </c>
      <c r="I3" s="34">
        <f t="shared" ref="I3:I14" si="0">IF(H3="","",IF(H3=0,0,+H3/($A$14)))</f>
        <v>0.5</v>
      </c>
      <c r="J3" s="32">
        <f>+H3*10/$H$16</f>
        <v>0.88235294117647056</v>
      </c>
    </row>
    <row r="4" spans="1:11" ht="31.5" customHeight="1">
      <c r="A4" s="25">
        <v>2</v>
      </c>
      <c r="B4" s="81" t="s">
        <v>98</v>
      </c>
      <c r="C4" s="81"/>
      <c r="D4" s="81"/>
      <c r="E4" s="27"/>
      <c r="F4" s="27" t="s">
        <v>283</v>
      </c>
      <c r="G4" s="27"/>
      <c r="H4" s="34">
        <v>6</v>
      </c>
      <c r="I4" s="34">
        <f t="shared" si="0"/>
        <v>0.5</v>
      </c>
      <c r="J4" s="32">
        <f t="shared" ref="J4:J14" si="1">+H4*10/$H$16</f>
        <v>0.88235294117647056</v>
      </c>
    </row>
    <row r="5" spans="1:11" ht="39" customHeight="1">
      <c r="A5" s="25">
        <v>3</v>
      </c>
      <c r="B5" s="81" t="s">
        <v>99</v>
      </c>
      <c r="C5" s="81"/>
      <c r="D5" s="81"/>
      <c r="E5" s="27" t="s">
        <v>283</v>
      </c>
      <c r="F5" s="27"/>
      <c r="G5" s="27"/>
      <c r="H5" s="34">
        <v>2</v>
      </c>
      <c r="I5" s="34">
        <f t="shared" si="0"/>
        <v>0.16666666666666666</v>
      </c>
      <c r="J5" s="32">
        <f t="shared" si="1"/>
        <v>0.29411764705882354</v>
      </c>
      <c r="K5" s="32">
        <v>0</v>
      </c>
    </row>
    <row r="6" spans="1:11" ht="81.75" customHeight="1">
      <c r="A6" s="25">
        <v>4</v>
      </c>
      <c r="B6" s="81" t="s">
        <v>100</v>
      </c>
      <c r="C6" s="81"/>
      <c r="D6" s="81"/>
      <c r="E6" s="27"/>
      <c r="F6" s="27" t="s">
        <v>283</v>
      </c>
      <c r="G6" s="27"/>
      <c r="H6" s="34">
        <v>6</v>
      </c>
      <c r="I6" s="34">
        <f t="shared" si="0"/>
        <v>0.5</v>
      </c>
      <c r="J6" s="32">
        <f t="shared" si="1"/>
        <v>0.88235294117647056</v>
      </c>
    </row>
    <row r="7" spans="1:11" ht="54.75" customHeight="1">
      <c r="A7" s="25">
        <v>5</v>
      </c>
      <c r="B7" s="81" t="s">
        <v>101</v>
      </c>
      <c r="C7" s="81"/>
      <c r="D7" s="81"/>
      <c r="E7" s="27"/>
      <c r="F7" s="27" t="s">
        <v>283</v>
      </c>
      <c r="G7" s="27"/>
      <c r="H7" s="34">
        <v>6</v>
      </c>
      <c r="I7" s="34">
        <f t="shared" si="0"/>
        <v>0.5</v>
      </c>
      <c r="J7" s="32">
        <f t="shared" si="1"/>
        <v>0.88235294117647056</v>
      </c>
    </row>
    <row r="8" spans="1:11" ht="100.5" customHeight="1">
      <c r="A8" s="25">
        <v>6</v>
      </c>
      <c r="B8" s="81" t="s">
        <v>102</v>
      </c>
      <c r="C8" s="81"/>
      <c r="D8" s="81"/>
      <c r="E8" s="27" t="s">
        <v>283</v>
      </c>
      <c r="F8" s="27"/>
      <c r="G8" s="27"/>
      <c r="H8" s="34">
        <v>6</v>
      </c>
      <c r="I8" s="34">
        <f t="shared" si="0"/>
        <v>0.5</v>
      </c>
      <c r="J8" s="32">
        <f t="shared" si="1"/>
        <v>0.88235294117647056</v>
      </c>
    </row>
    <row r="9" spans="1:11" ht="47.25" customHeight="1">
      <c r="A9" s="25">
        <v>7</v>
      </c>
      <c r="B9" s="81" t="s">
        <v>103</v>
      </c>
      <c r="C9" s="81"/>
      <c r="D9" s="81"/>
      <c r="E9" s="27"/>
      <c r="F9" s="27" t="s">
        <v>283</v>
      </c>
      <c r="G9" s="27"/>
      <c r="H9" s="34">
        <v>6</v>
      </c>
      <c r="I9" s="34">
        <f t="shared" si="0"/>
        <v>0.5</v>
      </c>
      <c r="J9" s="32">
        <f t="shared" si="1"/>
        <v>0.88235294117647056</v>
      </c>
    </row>
    <row r="10" spans="1:11" ht="31.5" customHeight="1">
      <c r="A10" s="25">
        <v>8</v>
      </c>
      <c r="B10" s="81" t="s">
        <v>104</v>
      </c>
      <c r="C10" s="81"/>
      <c r="D10" s="81"/>
      <c r="E10" s="27" t="s">
        <v>283</v>
      </c>
      <c r="F10" s="27"/>
      <c r="G10" s="27"/>
      <c r="H10" s="34">
        <v>10</v>
      </c>
      <c r="I10" s="34">
        <f t="shared" si="0"/>
        <v>0.83333333333333337</v>
      </c>
      <c r="J10" s="32">
        <f t="shared" si="1"/>
        <v>1.4705882352941178</v>
      </c>
    </row>
    <row r="11" spans="1:11" ht="37.5" customHeight="1">
      <c r="A11" s="25">
        <v>9</v>
      </c>
      <c r="B11" s="81" t="s">
        <v>105</v>
      </c>
      <c r="C11" s="81"/>
      <c r="D11" s="81"/>
      <c r="E11" s="27" t="s">
        <v>283</v>
      </c>
      <c r="F11" s="27"/>
      <c r="G11" s="27"/>
      <c r="H11" s="34">
        <v>2</v>
      </c>
      <c r="I11" s="34">
        <f t="shared" si="0"/>
        <v>0.16666666666666666</v>
      </c>
      <c r="J11" s="32">
        <f t="shared" si="1"/>
        <v>0.29411764705882354</v>
      </c>
    </row>
    <row r="12" spans="1:11" ht="35.25" customHeight="1">
      <c r="A12" s="25">
        <v>10</v>
      </c>
      <c r="B12" s="81" t="s">
        <v>106</v>
      </c>
      <c r="C12" s="81"/>
      <c r="D12" s="81"/>
      <c r="E12" s="27" t="s">
        <v>283</v>
      </c>
      <c r="F12" s="27"/>
      <c r="G12" s="27"/>
      <c r="H12" s="34">
        <v>6</v>
      </c>
      <c r="I12" s="34">
        <f t="shared" si="0"/>
        <v>0.5</v>
      </c>
      <c r="J12" s="32">
        <f t="shared" si="1"/>
        <v>0.88235294117647056</v>
      </c>
    </row>
    <row r="13" spans="1:11" ht="37.5" customHeight="1">
      <c r="A13" s="25">
        <v>11</v>
      </c>
      <c r="B13" s="81" t="s">
        <v>107</v>
      </c>
      <c r="C13" s="81"/>
      <c r="D13" s="81"/>
      <c r="E13" s="27" t="s">
        <v>283</v>
      </c>
      <c r="F13" s="27"/>
      <c r="G13" s="27"/>
      <c r="H13" s="34">
        <v>10</v>
      </c>
      <c r="I13" s="34">
        <f t="shared" si="0"/>
        <v>0.83333333333333337</v>
      </c>
      <c r="J13" s="32">
        <f t="shared" si="1"/>
        <v>1.4705882352941178</v>
      </c>
    </row>
    <row r="14" spans="1:11" ht="64.5" customHeight="1">
      <c r="A14" s="25">
        <v>12</v>
      </c>
      <c r="B14" s="81" t="s">
        <v>108</v>
      </c>
      <c r="C14" s="81"/>
      <c r="D14" s="81"/>
      <c r="E14" s="27" t="s">
        <v>283</v>
      </c>
      <c r="F14" s="27"/>
      <c r="G14" s="27"/>
      <c r="H14" s="34">
        <v>2</v>
      </c>
      <c r="I14" s="34">
        <f t="shared" si="0"/>
        <v>0.16666666666666666</v>
      </c>
      <c r="J14" s="32">
        <f t="shared" si="1"/>
        <v>0.29411764705882354</v>
      </c>
    </row>
    <row r="15" spans="1:11" ht="15" customHeight="1">
      <c r="A15" s="96" t="s">
        <v>37</v>
      </c>
      <c r="B15" s="96"/>
      <c r="C15" s="96"/>
      <c r="D15" s="96"/>
      <c r="E15" s="96"/>
      <c r="F15" s="96"/>
      <c r="G15" s="96"/>
      <c r="H15" s="96"/>
      <c r="I15" s="24">
        <f>SUM(I3:I14)</f>
        <v>5.666666666666667</v>
      </c>
    </row>
    <row r="16" spans="1:11">
      <c r="H16" s="32">
        <f>SUM(H3:H14)</f>
        <v>68</v>
      </c>
      <c r="I16" s="32">
        <v>10</v>
      </c>
      <c r="J16" s="32">
        <v>10</v>
      </c>
    </row>
  </sheetData>
  <mergeCells count="16">
    <mergeCell ref="B5:D5"/>
    <mergeCell ref="A1:B1"/>
    <mergeCell ref="E1:I1"/>
    <mergeCell ref="B2:D2"/>
    <mergeCell ref="B3:D3"/>
    <mergeCell ref="B4:D4"/>
    <mergeCell ref="B12:D12"/>
    <mergeCell ref="B13:D13"/>
    <mergeCell ref="B14:D14"/>
    <mergeCell ref="A15:H15"/>
    <mergeCell ref="B6:D6"/>
    <mergeCell ref="B7:D7"/>
    <mergeCell ref="B8:D8"/>
    <mergeCell ref="B9:D9"/>
    <mergeCell ref="B10:D10"/>
    <mergeCell ref="B11:D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1EF19-F438-4B3C-9718-32796A8DE0AB}">
  <dimension ref="A1:I15"/>
  <sheetViews>
    <sheetView workbookViewId="0">
      <selection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78"/>
      <c r="D1" s="84"/>
      <c r="E1" s="84"/>
      <c r="F1" s="84"/>
      <c r="G1" s="84"/>
      <c r="H1" s="84"/>
      <c r="I1" s="85"/>
    </row>
    <row r="2" spans="1:9" ht="15">
      <c r="A2" s="77" t="s">
        <v>0</v>
      </c>
      <c r="B2" s="77"/>
      <c r="C2" s="78"/>
      <c r="D2" s="84"/>
      <c r="E2" s="84"/>
      <c r="F2" s="84"/>
      <c r="G2" s="84"/>
      <c r="H2" s="84"/>
      <c r="I2" s="85"/>
    </row>
    <row r="3" spans="1:9" ht="15">
      <c r="A3" s="77" t="s">
        <v>271</v>
      </c>
      <c r="B3" s="77"/>
      <c r="C3" s="24" t="s">
        <v>272</v>
      </c>
      <c r="D3" s="81">
        <v>130</v>
      </c>
      <c r="E3" s="81"/>
      <c r="F3" s="81"/>
      <c r="G3" s="81"/>
      <c r="H3" s="81"/>
      <c r="I3" s="81"/>
    </row>
    <row r="4" spans="1:9" ht="60">
      <c r="A4" s="25" t="s">
        <v>25</v>
      </c>
      <c r="B4" s="77" t="s">
        <v>26</v>
      </c>
      <c r="C4" s="77"/>
      <c r="D4" s="25" t="s">
        <v>27</v>
      </c>
      <c r="E4" s="25" t="s">
        <v>28</v>
      </c>
      <c r="F4" s="25" t="s">
        <v>284</v>
      </c>
      <c r="G4" s="25" t="s">
        <v>294</v>
      </c>
      <c r="H4" s="25" t="s">
        <v>295</v>
      </c>
      <c r="I4" s="25" t="s">
        <v>298</v>
      </c>
    </row>
    <row r="5" spans="1:9" ht="47.25" customHeight="1">
      <c r="A5" s="25">
        <v>1</v>
      </c>
      <c r="B5" s="81" t="s">
        <v>273</v>
      </c>
      <c r="C5" s="81"/>
      <c r="D5" s="27"/>
      <c r="E5" s="27"/>
      <c r="F5" s="27"/>
      <c r="G5" s="27">
        <v>10</v>
      </c>
      <c r="H5" s="30">
        <f>(G5*10)/SUM($G$5:$G$14)</f>
        <v>1.7857142857142858</v>
      </c>
      <c r="I5" s="28">
        <f>IF(E5="X",((G5*10)/SUM($G$5:$G$14)),0)</f>
        <v>0</v>
      </c>
    </row>
    <row r="6" spans="1:9" ht="47.25" customHeight="1">
      <c r="A6" s="25">
        <v>2</v>
      </c>
      <c r="B6" s="81" t="s">
        <v>274</v>
      </c>
      <c r="C6" s="81"/>
      <c r="D6" s="27"/>
      <c r="E6" s="27"/>
      <c r="F6" s="27"/>
      <c r="G6" s="27">
        <v>2</v>
      </c>
      <c r="H6" s="30">
        <f t="shared" ref="H6:H14" si="0">(G6*10)/SUM($G$5:$G$14)</f>
        <v>0.35714285714285715</v>
      </c>
      <c r="I6" s="28">
        <f t="shared" ref="I6:I14" si="1">IF(E6="X",((G6*10)/SUM($G$5:$G$14)),0)</f>
        <v>0</v>
      </c>
    </row>
    <row r="7" spans="1:9" ht="31.5" customHeight="1">
      <c r="A7" s="25">
        <v>3</v>
      </c>
      <c r="B7" s="81" t="s">
        <v>275</v>
      </c>
      <c r="C7" s="81"/>
      <c r="D7" s="27"/>
      <c r="E7" s="27"/>
      <c r="F7" s="27"/>
      <c r="G7" s="27">
        <v>6</v>
      </c>
      <c r="H7" s="30">
        <f t="shared" si="0"/>
        <v>1.0714285714285714</v>
      </c>
      <c r="I7" s="28">
        <f t="shared" si="1"/>
        <v>0</v>
      </c>
    </row>
    <row r="8" spans="1:9" ht="59.25" customHeight="1">
      <c r="A8" s="25">
        <v>4</v>
      </c>
      <c r="B8" s="81" t="s">
        <v>276</v>
      </c>
      <c r="C8" s="81"/>
      <c r="D8" s="27"/>
      <c r="E8" s="27"/>
      <c r="F8" s="27"/>
      <c r="G8" s="27">
        <v>10</v>
      </c>
      <c r="H8" s="30">
        <f t="shared" si="0"/>
        <v>1.7857142857142858</v>
      </c>
      <c r="I8" s="28">
        <f t="shared" si="1"/>
        <v>0</v>
      </c>
    </row>
    <row r="9" spans="1:9" ht="43.5" customHeight="1">
      <c r="A9" s="25">
        <v>5</v>
      </c>
      <c r="B9" s="81" t="s">
        <v>277</v>
      </c>
      <c r="C9" s="81"/>
      <c r="D9" s="27"/>
      <c r="E9" s="27"/>
      <c r="F9" s="27"/>
      <c r="G9" s="27">
        <v>6</v>
      </c>
      <c r="H9" s="30">
        <f t="shared" si="0"/>
        <v>1.0714285714285714</v>
      </c>
      <c r="I9" s="28">
        <f t="shared" si="1"/>
        <v>0</v>
      </c>
    </row>
    <row r="10" spans="1:9" ht="58.5" customHeight="1">
      <c r="A10" s="25">
        <v>6</v>
      </c>
      <c r="B10" s="81" t="s">
        <v>278</v>
      </c>
      <c r="C10" s="81"/>
      <c r="D10" s="27"/>
      <c r="E10" s="27"/>
      <c r="F10" s="27"/>
      <c r="G10" s="27">
        <v>6</v>
      </c>
      <c r="H10" s="30">
        <f t="shared" si="0"/>
        <v>1.0714285714285714</v>
      </c>
      <c r="I10" s="28">
        <f t="shared" si="1"/>
        <v>0</v>
      </c>
    </row>
    <row r="11" spans="1:9" ht="47.25" customHeight="1">
      <c r="A11" s="25">
        <v>7</v>
      </c>
      <c r="B11" s="81" t="s">
        <v>279</v>
      </c>
      <c r="C11" s="81"/>
      <c r="D11" s="27"/>
      <c r="E11" s="27"/>
      <c r="F11" s="27"/>
      <c r="G11" s="27">
        <v>6</v>
      </c>
      <c r="H11" s="30">
        <f t="shared" si="0"/>
        <v>1.0714285714285714</v>
      </c>
      <c r="I11" s="28">
        <f t="shared" si="1"/>
        <v>0</v>
      </c>
    </row>
    <row r="12" spans="1:9" ht="47.25" customHeight="1">
      <c r="A12" s="25">
        <v>8</v>
      </c>
      <c r="B12" s="81" t="s">
        <v>280</v>
      </c>
      <c r="C12" s="81"/>
      <c r="D12" s="27"/>
      <c r="E12" s="27"/>
      <c r="F12" s="27"/>
      <c r="G12" s="27">
        <v>6</v>
      </c>
      <c r="H12" s="30">
        <f t="shared" si="0"/>
        <v>1.0714285714285714</v>
      </c>
      <c r="I12" s="28">
        <f t="shared" si="1"/>
        <v>0</v>
      </c>
    </row>
    <row r="13" spans="1:9" ht="47.25" customHeight="1">
      <c r="A13" s="25">
        <v>9</v>
      </c>
      <c r="B13" s="81" t="s">
        <v>281</v>
      </c>
      <c r="C13" s="81"/>
      <c r="D13" s="27"/>
      <c r="E13" s="27"/>
      <c r="F13" s="27"/>
      <c r="G13" s="27">
        <v>2</v>
      </c>
      <c r="H13" s="30">
        <f t="shared" si="0"/>
        <v>0.35714285714285715</v>
      </c>
      <c r="I13" s="28">
        <f t="shared" si="1"/>
        <v>0</v>
      </c>
    </row>
    <row r="14" spans="1:9" ht="63" customHeight="1">
      <c r="A14" s="25">
        <v>10</v>
      </c>
      <c r="B14" s="81" t="s">
        <v>282</v>
      </c>
      <c r="C14" s="81"/>
      <c r="D14" s="27"/>
      <c r="E14" s="27"/>
      <c r="F14" s="27"/>
      <c r="G14" s="27">
        <v>2</v>
      </c>
      <c r="H14" s="30">
        <f t="shared" si="0"/>
        <v>0.35714285714285715</v>
      </c>
      <c r="I14" s="28">
        <f t="shared" si="1"/>
        <v>0</v>
      </c>
    </row>
    <row r="15" spans="1:9" ht="15.75" customHeight="1">
      <c r="A15" s="96" t="s">
        <v>37</v>
      </c>
      <c r="B15" s="96"/>
      <c r="C15" s="96"/>
      <c r="D15" s="96"/>
      <c r="E15" s="96"/>
      <c r="F15" s="96"/>
      <c r="G15" s="96"/>
      <c r="H15" s="41">
        <f>SUM(H5:H14)</f>
        <v>10</v>
      </c>
      <c r="I15" s="31">
        <f>SUM(I5:I14)</f>
        <v>0</v>
      </c>
    </row>
  </sheetData>
  <mergeCells count="18">
    <mergeCell ref="B11:C11"/>
    <mergeCell ref="B12:C12"/>
    <mergeCell ref="B13:C13"/>
    <mergeCell ref="B14:C14"/>
    <mergeCell ref="A15:G15"/>
    <mergeCell ref="B10:C10"/>
    <mergeCell ref="A3:B3"/>
    <mergeCell ref="B4:C4"/>
    <mergeCell ref="B5:C5"/>
    <mergeCell ref="B6:C6"/>
    <mergeCell ref="B7:C7"/>
    <mergeCell ref="B8:C8"/>
    <mergeCell ref="B9:C9"/>
    <mergeCell ref="A1:B1"/>
    <mergeCell ref="A2:B2"/>
    <mergeCell ref="C1:I1"/>
    <mergeCell ref="C2:I2"/>
    <mergeCell ref="D3:I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7C96-A43A-4225-9B72-C81EC6789E1D}">
  <dimension ref="A1:I16"/>
  <sheetViews>
    <sheetView workbookViewId="0">
      <selection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78"/>
      <c r="D1" s="84"/>
      <c r="E1" s="84"/>
      <c r="F1" s="84"/>
      <c r="G1" s="84"/>
      <c r="H1" s="84"/>
      <c r="I1" s="85"/>
    </row>
    <row r="2" spans="1:9" ht="15">
      <c r="A2" s="77" t="s">
        <v>0</v>
      </c>
      <c r="B2" s="77"/>
      <c r="C2" s="78"/>
      <c r="D2" s="84"/>
      <c r="E2" s="84"/>
      <c r="F2" s="84"/>
      <c r="G2" s="84"/>
      <c r="H2" s="84"/>
      <c r="I2" s="85"/>
    </row>
    <row r="3" spans="1:9" ht="30">
      <c r="A3" s="77" t="s">
        <v>237</v>
      </c>
      <c r="B3" s="77"/>
      <c r="C3" s="24" t="s">
        <v>260</v>
      </c>
      <c r="D3" s="81">
        <v>170</v>
      </c>
      <c r="E3" s="81"/>
      <c r="F3" s="81"/>
      <c r="G3" s="81"/>
      <c r="H3" s="81"/>
      <c r="I3" s="81"/>
    </row>
    <row r="4" spans="1:9" ht="60">
      <c r="A4" s="25" t="s">
        <v>25</v>
      </c>
      <c r="B4" s="77" t="s">
        <v>26</v>
      </c>
      <c r="C4" s="77"/>
      <c r="D4" s="25" t="s">
        <v>27</v>
      </c>
      <c r="E4" s="25" t="s">
        <v>28</v>
      </c>
      <c r="F4" s="25" t="s">
        <v>284</v>
      </c>
      <c r="G4" s="25" t="s">
        <v>294</v>
      </c>
      <c r="H4" s="25" t="s">
        <v>295</v>
      </c>
      <c r="I4" s="25" t="s">
        <v>298</v>
      </c>
    </row>
    <row r="5" spans="1:9" ht="33" customHeight="1">
      <c r="A5" s="25">
        <v>1</v>
      </c>
      <c r="B5" s="81" t="s">
        <v>217</v>
      </c>
      <c r="C5" s="81"/>
      <c r="D5" s="27"/>
      <c r="E5" s="27"/>
      <c r="F5" s="27"/>
      <c r="G5" s="27">
        <v>10</v>
      </c>
      <c r="H5" s="30">
        <f>(G5*10)/SUM($G$5:$G$15)</f>
        <v>1.2195121951219512</v>
      </c>
      <c r="I5" s="28">
        <f t="shared" ref="I5:I15" si="0">IF(E5="X",((G5*10)/SUM($G$5:$G$15)),0)</f>
        <v>0</v>
      </c>
    </row>
    <row r="6" spans="1:9" ht="47.25" customHeight="1">
      <c r="A6" s="25">
        <v>2</v>
      </c>
      <c r="B6" s="81" t="s">
        <v>261</v>
      </c>
      <c r="C6" s="81"/>
      <c r="D6" s="27"/>
      <c r="E6" s="27"/>
      <c r="F6" s="27"/>
      <c r="G6" s="27">
        <v>10</v>
      </c>
      <c r="H6" s="30">
        <f t="shared" ref="H6:H15" si="1">(G6*10)/SUM($G$5:$G$15)</f>
        <v>1.2195121951219512</v>
      </c>
      <c r="I6" s="28">
        <f t="shared" si="0"/>
        <v>0</v>
      </c>
    </row>
    <row r="7" spans="1:9" ht="70.5" customHeight="1">
      <c r="A7" s="25">
        <v>3</v>
      </c>
      <c r="B7" s="81" t="s">
        <v>262</v>
      </c>
      <c r="C7" s="81"/>
      <c r="D7" s="27"/>
      <c r="E7" s="27"/>
      <c r="F7" s="27"/>
      <c r="G7" s="27">
        <v>6</v>
      </c>
      <c r="H7" s="30">
        <f t="shared" si="1"/>
        <v>0.73170731707317072</v>
      </c>
      <c r="I7" s="28">
        <f t="shared" si="0"/>
        <v>0</v>
      </c>
    </row>
    <row r="8" spans="1:9" ht="59.25" customHeight="1">
      <c r="A8" s="25">
        <v>4</v>
      </c>
      <c r="B8" s="81" t="s">
        <v>263</v>
      </c>
      <c r="C8" s="81"/>
      <c r="D8" s="27"/>
      <c r="E8" s="27"/>
      <c r="F8" s="27"/>
      <c r="G8" s="27">
        <v>6</v>
      </c>
      <c r="H8" s="30">
        <f t="shared" si="1"/>
        <v>0.73170731707317072</v>
      </c>
      <c r="I8" s="28">
        <f t="shared" si="0"/>
        <v>0</v>
      </c>
    </row>
    <row r="9" spans="1:9" ht="59.25" customHeight="1">
      <c r="A9" s="25">
        <v>5</v>
      </c>
      <c r="B9" s="81" t="s">
        <v>264</v>
      </c>
      <c r="C9" s="81"/>
      <c r="D9" s="27"/>
      <c r="E9" s="27"/>
      <c r="F9" s="27"/>
      <c r="G9" s="27">
        <v>10</v>
      </c>
      <c r="H9" s="30">
        <f t="shared" si="1"/>
        <v>1.2195121951219512</v>
      </c>
      <c r="I9" s="28">
        <f t="shared" si="0"/>
        <v>0</v>
      </c>
    </row>
    <row r="10" spans="1:9" ht="58.5" customHeight="1">
      <c r="A10" s="25">
        <v>6</v>
      </c>
      <c r="B10" s="81" t="s">
        <v>265</v>
      </c>
      <c r="C10" s="81"/>
      <c r="D10" s="27"/>
      <c r="E10" s="27"/>
      <c r="F10" s="27"/>
      <c r="G10" s="27">
        <v>6</v>
      </c>
      <c r="H10" s="30">
        <f t="shared" si="1"/>
        <v>0.73170731707317072</v>
      </c>
      <c r="I10" s="28">
        <f t="shared" si="0"/>
        <v>0</v>
      </c>
    </row>
    <row r="11" spans="1:9" ht="72" customHeight="1">
      <c r="A11" s="25">
        <v>7</v>
      </c>
      <c r="B11" s="81" t="s">
        <v>266</v>
      </c>
      <c r="C11" s="81"/>
      <c r="D11" s="27"/>
      <c r="E11" s="27"/>
      <c r="F11" s="27"/>
      <c r="G11" s="27">
        <v>10</v>
      </c>
      <c r="H11" s="30">
        <f t="shared" si="1"/>
        <v>1.2195121951219512</v>
      </c>
      <c r="I11" s="28">
        <f t="shared" si="0"/>
        <v>0</v>
      </c>
    </row>
    <row r="12" spans="1:9" ht="47.25" customHeight="1">
      <c r="A12" s="25">
        <v>8</v>
      </c>
      <c r="B12" s="81" t="s">
        <v>267</v>
      </c>
      <c r="C12" s="81"/>
      <c r="D12" s="27"/>
      <c r="E12" s="27"/>
      <c r="F12" s="27"/>
      <c r="G12" s="27">
        <v>10</v>
      </c>
      <c r="H12" s="30">
        <f t="shared" si="1"/>
        <v>1.2195121951219512</v>
      </c>
      <c r="I12" s="28">
        <f t="shared" si="0"/>
        <v>0</v>
      </c>
    </row>
    <row r="13" spans="1:9" ht="48" customHeight="1">
      <c r="A13" s="25">
        <v>9</v>
      </c>
      <c r="B13" s="81" t="s">
        <v>268</v>
      </c>
      <c r="C13" s="81"/>
      <c r="D13" s="27"/>
      <c r="E13" s="27"/>
      <c r="F13" s="27"/>
      <c r="G13" s="27">
        <v>6</v>
      </c>
      <c r="H13" s="30">
        <f t="shared" si="1"/>
        <v>0.73170731707317072</v>
      </c>
      <c r="I13" s="28">
        <f t="shared" si="0"/>
        <v>0</v>
      </c>
    </row>
    <row r="14" spans="1:9" ht="47.25" customHeight="1">
      <c r="A14" s="25">
        <v>10</v>
      </c>
      <c r="B14" s="81" t="s">
        <v>269</v>
      </c>
      <c r="C14" s="81"/>
      <c r="D14" s="27"/>
      <c r="E14" s="27"/>
      <c r="F14" s="27"/>
      <c r="G14" s="27">
        <v>6</v>
      </c>
      <c r="H14" s="30">
        <f t="shared" si="1"/>
        <v>0.73170731707317072</v>
      </c>
      <c r="I14" s="28">
        <f t="shared" si="0"/>
        <v>0</v>
      </c>
    </row>
    <row r="15" spans="1:9" ht="45" customHeight="1">
      <c r="A15" s="25">
        <v>11</v>
      </c>
      <c r="B15" s="81" t="s">
        <v>270</v>
      </c>
      <c r="C15" s="81"/>
      <c r="D15" s="27"/>
      <c r="E15" s="27"/>
      <c r="F15" s="27"/>
      <c r="G15" s="27">
        <v>2</v>
      </c>
      <c r="H15" s="30">
        <f t="shared" si="1"/>
        <v>0.24390243902439024</v>
      </c>
      <c r="I15" s="28">
        <f t="shared" si="0"/>
        <v>0</v>
      </c>
    </row>
    <row r="16" spans="1:9" ht="15.75" customHeight="1">
      <c r="A16" s="96" t="s">
        <v>37</v>
      </c>
      <c r="B16" s="96"/>
      <c r="C16" s="96"/>
      <c r="D16" s="96"/>
      <c r="E16" s="96"/>
      <c r="F16" s="96"/>
      <c r="G16" s="96"/>
      <c r="H16" s="41">
        <f>SUM(H5:H15)</f>
        <v>10.000000000000002</v>
      </c>
      <c r="I16" s="31">
        <f>SUM(I5:I15)</f>
        <v>0</v>
      </c>
    </row>
  </sheetData>
  <mergeCells count="19">
    <mergeCell ref="B13:C13"/>
    <mergeCell ref="B14:C14"/>
    <mergeCell ref="B15:C15"/>
    <mergeCell ref="A16:G16"/>
    <mergeCell ref="B7:C7"/>
    <mergeCell ref="B8:C8"/>
    <mergeCell ref="B9:C9"/>
    <mergeCell ref="B10:C10"/>
    <mergeCell ref="B11:C11"/>
    <mergeCell ref="A1:B1"/>
    <mergeCell ref="A2:B2"/>
    <mergeCell ref="C1:I1"/>
    <mergeCell ref="C2:I2"/>
    <mergeCell ref="B12:C12"/>
    <mergeCell ref="D3:I3"/>
    <mergeCell ref="A3:B3"/>
    <mergeCell ref="B4:C4"/>
    <mergeCell ref="B5:C5"/>
    <mergeCell ref="B6:C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4DCBD-B9C2-414B-820A-7DB7E14C4F6C}">
  <dimension ref="A1:V22"/>
  <sheetViews>
    <sheetView workbookViewId="0">
      <selection activeCell="B3" sqref="B3"/>
    </sheetView>
  </sheetViews>
  <sheetFormatPr baseColWidth="10" defaultColWidth="11.625" defaultRowHeight="14.25"/>
  <cols>
    <col min="1" max="1" width="4.75" style="63" customWidth="1"/>
    <col min="2" max="2" width="5.875" style="35" customWidth="1"/>
    <col min="3" max="3" width="18.875" style="35" bestFit="1" customWidth="1"/>
    <col min="4" max="4" width="6.75" style="38" customWidth="1"/>
    <col min="5" max="5" width="16.875" style="35" customWidth="1"/>
    <col min="6" max="6" width="13.75" style="35" bestFit="1" customWidth="1"/>
    <col min="7" max="10" width="6.625" style="35" bestFit="1" customWidth="1"/>
    <col min="11" max="11" width="9.375" style="57" bestFit="1" customWidth="1"/>
    <col min="12" max="12" width="6.625" style="35" bestFit="1" customWidth="1"/>
    <col min="13" max="13" width="4.375" style="35" bestFit="1" customWidth="1"/>
    <col min="14" max="14" width="6.625" style="35" bestFit="1" customWidth="1"/>
    <col min="15" max="15" width="5.625" style="57" bestFit="1" customWidth="1"/>
    <col min="16" max="16" width="3.75" style="35" bestFit="1" customWidth="1"/>
    <col min="17" max="17" width="16.875" style="35" bestFit="1" customWidth="1"/>
    <col min="18" max="18" width="17" style="35" bestFit="1" customWidth="1"/>
    <col min="19" max="19" width="6.625" style="35" customWidth="1"/>
    <col min="20" max="20" width="11.625" style="61"/>
    <col min="21" max="16384" width="11.625" style="35"/>
  </cols>
  <sheetData>
    <row r="1" spans="1:22" ht="27" customHeight="1">
      <c r="A1" s="71" t="s">
        <v>0</v>
      </c>
      <c r="B1" s="73" t="s">
        <v>1</v>
      </c>
      <c r="C1" s="72" t="s">
        <v>2</v>
      </c>
      <c r="D1" s="72"/>
      <c r="E1" s="72"/>
      <c r="F1" s="72"/>
      <c r="G1" s="74" t="s">
        <v>3</v>
      </c>
      <c r="H1" s="74"/>
      <c r="I1" s="74"/>
      <c r="J1" s="74"/>
      <c r="K1" s="74"/>
      <c r="L1" s="74"/>
      <c r="M1" s="74"/>
      <c r="N1" s="74"/>
      <c r="O1" s="74"/>
      <c r="P1" s="74"/>
      <c r="Q1" s="74"/>
      <c r="R1" s="75" t="s">
        <v>4</v>
      </c>
      <c r="S1" s="76"/>
      <c r="T1" s="62"/>
      <c r="U1" s="36"/>
      <c r="V1" s="36"/>
    </row>
    <row r="2" spans="1:22" ht="160.5">
      <c r="A2" s="71"/>
      <c r="B2" s="73"/>
      <c r="C2" s="64" t="s">
        <v>5</v>
      </c>
      <c r="D2" s="53" t="s">
        <v>6</v>
      </c>
      <c r="E2" s="64" t="s">
        <v>7</v>
      </c>
      <c r="F2" s="64" t="s">
        <v>8</v>
      </c>
      <c r="G2" s="64" t="s">
        <v>9</v>
      </c>
      <c r="H2" s="64" t="s">
        <v>10</v>
      </c>
      <c r="I2" s="64" t="s">
        <v>11</v>
      </c>
      <c r="J2" s="64" t="s">
        <v>12</v>
      </c>
      <c r="K2" s="59" t="s">
        <v>13</v>
      </c>
      <c r="L2" s="64" t="s">
        <v>14</v>
      </c>
      <c r="M2" s="64" t="s">
        <v>15</v>
      </c>
      <c r="N2" s="64" t="s">
        <v>16</v>
      </c>
      <c r="O2" s="56" t="s">
        <v>17</v>
      </c>
      <c r="P2" s="64" t="s">
        <v>18</v>
      </c>
      <c r="Q2" s="65" t="s">
        <v>19</v>
      </c>
      <c r="R2" s="65" t="s">
        <v>20</v>
      </c>
      <c r="S2" s="64" t="s">
        <v>21</v>
      </c>
      <c r="T2" s="60"/>
      <c r="U2" s="54" t="s">
        <v>442</v>
      </c>
      <c r="V2" s="36"/>
    </row>
    <row r="3" spans="1:22" ht="15">
      <c r="A3" s="110"/>
      <c r="B3" s="111"/>
      <c r="C3" s="69" t="str">
        <f>IF(D3="","",IF(D3="010-E","Trabajo en altura/ zonas con desnivel",IF(D3="020-E","Superficies irregulares u obstruidas",IF(D3="030-E","Estructuras inestables/ espacios confinados",IF(D3="040-E","Desprendimiento de objetos",IF(D3="090-E","Manipulación de máquinas/ herramientas",IF(D3="100-E","Operaciones de conformado",IF(D3="110-E","Objetos fijos o móviles",IF(D3="250a-E","Situaciones fortuitas",IF(D3="230-E","Colisión/ impacto vehicular",IF(D3="250b-E","Situaciones fortuitas",IF(D3="160-E","Energía eléctrica",IF(D3="150a-E","Fuentes de calor",IF(D3="150b-E","Fuentes de calor",IF(D3="150c-E","Fuentes de calor",IF(D3="570","Condiciones inadecuadas",IF(D3="120-I","Maquinaria pesada",IF(D3="330","Niveles sonoros",IF(D3="340","Movimientos oscilatorios",IF(D3="360","Fuentes emisoras de energía",IF(D3="170","Sustancias químicas",IF(D3="380","Niveles lumínicos",IF(D3="010-I","Trabajo en altura/ zonas con desnivel",IF(D3="020-I","Superficies irregulares u obstruidas",IF(D3="030-I","Estructuras inestables/ espacios confinados",IF(D3="040-I","Desprendimiento de objetos",IF(D3="090-I","Manipulación de máquinas/ herramientas",IF(D3="100-I","Operaciones de conformado",IF(D3="110-I","Objetos fijos o móviles",IF(D3="250a-I","Situaciones fortuitas",IF(D3="230-I","Colisión/ impacto vehicular",IF(D3="250b-I","Situaciones fortuitas",IF(D3="160-I","Energía eléctrica",IF(D3="390","Atmósferas contaminadas",IF(D3="130","Posturas forzadas/ manipulación manual de cargas")))))))))))))))))))))))))))))))))))</f>
        <v/>
      </c>
      <c r="D3" s="109"/>
      <c r="E3" s="69" t="str">
        <f>IF(D3="","",IF(D3="010-E","Caída de personas a distinto nivel",IF(D3="020-E","Caída de personas al mismo nivel",IF(D3="030-E","Caída de objetos por desplome",IF(D3="040-E","Caída de objetos en manipulación",IF(D3="090-E","Golpes/cortes por objetos o herramientas",IF(D3="110-E","Atrapamiento por o entre objetos",IF(D3="100-E","Proyección de fragmentos o partículas",IF(D3="230-E","Atropellos o golpes con vehículos",IF(D3="250a-E","Otros riesgos de accidente a) inherentes a la manipulación de herramientas eléctricas",IF(D3="250b-E","Otros riesgos de accidente b) Inherentes a la manipulación de herramientas manuales",IF(D3="160-E","Contactos Eléctricos",IF(D3="150a-E","Contactos térmicos a) inherentes al trabajador",IF(D3="150b-E","Contactos térmicos b) inherentes a la manipulación de elementos estructurales",IF(D3="150c-E","Contactos térmicos c) inherentes al proceso de soldadura",IF(D3="570","Organización del trabajo incorrecta",IF(D3="120-I","Atrapamiento por vuelco de máquinas",IF(D3="","",IF(D3="010-I","Caída de personas a distinto nivel",IF(D3="020-I","Caída de personas al mismo nivel",IF(D3="030-I","Caída de objetos por desplome",IF(D3="040-I","Caída de objetos en manipulación",IF(D3="090-I","Golpes/cortes por objetos o herramientas",IF(D3="110-I","Atrapamiento por o entre objetos",IF(D3="100-I","Proyección de fragmentos o partículas",IF(D3="230-I","Atropellos o golpes con vehículos",IF(D3="250a-I","Otros riesgos de accidente a) inherentes a la manipulación de herramientas eléctricas",IF(D3="250b-I","Otros riesgos de accidente b) Inherentes a la manipulación de herramientas manuales",IF(D3="390","Otra exposición a) asfixia o intoxicación",IF(D3="160-I","Contactos Eléctricos",IF(D3="570","Organización del trabajo incorrecta",IF(D3="120-I","Atrapamiento por vuelco de máquinas",IF(D3="330","Ruido",IF(D3="340","Vibración",IF(D3="360","Radiaciones ionizantes",IF(D3="170","Exposición a sustancias nocivas",IF(D3="130","Sobreesfuerzos",IF(D3="380","Iluminación",IF(D3="330","Ruido",IF(D3="340","Vibración",IF(D3="360","Radiaciones ionizantes",IF(D3="170","Exposición a sustancias nocivas",IF(D3="130","Sobreesfuerzos",IF(D3="380","Iluminación"))))))))))))))))))))))))))))))))))))))))))))</f>
        <v/>
      </c>
      <c r="F3" s="69" t="str">
        <f>IF(D3="","",IF(D3="010-E","Riesgo de seguridad (Riesgo Mecánico)",IF(D3="020-E","Riesgo de seguridad (Riesgo Mecánico)",IF(D3="030-E","Riesgo de seguridad (Riesgo Mecánico)",IF(D3="040-E","Riesgo de seguridad (Riesgo Mecánico)",IF(D3="090-E","Riesgo de seguridad (Riesgo Mecánico)",IF(D3="110-E","Riesgo de seguridad (Riesgo Mecánico)",IF(D3="100-E","Riesgo de seguridad (Riesgo Mecánico)",IF(D3="230-E","Riesgo de seguridad (Riesgo Mecánico)",IF(D3="250a-E","Riesgo de seguridad (Riesgo Mecánico)",IF(D3="250b-E","Riesgo de seguridad (Riesgo Mecánico)",IF(D3="160-E","Riesgo de seguridad (Riesgo Eléctrico)",IF(D3="150a-E","Riesgo de seguridad (Riesgo Industrial Mayor)",IF(D3="150b-E","Riesgo de seguridad (Riesgo Industrial Mayor)",IF(D3="150c-E","Riesgo de seguridad (Riesgo Industrial Mayor)",IF(D3="570","Riesgo de seguridad (Riesgo Locativo)",IF(D3="120-I","Riesgo Mecánico",IF(D3="330","Riesgo Físico",IF(D3="340","Riesgo Físico",IF(D3="360","Riesgo Físico",IF(D3="170","Riesgo Químico",IF(D3="130","Riesgo Ergonómico",IF(D3="380","Riesgo Físico",IF(D3="010-I","Riesgo de seguridad (Riesgo Mecánico)",IF(D3="020-I","Riesgo de seguridad (Riesgo Mecánico)",IF(D3="030-I","Riesgo de seguridad (Riesgo Mecánico)",IF(D3="040-I","Riesgo de seguridad (Riesgo Mecánico)",IF(D3="090-I","Riesgo de seguridad (Riesgo Mecánico)",IF(D3="110-I","Riesgo de seguridad (Riesgo Mecánico)",IF(D3="100-I","Riesgo de seguridad (Riesgo Mecánico)",IF(D3="230-I","Riesgo de seguridad (Riesgo Mecánico)",IF(D3="250a-I","Riesgo de seguridad (Riesgo Mecánico)",IF(D3="250b-I","Riesgo de seguridad (Riesgo Mecánico)",IF(D3="160-I","Riesgo de seguridad (Riesgo Eléctrico)",IF(D3="590","Riesgo de seguridad (Riesgo Mecánico)")))))))))))))))))))))))))))))))))))</f>
        <v/>
      </c>
      <c r="G3" s="107"/>
      <c r="H3" s="14" t="str">
        <f>IF(G3="","",IF(AND(G3&lt;=10,G3&gt;6),"MD",IF(AND(G3&lt;=6,G3&gt;2),"D",IF(AND(G3&lt;=2,G3&gt;0),"M",IF(G3=0,"B")))))</f>
        <v/>
      </c>
      <c r="I3" s="108"/>
      <c r="J3" s="14" t="str">
        <f>IF(I3=4,"EC",IF(I3=3,"EF",IF(I3=2,"EO",IF(I3=1,"EE",""))))</f>
        <v/>
      </c>
      <c r="K3" s="16" t="str">
        <f>IF(I3="","",G3*I3)</f>
        <v/>
      </c>
      <c r="L3" s="14" t="str">
        <f>IF(K3="","",IF(K3&gt;=24,"MA",IF(AND(K3&lt;24,K3&gt;8),"A",IF(AND(K3&lt;=8,K3&gt;4),"M",IF(AND(K3&lt;=4,K3&gt;=0),"B")))))</f>
        <v/>
      </c>
      <c r="M3" s="108"/>
      <c r="N3" s="14" t="str">
        <f>IF(M3="","",IF(M3=100,"M",IF(M3=60,"MG",IF(M3=25,"G",IF(M3=10,"L","")))))</f>
        <v/>
      </c>
      <c r="O3" s="58" t="str">
        <f>IF(M3="","",ROUND(M3*K3,0))</f>
        <v/>
      </c>
      <c r="P3" s="14" t="str">
        <f>IF(O3="","",IF(O3="","",IF(AND(O3&lt;=4000,O3&gt;500),"I",IF(AND(O3&lt;=500,O3&gt;120),"II",IF(AND(O3&lt;=120,O3&gt;20),"III",IF(O3&lt;=20,"IV"))))))</f>
        <v/>
      </c>
      <c r="Q3" s="69" t="str">
        <f>IF(P3="","",IF(P3="I","Situación Crítica.
Corrección urgente.",IF(P3="II","Corregir
y adoptar medidas de control.",IF(P3="III","Mejorar si es posible. Sería conveniente justificar la intervención y su rentabilidad.",IF(P3="IV","No intervenir, salvo que un análisis más preciso lo justifique.")))))</f>
        <v/>
      </c>
      <c r="R3" s="69" t="str">
        <f>IF(M3="","",IF(M3=10,"Pequeñas lesiones que no requieren hospitalización.",IF(M3=25,"Lesiones con incapacidad laboral transitoria (I. L. T.).",IF(M3=60,"Lesiones graves que pueden ser irreparables.",IF(M3=100,"1 muerto o más.")))))</f>
        <v/>
      </c>
      <c r="S3" s="69" t="s">
        <v>27</v>
      </c>
      <c r="T3" s="60"/>
      <c r="U3" s="36"/>
      <c r="V3" s="36"/>
    </row>
    <row r="4" spans="1:22" ht="15">
      <c r="A4" s="110"/>
      <c r="B4" s="55"/>
      <c r="C4" s="69" t="str">
        <f t="shared" ref="C4:C15" si="0">IF(D4="","",IF(D4="010-E","Trabajo en altura/ zonas con desnivel",IF(D4="020-E","Superficies irregulares u obstruidas",IF(D4="030-E","Estructuras inestables/ espacios confinados",IF(D4="040-E","Desprendimiento de objetos",IF(D4="090-E","Manipulación de máquinas/ herramientas",IF(D4="100-E","Operaciones de conformado",IF(D4="110-E","Objetos fijos o móviles",IF(D4="250a-E","Situaciones fortuitas",IF(D4="230-E","Colisión/ impacto vehicular",IF(D4="250b-E","Situaciones fortuitas",IF(D4="160-E","Energía eléctrica",IF(D4="150a-E","Fuentes de calor",IF(D4="150b-E","Fuentes de calor",IF(D4="150c-E","Fuentes de calor",IF(D4="570","Condiciones inadecuadas",IF(D4="120-I","Maquinaria pesada",IF(D4="330","Niveles sonoros",IF(D4="340","Movimientos oscilatorios",IF(D4="360","Fuentes emisoras de energía",IF(D4="170","Sustancias químicas",IF(D4="380","Niveles lumínicos",IF(D4="010-I","Trabajo en altura/ zonas con desnivel",IF(D4="020-I","Superficies irregulares u obstruidas",IF(D4="030-I","Estructuras inestables/ espacios confinados",IF(D4="040-I","Desprendimiento de objetos",IF(D4="090-I","Manipulación de máquinas/ herramientas",IF(D4="100-I","Operaciones de conformado",IF(D4="110-I","Objetos fijos o móviles",IF(D4="250a-I","Situaciones fortuitas",IF(D4="230-I","Colisión/ impacto vehicular",IF(D4="250b-I","Situaciones fortuitas",IF(D4="160-I","Energía eléctrica",IF(D4="390","Atmósferas contaminadas",IF(D4="130","Posturas forzadas/ manipulación manual de cargas")))))))))))))))))))))))))))))))))))</f>
        <v/>
      </c>
      <c r="D4" s="12"/>
      <c r="E4" s="69" t="str">
        <f>IF(D4="","",IF(D4="010-E","Caída de personas a distinto nivel",IF(D4="020-E","Caída de personas al mismo nivel",IF(D4="030-E","Caída de objetos por desplome",IF(D4="040-E","Caída de objetos en manipulación",IF(D4="090-E","Golpes/cortes por objetos o herramientas",IF(D4="110-E","Atrapamiento por o entre objetos",IF(D4="100-E","Proyección de fragmentos o partículas",IF(D4="230-E","Atropellos o golpes con vehículos",IF(D4="250a-E","Otros riesgos de accidente a) inherentes a la manipulación de herramientas eléctricas",IF(D4="250b-E","Otros riesgos de accidente b) Inherentes a la manipulación de herramientas manuales",IF(D4="160-E","Contactos Eléctricos",IF(D4="150a-E","Contactos térmicos a) inherentes al trabajador",IF(D4="150b-E","Contactos térmicos b) inherentes a la manipulación de elementos estructurales",IF(D4="150c-E","Contactos térmicos c) inherentes al proceso de soldadura",IF(D4="570","Organización del trabajo incorrecta",IF(D4="120-I","Atrapamiento por vuelco de máquinas",IF(D4="","",IF(D4="010-I","Caída de personas a distinto nivel",IF(D4="020-I","Caída de personas al mismo nivel",IF(D4="030-I","Caída de objetos por desplome",IF(D4="040-I","Caída de objetos en manipulación",IF(D4="090-I","Golpes/cortes por objetos o herramientas",IF(D4="110-I","Atrapamiento por o entre objetos",IF(D4="100-I","Proyección de fragmentos o partículas",IF(D4="230-I","Atropellos o golpes con vehículos",IF(D4="250a-I","Otros riesgos de accidente a) inherentes a la manipulación de herramientas eléctricas",IF(D4="250b-I","Otros riesgos de accidente b) Inherentes a la manipulación de herramientas manuales",IF(D4="390","Otra exposición a) asfixia o intoxicación",IF(D4="160-I","Contactos Eléctricos",IF(D4="570","Organización del trabajo incorrecta",IF(D4="120-I","Atrapamiento por vuelco de máquinas",IF(D4="330","Ruido",IF(D4="340","Vibración",IF(D4="360","Radiaciones ionizantes",IF(D4="170","Exposición a sustancias nocivas",IF(D4="130","Sobreesfuerzos",IF(D4="380","Iluminación",IF(D4="330","Ruido",IF(D4="340","Vibración",IF(D4="360","Radiaciones ionizantes",IF(D4="170","Exposición a sustancias nocivas",IF(D4="130","Sobreesfuerzos",IF(D4="380","Iluminación"))))))))))))))))))))))))))))))))))))))))))))</f>
        <v/>
      </c>
      <c r="F4" s="69" t="str">
        <f>IF(D4="","",IF(D4="010-E","Riesgo de seguridad (Riesgo Mecánico)",IF(D4="020-E","Riesgo de seguridad (Riesgo Mecánico)",IF(D4="030-E","Riesgo de seguridad (Riesgo Mecánico)",IF(D4="040-E","Riesgo de seguridad (Riesgo Mecánico)",IF(D4="090-E","Riesgo de seguridad (Riesgo Mecánico)",IF(D4="110-E","Riesgo de seguridad (Riesgo Mecánico)",IF(D4="100-E","Riesgo de seguridad (Riesgo Mecánico)",IF(D4="230-E","Riesgo de seguridad (Riesgo Mecánico)",IF(D4="250a-E","Riesgo de seguridad (Riesgo Mecánico)",IF(D4="250b-E","Riesgo de seguridad (Riesgo Mecánico)",IF(D4="160-E","Riesgo de seguridad (Riesgo Eléctrico)",IF(D4="150a-E","Riesgo de seguridad (Riesgo Industrial Mayor)",IF(D4="150b-E","Riesgo de seguridad (Riesgo Industrial Mayor)",IF(D4="150c-E","Riesgo de seguridad (Riesgo Industrial Mayor)",IF(D4="570","Riesgo de seguridad (Riesgo Locativo)",IF(D4="120-I","Riesgo Mecánico",IF(D4="330","Riesgo Físico",IF(D4="340","Riesgo Físico",IF(D4="360","Riesgo Físico",IF(D4="170","Riesgo Químico",IF(D4="130","Riesgo Ergonómico",IF(D4="380","Riesgo Físico",IF(D4="010-I","Riesgo de seguridad (Riesgo Mecánico)",IF(D4="020-I","Riesgo de seguridad (Riesgo Mecánico)",IF(D4="030-I","Riesgo de seguridad (Riesgo Mecánico)",IF(D4="040-I","Riesgo de seguridad (Riesgo Mecánico)",IF(D4="090-I","Riesgo de seguridad (Riesgo Mecánico)",IF(D4="110-I","Riesgo de seguridad (Riesgo Mecánico)",IF(D4="100-I","Riesgo de seguridad (Riesgo Mecánico)",IF(D4="230-I","Riesgo de seguridad (Riesgo Mecánico)",IF(D4="250a-I","Riesgo de seguridad (Riesgo Mecánico)",IF(D4="250b-I","Riesgo de seguridad (Riesgo Mecánico)",IF(D4="160-I","Riesgo de seguridad (Riesgo Eléctrico)",IF(D4="590","Riesgo de seguridad (Riesgo Mecánico)")))))))))))))))))))))))))))))))))))</f>
        <v/>
      </c>
      <c r="G4" s="13"/>
      <c r="H4" s="14" t="str">
        <f t="shared" ref="H4:H15" si="1">IF(G4="","",IF(AND(G4&lt;=10,G4&gt;6),"MD",IF(AND(G4&lt;=6,G4&gt;2),"D",IF(AND(G4&lt;=2,G4&gt;0),"M",IF(G4=0,"B")))))</f>
        <v/>
      </c>
      <c r="I4" s="15"/>
      <c r="J4" s="14" t="str">
        <f>IF(I4=4,"EC",IF(I4=3,"EF",IF(I4=2,"EO",IF(I4=1,"EE",""))))</f>
        <v/>
      </c>
      <c r="K4" s="16" t="str">
        <f>IF(I4="","",G4*I4)</f>
        <v/>
      </c>
      <c r="L4" s="14" t="str">
        <f t="shared" ref="L4:L15" si="2">IF(K4="","",IF(K4&gt;=24,"MA",IF(AND(K4&lt;24,K4&gt;8),"A",IF(AND(K4&lt;=8,K4&gt;4),"M",IF(AND(K4&lt;=4,K4&gt;=0),"B")))))</f>
        <v/>
      </c>
      <c r="M4" s="15"/>
      <c r="N4" s="14" t="str">
        <f>IF(M4="","",IF(M4=100,"M",IF(M4=60,"MG",IF(M4=25,"G",IF(M4=10,"L","")))))</f>
        <v/>
      </c>
      <c r="O4" s="58" t="str">
        <f t="shared" ref="O4:O15" si="3">IF(M4="","",ROUND(M4*K4,0))</f>
        <v/>
      </c>
      <c r="P4" s="14" t="str">
        <f t="shared" ref="P4:P15" si="4">IF(O4="","",IF(O4="","",IF(AND(O4&lt;=4000,O4&gt;500),"I",IF(AND(O4&lt;=500,O4&gt;120),"II",IF(AND(O4&lt;=120,O4&gt;20),"III",IF(O4&lt;=20,"IV"))))))</f>
        <v/>
      </c>
      <c r="Q4" s="69" t="str">
        <f t="shared" ref="Q4:Q15" si="5">IF(P4="","",IF(P4="I","Situación Crítica.
Corrección urgente.",IF(P4="II","Corregir
y adoptar medidas de control.",IF(P4="III","Mejorar si es posible. Sería conveniente justificar la intervención y su rentabilidad.",IF(P4="IV","No intervenir, salvo que un análisis más preciso lo justifique.")))))</f>
        <v/>
      </c>
      <c r="R4" s="69" t="str">
        <f t="shared" ref="R4:R15" si="6">IF(M4="","",IF(M4=10,"Pequeñas lesiones que no requieren hospitalización.",IF(M4=25,"Lesiones con incapacidad laboral transitoria (I. L. T.).",IF(M4=60,"Lesiones graves que pueden ser irreparables.",IF(M4=100,"1 muerto o más.")))))</f>
        <v/>
      </c>
      <c r="S4" s="69" t="s">
        <v>27</v>
      </c>
      <c r="T4" s="60"/>
      <c r="U4" s="36"/>
      <c r="V4" s="36"/>
    </row>
    <row r="5" spans="1:22" ht="15">
      <c r="A5" s="110"/>
      <c r="B5" s="55"/>
      <c r="C5" s="69" t="str">
        <f t="shared" si="0"/>
        <v/>
      </c>
      <c r="D5" s="12"/>
      <c r="E5" s="69" t="str">
        <f>IF(D5="","",IF(D5="010-E","Caída de personas a distinto nivel",IF(D5="020-E","Caída de personas al mismo nivel",IF(D5="030-E","Caída de objetos por desplome",IF(D5="040-E","Caída de objetos en manipulación",IF(D5="090-E","Golpes/cortes por objetos o herramientas",IF(D5="110-E","Atrapamiento por o entre objetos",IF(D5="100-E","Proyección de fragmentos o partículas",IF(D5="230-E","Atropellos o golpes con vehículos",IF(D5="250a-E","Otros riesgos de accidente a) inherentes a la manipulación de herramientas eléctricas",IF(D5="250b-E","Otros riesgos de accidente b) Inherentes a la manipulación de herramientas manuales",IF(D5="160-E","Contactos Eléctricos",IF(D5="150a-E","Contactos térmicos a) inherentes al trabajador",IF(D5="150b-E","Contactos térmicos b) inherentes a la manipulación de elementos estructurales",IF(D5="150c-E","Contactos térmicos c) inherentes al proceso de soldadura",IF(D5="570","Organización del trabajo incorrecta",IF(D5="120-I","Atrapamiento por vuelco de máquinas",IF(D5="","",IF(D5="010-I","Caída de personas a distinto nivel",IF(D5="020-I","Caída de personas al mismo nivel",IF(D5="030-I","Caída de objetos por desplome",IF(D5="040-I","Caída de objetos en manipulación",IF(D5="090-I","Golpes/cortes por objetos o herramientas",IF(D5="110-I","Atrapamiento por o entre objetos",IF(D5="100-I","Proyección de fragmentos o partículas",IF(D5="230-I","Atropellos o golpes con vehículos",IF(D5="250a-I","Otros riesgos de accidente a) inherentes a la manipulación de herramientas eléctricas",IF(D5="250b-I","Otros riesgos de accidente b) Inherentes a la manipulación de herramientas manuales",IF(D5="390","Otra exposición a) asfixia o intoxicación",IF(D5="160-I","Contactos Eléctricos",IF(D5="570","Organización del trabajo incorrecta",IF(D5="120-I","Atrapamiento por vuelco de máquinas",IF(D5="330","Ruido",IF(D5="340","Vibración",IF(D5="360","Radiaciones ionizantes",IF(D5="170","Exposición a sustancias nocivas",IF(D5="130","Sobreesfuerzos",IF(D5="380","Iluminación",IF(D5="330","Ruido",IF(D5="340","Vibración",IF(D5="360","Radiaciones ionizantes",IF(D5="170","Exposición a sustancias nocivas",IF(D5="130","Sobreesfuerzos",IF(D5="380","Iluminación"))))))))))))))))))))))))))))))))))))))))))))</f>
        <v/>
      </c>
      <c r="F5" s="69" t="str">
        <f>IF(D5="","",IF(D5="010-E","Riesgo de seguridad (Riesgo Mecánico)",IF(D5="020-E","Riesgo de seguridad (Riesgo Mecánico)",IF(D5="030-E","Riesgo de seguridad (Riesgo Mecánico)",IF(D5="040-E","Riesgo de seguridad (Riesgo Mecánico)",IF(D5="090-E","Riesgo de seguridad (Riesgo Mecánico)",IF(D5="110-E","Riesgo de seguridad (Riesgo Mecánico)",IF(D5="100-E","Riesgo de seguridad (Riesgo Mecánico)",IF(D5="230-E","Riesgo de seguridad (Riesgo Mecánico)",IF(D5="250a-E","Riesgo de seguridad (Riesgo Mecánico)",IF(D5="250b-E","Riesgo de seguridad (Riesgo Mecánico)",IF(D5="160-E","Riesgo de seguridad (Riesgo Eléctrico)",IF(D5="150a-E","Riesgo de seguridad (Riesgo Industrial Mayor)",IF(D5="150b-E","Riesgo de seguridad (Riesgo Industrial Mayor)",IF(D5="150c-E","Riesgo de seguridad (Riesgo Industrial Mayor)",IF(D5="570","Riesgo de seguridad (Riesgo Locativo)",IF(D5="120-I","Riesgo Mecánico",IF(D5="330","Riesgo Físico",IF(D5="340","Riesgo Físico",IF(D5="360","Riesgo Físico",IF(D5="170","Riesgo Químico",IF(D5="130","Riesgo Ergonómico",IF(D5="380","Riesgo Físico",IF(D5="010-I","Riesgo de seguridad (Riesgo Mecánico)",IF(D5="020-I","Riesgo de seguridad (Riesgo Mecánico)",IF(D5="030-I","Riesgo de seguridad (Riesgo Mecánico)",IF(D5="040-I","Riesgo de seguridad (Riesgo Mecánico)",IF(D5="090-I","Riesgo de seguridad (Riesgo Mecánico)",IF(D5="110-I","Riesgo de seguridad (Riesgo Mecánico)",IF(D5="100-I","Riesgo de seguridad (Riesgo Mecánico)",IF(D5="230-I","Riesgo de seguridad (Riesgo Mecánico)",IF(D5="250a-I","Riesgo de seguridad (Riesgo Mecánico)",IF(D5="250b-I","Riesgo de seguridad (Riesgo Mecánico)",IF(D5="160-I","Riesgo de seguridad (Riesgo Eléctrico)",IF(D5="590","Riesgo de seguridad (Riesgo Mecánico)")))))))))))))))))))))))))))))))))))</f>
        <v/>
      </c>
      <c r="G5" s="13"/>
      <c r="H5" s="14" t="str">
        <f t="shared" si="1"/>
        <v/>
      </c>
      <c r="I5" s="15"/>
      <c r="J5" s="14" t="str">
        <f>IF(I5=4,"EC",IF(I5=3,"EF",IF(I5=2,"EO",IF(I5=1,"EE",""))))</f>
        <v/>
      </c>
      <c r="K5" s="16" t="str">
        <f>IF(I5="","",G5*I5)</f>
        <v/>
      </c>
      <c r="L5" s="14" t="str">
        <f t="shared" si="2"/>
        <v/>
      </c>
      <c r="M5" s="15"/>
      <c r="N5" s="14" t="str">
        <f>IF(M5="","",IF(M5=100,"M",IF(M5=60,"MG",IF(M5=25,"G",IF(M5=10,"L","")))))</f>
        <v/>
      </c>
      <c r="O5" s="58" t="str">
        <f t="shared" si="3"/>
        <v/>
      </c>
      <c r="P5" s="14" t="str">
        <f t="shared" si="4"/>
        <v/>
      </c>
      <c r="Q5" s="69" t="str">
        <f t="shared" si="5"/>
        <v/>
      </c>
      <c r="R5" s="69" t="str">
        <f t="shared" si="6"/>
        <v/>
      </c>
      <c r="S5" s="69" t="s">
        <v>27</v>
      </c>
      <c r="T5" s="60"/>
      <c r="U5" s="36"/>
      <c r="V5" s="36"/>
    </row>
    <row r="6" spans="1:22">
      <c r="A6" s="110"/>
      <c r="B6" s="55"/>
      <c r="C6" s="69" t="str">
        <f t="shared" si="0"/>
        <v/>
      </c>
      <c r="D6" s="12"/>
      <c r="E6" s="69" t="str">
        <f>IF(D6="","",IF(D6="010-E","Caída de personas a distinto nivel",IF(D6="020-E","Caída de personas al mismo nivel",IF(D6="030-E","Caída de objetos por desplome",IF(D6="040-E","Caída de objetos en manipulación",IF(D6="090-E","Golpes/cortes por objetos o herramientas",IF(D6="110-E","Atrapamiento por o entre objetos",IF(D6="100-E","Proyección de fragmentos o partículas",IF(D6="230-E","Atropellos o golpes con vehículos",IF(D6="250a-E","Otros riesgos de accidente a) inherentes a la manipulación de herramientas eléctricas",IF(D6="250b-E","Otros riesgos de accidente b) Inherentes a la manipulación de herramientas manuales",IF(D6="160-E","Contactos Eléctricos",IF(D6="150a-E","Contactos térmicos a) inherentes al trabajador",IF(D6="150b-E","Contactos térmicos b) inherentes a la manipulación de elementos estructurales",IF(D6="150c-E","Contactos térmicos c) inherentes al proceso de soldadura",IF(D6="570","Organización del trabajo incorrecta",IF(D6="120-I","Atrapamiento por vuelco de máquinas",IF(D6="","",IF(D6="010-I","Caída de personas a distinto nivel",IF(D6="020-I","Caída de personas al mismo nivel",IF(D6="030-I","Caída de objetos por desplome",IF(D6="040-I","Caída de objetos en manipulación",IF(D6="090-I","Golpes/cortes por objetos o herramientas",IF(D6="110-I","Atrapamiento por o entre objetos",IF(D6="100-I","Proyección de fragmentos o partículas",IF(D6="230-I","Atropellos o golpes con vehículos",IF(D6="250a-I","Otros riesgos de accidente a) inherentes a la manipulación de herramientas eléctricas",IF(D6="250b-I","Otros riesgos de accidente b) Inherentes a la manipulación de herramientas manuales",IF(D6="390","Otra exposición a) asfixia o intoxicación",IF(D6="160-I","Contactos Eléctricos",IF(D6="570","Organización del trabajo incorrecta",IF(D6="120-I","Atrapamiento por vuelco de máquinas",IF(D6="330","Ruido",IF(D6="340","Vibración",IF(D6="360","Radiaciones ionizantes",IF(D6="170","Exposición a sustancias nocivas",IF(D6="130","Sobreesfuerzos",IF(D6="380","Iluminación",IF(D6="330","Ruido",IF(D6="340","Vibración",IF(D6="360","Radiaciones ionizantes",IF(D6="170","Exposición a sustancias nocivas",IF(D6="130","Sobreesfuerzos",IF(D6="380","Iluminación"))))))))))))))))))))))))))))))))))))))))))))</f>
        <v/>
      </c>
      <c r="F6" s="69" t="str">
        <f t="shared" ref="F6:F15" si="7">IF(D6="","",IF(D6="010-E","Riesgo de seguridad (Riesgo Mecánico)",IF(D6="020-E","Riesgo de seguridad (Riesgo Mecánico)",IF(D6="030-E","Riesgo de seguridad (Riesgo Mecánico)",IF(D6="040-E","Riesgo de seguridad (Riesgo Mecánico)",IF(D6="090-E","Riesgo de seguridad (Riesgo Mecánico)",IF(D6="110-E","Riesgo de seguridad (Riesgo Mecánico)",IF(D6="100-E","Riesgo de seguridad (Riesgo Mecánico)",IF(D6="230-E","Riesgo de seguridad (Riesgo Mecánico)",IF(D6="250a-E","Riesgo de seguridad (Riesgo Mecánico)",IF(D6="250b-E","Riesgo de seguridad (Riesgo Mecánico)",IF(D6="160-E","Riesgo de seguridad (Riesgo Eléctrico)",IF(D6="150a-E","Riesgo de seguridad (Riesgo Industrial Mayor)",IF(D6="150b-E","Riesgo de seguridad (Riesgo Industrial Mayor)",IF(D6="150c-E","Riesgo de seguridad (Riesgo Industrial Mayor)",IF(D6="570","Riesgo de seguridad (Riesgo Locativo)",IF(D6="120-I","Riesgo Mecánico",IF(D6="330","Riesgo Físico",IF(D6="340","Riesgo Físico",IF(D6="360","Riesgo Físico",IF(D6="170","Riesgo Químico",IF(D6="130","Riesgo Ergonómico",IF(D6="380","Riesgo Físico",IF(D6="010-I","Riesgo de seguridad (Riesgo Mecánico)",IF(D6="020-I","Riesgo de seguridad (Riesgo Mecánico)",IF(D6="030-I","Riesgo de seguridad (Riesgo Mecánico)",IF(D6="040-I","Riesgo de seguridad (Riesgo Mecánico)",IF(D6="090-I","Riesgo de seguridad (Riesgo Mecánico)",IF(D6="110-I","Riesgo de seguridad (Riesgo Mecánico)",IF(D6="100-I","Riesgo de seguridad (Riesgo Mecánico)",IF(D6="230-I","Riesgo de seguridad (Riesgo Mecánico)",IF(D6="250a-I","Riesgo de seguridad (Riesgo Mecánico)",IF(D6="250b-I","Riesgo de seguridad (Riesgo Mecánico)",IF(D6="160-I","Riesgo de seguridad (Riesgo Eléctrico)",IF(D6="590","Riesgo de seguridad (Riesgo Mecánico)")))))))))))))))))))))))))))))))))))</f>
        <v/>
      </c>
      <c r="G6" s="16"/>
      <c r="H6" s="14" t="str">
        <f t="shared" si="1"/>
        <v/>
      </c>
      <c r="I6" s="15"/>
      <c r="J6" s="14" t="str">
        <f>IF(I6=4,"EC",IF(I6=3,"EF",IF(I6=2,"EO",IF(I6=1,"EE",""))))</f>
        <v/>
      </c>
      <c r="K6" s="16" t="str">
        <f>IF(I6="","",G6*I6)</f>
        <v/>
      </c>
      <c r="L6" s="14" t="str">
        <f t="shared" si="2"/>
        <v/>
      </c>
      <c r="M6" s="15"/>
      <c r="N6" s="14" t="str">
        <f>IF(M6="","",IF(M6=100,"M",IF(M6=60,"MG",IF(M6=25,"G",IF(M6=10,"L","")))))</f>
        <v/>
      </c>
      <c r="O6" s="58" t="str">
        <f t="shared" si="3"/>
        <v/>
      </c>
      <c r="P6" s="14" t="str">
        <f t="shared" si="4"/>
        <v/>
      </c>
      <c r="Q6" s="69" t="str">
        <f t="shared" si="5"/>
        <v/>
      </c>
      <c r="R6" s="69" t="str">
        <f t="shared" si="6"/>
        <v/>
      </c>
      <c r="S6" s="69" t="s">
        <v>27</v>
      </c>
      <c r="T6" s="60"/>
    </row>
    <row r="7" spans="1:22">
      <c r="A7" s="110"/>
      <c r="B7" s="55"/>
      <c r="C7" s="69" t="str">
        <f t="shared" si="0"/>
        <v/>
      </c>
      <c r="D7" s="12"/>
      <c r="E7" s="69" t="str">
        <f t="shared" ref="E7:E15" si="8">IF(D7="","",IF(D7="010-E","Caída de personas a distinto nivel",IF(D7="020-E","Caída de personas al mismo nivel",IF(D7="030-E","Caída de objetos por desplome",IF(D7="040-E","Caída de objetos en manipulación",IF(D7="090-E","Golpes/cortes por objetos o herramientas",IF(D7="110-E","Atrapamiento por o entre objetos",IF(D7="100-E","Proyección de fragmentos o partículas",IF(D7="230-E","Atropellos o golpes con vehículos",IF(D7="250a-E","Otros riesgos de accidente a) inherentes a la manipulación de herramientas eléctricas",IF(D7="250b-E","Otros riesgos de accidente b) Inherentes a la manipulación de herramientas manuales",IF(D7="160-E","Contactos Eléctricos",IF(D7="150a-E","Contactos térmicos a) inherentes al trabajador",IF(D7="150b-E","Contactos térmicos b) inherentes a la manipulación de elementos estructurales",IF(D7="150c-E","Contactos térmicos c) inherentes al proceso de soldadura",IF(D7="570","Organización del trabajo incorrecta",IF(D7="120-I","Atrapamiento por vuelco de máquinas",IF(D7="","",IF(D7="010-I","Caída de personas a distinto nivel",IF(D7="020-I","Caída de personas al mismo nivel",IF(D7="030-I","Caída de objetos por desplome",IF(D7="040-I","Caída de objetos en manipulación",IF(D7="090-I","Golpes/cortes por objetos o herramientas",IF(D7="110-I","Atrapamiento por o entre objetos",IF(D7="100-I","Proyección de fragmentos o partículas",IF(D7="230-I","Atropellos o golpes con vehículos",IF(D7="250a-I","Otros riesgos de accidente a) inherentes a la manipulación de herramientas eléctricas",IF(D7="250b-I","Otros riesgos de accidente b) Inherentes a la manipulación de herramientas manuales",IF(D7="390","Otra exposición a) asfixia o intoxicación",IF(D7="160-I","Contactos Eléctricos",IF(D7="570","Organización del trabajo incorrecta",IF(D7="120-I","Atrapamiento por vuelco de máquinas",IF(D7="330","Ruido",IF(D7="340","Vibración",IF(D7="360","Radiaciones ionizantes",IF(D7="170","Exposición a sustancias nocivas",IF(D7="130","Sobreesfuerzos",IF(D7="380","Iluminación",IF(D7="330","Ruido",IF(D7="340","Vibración",IF(D7="360","Radiaciones ionizantes",IF(D7="170","Exposición a sustancias nocivas",IF(D7="130","Sobreesfuerzos",IF(D7="380","Iluminación"))))))))))))))))))))))))))))))))))))))))))))</f>
        <v/>
      </c>
      <c r="F7" s="69" t="str">
        <f t="shared" si="7"/>
        <v/>
      </c>
      <c r="G7" s="17"/>
      <c r="H7" s="14" t="str">
        <f t="shared" si="1"/>
        <v/>
      </c>
      <c r="I7" s="15"/>
      <c r="J7" s="14" t="str">
        <f t="shared" ref="J7:J15" si="9">IF(I7=4,"EC",IF(I7=3,"EF",IF(I7=2,"EO",IF(I7=1,"EE",""))))</f>
        <v/>
      </c>
      <c r="K7" s="16" t="str">
        <f t="shared" ref="K7:K14" si="10">IF(I7="","",G7*I7)</f>
        <v/>
      </c>
      <c r="L7" s="14" t="str">
        <f t="shared" si="2"/>
        <v/>
      </c>
      <c r="M7" s="15"/>
      <c r="N7" s="14" t="str">
        <f t="shared" ref="N7:N14" si="11">IF(M7="","",IF(M7=100,"M",IF(M7=60,"MG",IF(M7=25,"G",IF(M7=10,"L","")))))</f>
        <v/>
      </c>
      <c r="O7" s="58" t="str">
        <f t="shared" si="3"/>
        <v/>
      </c>
      <c r="P7" s="14" t="str">
        <f t="shared" si="4"/>
        <v/>
      </c>
      <c r="Q7" s="69" t="str">
        <f t="shared" si="5"/>
        <v/>
      </c>
      <c r="R7" s="69" t="str">
        <f t="shared" si="6"/>
        <v/>
      </c>
      <c r="S7" s="69" t="s">
        <v>27</v>
      </c>
      <c r="T7" s="60"/>
    </row>
    <row r="8" spans="1:22">
      <c r="A8" s="110"/>
      <c r="B8" s="55"/>
      <c r="C8" s="69" t="str">
        <f t="shared" si="0"/>
        <v/>
      </c>
      <c r="D8" s="12"/>
      <c r="E8" s="69" t="str">
        <f t="shared" si="8"/>
        <v/>
      </c>
      <c r="F8" s="69" t="str">
        <f t="shared" si="7"/>
        <v/>
      </c>
      <c r="G8" s="17"/>
      <c r="H8" s="14" t="str">
        <f t="shared" si="1"/>
        <v/>
      </c>
      <c r="I8" s="15"/>
      <c r="J8" s="14" t="str">
        <f t="shared" si="9"/>
        <v/>
      </c>
      <c r="K8" s="16" t="str">
        <f t="shared" si="10"/>
        <v/>
      </c>
      <c r="L8" s="14" t="str">
        <f t="shared" si="2"/>
        <v/>
      </c>
      <c r="M8" s="15"/>
      <c r="N8" s="14" t="str">
        <f t="shared" si="11"/>
        <v/>
      </c>
      <c r="O8" s="58" t="str">
        <f t="shared" si="3"/>
        <v/>
      </c>
      <c r="P8" s="14" t="str">
        <f t="shared" si="4"/>
        <v/>
      </c>
      <c r="Q8" s="69" t="str">
        <f t="shared" si="5"/>
        <v/>
      </c>
      <c r="R8" s="69" t="str">
        <f t="shared" si="6"/>
        <v/>
      </c>
      <c r="S8" s="69" t="s">
        <v>27</v>
      </c>
      <c r="T8" s="60"/>
    </row>
    <row r="9" spans="1:22">
      <c r="A9" s="110"/>
      <c r="B9" s="55"/>
      <c r="C9" s="69" t="str">
        <f t="shared" si="0"/>
        <v/>
      </c>
      <c r="D9" s="12"/>
      <c r="E9" s="69" t="str">
        <f t="shared" si="8"/>
        <v/>
      </c>
      <c r="F9" s="69" t="str">
        <f t="shared" si="7"/>
        <v/>
      </c>
      <c r="G9" s="17"/>
      <c r="H9" s="14" t="str">
        <f t="shared" si="1"/>
        <v/>
      </c>
      <c r="I9" s="15"/>
      <c r="J9" s="14" t="str">
        <f t="shared" si="9"/>
        <v/>
      </c>
      <c r="K9" s="16" t="str">
        <f t="shared" si="10"/>
        <v/>
      </c>
      <c r="L9" s="14" t="str">
        <f t="shared" si="2"/>
        <v/>
      </c>
      <c r="M9" s="15"/>
      <c r="N9" s="14" t="str">
        <f t="shared" si="11"/>
        <v/>
      </c>
      <c r="O9" s="58" t="str">
        <f t="shared" si="3"/>
        <v/>
      </c>
      <c r="P9" s="14" t="str">
        <f t="shared" si="4"/>
        <v/>
      </c>
      <c r="Q9" s="69" t="str">
        <f t="shared" si="5"/>
        <v/>
      </c>
      <c r="R9" s="69" t="str">
        <f t="shared" si="6"/>
        <v/>
      </c>
      <c r="S9" s="69" t="s">
        <v>27</v>
      </c>
      <c r="T9" s="60"/>
    </row>
    <row r="10" spans="1:22">
      <c r="A10" s="110"/>
      <c r="B10" s="55"/>
      <c r="C10" s="69" t="str">
        <f t="shared" si="0"/>
        <v/>
      </c>
      <c r="D10" s="12"/>
      <c r="E10" s="69" t="str">
        <f t="shared" si="8"/>
        <v/>
      </c>
      <c r="F10" s="69" t="str">
        <f t="shared" si="7"/>
        <v/>
      </c>
      <c r="G10" s="17"/>
      <c r="H10" s="14" t="str">
        <f t="shared" si="1"/>
        <v/>
      </c>
      <c r="I10" s="15"/>
      <c r="J10" s="14" t="str">
        <f t="shared" si="9"/>
        <v/>
      </c>
      <c r="K10" s="16" t="str">
        <f t="shared" si="10"/>
        <v/>
      </c>
      <c r="L10" s="14" t="str">
        <f t="shared" si="2"/>
        <v/>
      </c>
      <c r="M10" s="15"/>
      <c r="N10" s="14" t="str">
        <f t="shared" si="11"/>
        <v/>
      </c>
      <c r="O10" s="58" t="str">
        <f t="shared" si="3"/>
        <v/>
      </c>
      <c r="P10" s="14" t="str">
        <f t="shared" si="4"/>
        <v/>
      </c>
      <c r="Q10" s="69" t="str">
        <f t="shared" si="5"/>
        <v/>
      </c>
      <c r="R10" s="69" t="str">
        <f t="shared" si="6"/>
        <v/>
      </c>
      <c r="S10" s="69" t="s">
        <v>27</v>
      </c>
      <c r="T10" s="60"/>
    </row>
    <row r="11" spans="1:22">
      <c r="A11" s="110"/>
      <c r="B11" s="55"/>
      <c r="C11" s="69" t="str">
        <f t="shared" si="0"/>
        <v/>
      </c>
      <c r="D11" s="12"/>
      <c r="E11" s="69" t="str">
        <f t="shared" si="8"/>
        <v/>
      </c>
      <c r="F11" s="69" t="str">
        <f t="shared" si="7"/>
        <v/>
      </c>
      <c r="G11" s="17"/>
      <c r="H11" s="14" t="str">
        <f t="shared" si="1"/>
        <v/>
      </c>
      <c r="I11" s="15"/>
      <c r="J11" s="14" t="str">
        <f t="shared" si="9"/>
        <v/>
      </c>
      <c r="K11" s="16" t="str">
        <f t="shared" si="10"/>
        <v/>
      </c>
      <c r="L11" s="14" t="str">
        <f t="shared" si="2"/>
        <v/>
      </c>
      <c r="M11" s="15"/>
      <c r="N11" s="14" t="str">
        <f t="shared" si="11"/>
        <v/>
      </c>
      <c r="O11" s="58" t="str">
        <f t="shared" si="3"/>
        <v/>
      </c>
      <c r="P11" s="14" t="str">
        <f t="shared" si="4"/>
        <v/>
      </c>
      <c r="Q11" s="69" t="str">
        <f t="shared" si="5"/>
        <v/>
      </c>
      <c r="R11" s="69" t="str">
        <f t="shared" si="6"/>
        <v/>
      </c>
      <c r="S11" s="69" t="s">
        <v>27</v>
      </c>
      <c r="T11" s="60"/>
    </row>
    <row r="12" spans="1:22">
      <c r="A12" s="110"/>
      <c r="B12" s="55"/>
      <c r="C12" s="69" t="str">
        <f t="shared" si="0"/>
        <v/>
      </c>
      <c r="D12" s="12"/>
      <c r="E12" s="69" t="str">
        <f t="shared" si="8"/>
        <v/>
      </c>
      <c r="F12" s="69" t="str">
        <f t="shared" si="7"/>
        <v/>
      </c>
      <c r="G12" s="17"/>
      <c r="H12" s="14" t="str">
        <f t="shared" si="1"/>
        <v/>
      </c>
      <c r="I12" s="15"/>
      <c r="J12" s="14" t="str">
        <f t="shared" si="9"/>
        <v/>
      </c>
      <c r="K12" s="16" t="str">
        <f t="shared" si="10"/>
        <v/>
      </c>
      <c r="L12" s="14" t="str">
        <f t="shared" si="2"/>
        <v/>
      </c>
      <c r="M12" s="15"/>
      <c r="N12" s="14" t="str">
        <f t="shared" si="11"/>
        <v/>
      </c>
      <c r="O12" s="58" t="str">
        <f t="shared" si="3"/>
        <v/>
      </c>
      <c r="P12" s="14" t="str">
        <f t="shared" si="4"/>
        <v/>
      </c>
      <c r="Q12" s="69" t="str">
        <f t="shared" si="5"/>
        <v/>
      </c>
      <c r="R12" s="69" t="str">
        <f t="shared" si="6"/>
        <v/>
      </c>
      <c r="S12" s="69" t="s">
        <v>27</v>
      </c>
      <c r="T12" s="60"/>
    </row>
    <row r="13" spans="1:22">
      <c r="A13" s="110"/>
      <c r="B13" s="55"/>
      <c r="C13" s="69" t="str">
        <f t="shared" si="0"/>
        <v/>
      </c>
      <c r="D13" s="12"/>
      <c r="E13" s="69" t="str">
        <f t="shared" si="8"/>
        <v/>
      </c>
      <c r="F13" s="69" t="str">
        <f t="shared" si="7"/>
        <v/>
      </c>
      <c r="G13" s="17"/>
      <c r="H13" s="14" t="str">
        <f t="shared" si="1"/>
        <v/>
      </c>
      <c r="I13" s="15"/>
      <c r="J13" s="14" t="str">
        <f t="shared" si="9"/>
        <v/>
      </c>
      <c r="K13" s="16" t="str">
        <f t="shared" si="10"/>
        <v/>
      </c>
      <c r="L13" s="14" t="str">
        <f t="shared" si="2"/>
        <v/>
      </c>
      <c r="M13" s="15"/>
      <c r="N13" s="14" t="str">
        <f t="shared" si="11"/>
        <v/>
      </c>
      <c r="O13" s="58" t="str">
        <f t="shared" si="3"/>
        <v/>
      </c>
      <c r="P13" s="14" t="str">
        <f t="shared" si="4"/>
        <v/>
      </c>
      <c r="Q13" s="69" t="str">
        <f t="shared" si="5"/>
        <v/>
      </c>
      <c r="R13" s="69" t="str">
        <f t="shared" si="6"/>
        <v/>
      </c>
      <c r="S13" s="69" t="s">
        <v>27</v>
      </c>
      <c r="T13" s="60"/>
    </row>
    <row r="14" spans="1:22">
      <c r="A14" s="110"/>
      <c r="B14" s="55"/>
      <c r="C14" s="69" t="str">
        <f t="shared" si="0"/>
        <v/>
      </c>
      <c r="D14" s="12"/>
      <c r="E14" s="69" t="str">
        <f t="shared" si="8"/>
        <v/>
      </c>
      <c r="F14" s="69" t="str">
        <f t="shared" si="7"/>
        <v/>
      </c>
      <c r="G14" s="17"/>
      <c r="H14" s="14" t="str">
        <f t="shared" si="1"/>
        <v/>
      </c>
      <c r="I14" s="15"/>
      <c r="J14" s="14" t="str">
        <f t="shared" si="9"/>
        <v/>
      </c>
      <c r="K14" s="16" t="str">
        <f t="shared" si="10"/>
        <v/>
      </c>
      <c r="L14" s="14" t="str">
        <f t="shared" si="2"/>
        <v/>
      </c>
      <c r="M14" s="15"/>
      <c r="N14" s="14" t="str">
        <f t="shared" si="11"/>
        <v/>
      </c>
      <c r="O14" s="58" t="str">
        <f t="shared" si="3"/>
        <v/>
      </c>
      <c r="P14" s="14" t="str">
        <f t="shared" si="4"/>
        <v/>
      </c>
      <c r="Q14" s="69" t="str">
        <f t="shared" si="5"/>
        <v/>
      </c>
      <c r="R14" s="69" t="str">
        <f t="shared" si="6"/>
        <v/>
      </c>
      <c r="S14" s="69" t="s">
        <v>27</v>
      </c>
      <c r="T14" s="60"/>
    </row>
    <row r="15" spans="1:22">
      <c r="A15" s="110"/>
      <c r="B15" s="55"/>
      <c r="C15" s="69" t="str">
        <f t="shared" si="0"/>
        <v/>
      </c>
      <c r="D15" s="12"/>
      <c r="E15" s="69" t="str">
        <f t="shared" si="8"/>
        <v/>
      </c>
      <c r="F15" s="69" t="str">
        <f t="shared" si="7"/>
        <v/>
      </c>
      <c r="G15" s="17"/>
      <c r="H15" s="14" t="str">
        <f t="shared" si="1"/>
        <v/>
      </c>
      <c r="I15" s="15"/>
      <c r="J15" s="14" t="str">
        <f t="shared" si="9"/>
        <v/>
      </c>
      <c r="K15" s="16" t="str">
        <f>IF(I15="","",G15*I15)</f>
        <v/>
      </c>
      <c r="L15" s="14" t="str">
        <f t="shared" si="2"/>
        <v/>
      </c>
      <c r="M15" s="15"/>
      <c r="N15" s="14" t="str">
        <f>IF(M15="","",IF(M15=100,"M",IF(M15=60,"MG",IF(M15=25,"G",IF(M15=10,"L","")))))</f>
        <v/>
      </c>
      <c r="O15" s="58" t="str">
        <f t="shared" si="3"/>
        <v/>
      </c>
      <c r="P15" s="14" t="str">
        <f t="shared" si="4"/>
        <v/>
      </c>
      <c r="Q15" s="69" t="str">
        <f t="shared" si="5"/>
        <v/>
      </c>
      <c r="R15" s="69" t="str">
        <f t="shared" si="6"/>
        <v/>
      </c>
      <c r="S15" s="69" t="s">
        <v>27</v>
      </c>
      <c r="T15" s="60"/>
    </row>
    <row r="16" spans="1:22">
      <c r="C16" s="23"/>
      <c r="D16" s="37"/>
      <c r="E16" s="23"/>
      <c r="F16" s="23"/>
    </row>
    <row r="17" spans="3:6">
      <c r="C17" s="23"/>
      <c r="D17" s="37"/>
      <c r="E17" s="23"/>
      <c r="F17" s="23"/>
    </row>
    <row r="18" spans="3:6">
      <c r="C18" s="23"/>
      <c r="D18" s="37"/>
      <c r="E18" s="23"/>
      <c r="F18" s="23"/>
    </row>
    <row r="19" spans="3:6">
      <c r="C19" s="23"/>
      <c r="D19" s="37"/>
      <c r="E19" s="23"/>
      <c r="F19" s="23"/>
    </row>
    <row r="20" spans="3:6">
      <c r="C20" s="23"/>
      <c r="D20" s="37"/>
      <c r="E20" s="23"/>
      <c r="F20" s="23"/>
    </row>
    <row r="21" spans="3:6">
      <c r="C21" s="23"/>
      <c r="D21" s="37"/>
      <c r="E21" s="23"/>
      <c r="F21" s="23"/>
    </row>
    <row r="22" spans="3:6">
      <c r="C22" s="23"/>
      <c r="D22" s="37"/>
      <c r="E22" s="23"/>
      <c r="F22" s="23"/>
    </row>
  </sheetData>
  <mergeCells count="6">
    <mergeCell ref="A1:A2"/>
    <mergeCell ref="B1:B2"/>
    <mergeCell ref="C1:F1"/>
    <mergeCell ref="G1:Q1"/>
    <mergeCell ref="R1:S1"/>
    <mergeCell ref="A3:A15"/>
  </mergeCells>
  <conditionalFormatting sqref="H3:H15">
    <cfRule type="expression" dxfId="20" priority="17">
      <formula>$G3=""</formula>
    </cfRule>
    <cfRule type="expression" dxfId="19" priority="18">
      <formula>$H3="B"</formula>
    </cfRule>
    <cfRule type="expression" dxfId="18" priority="19">
      <formula>$H3="M"</formula>
    </cfRule>
    <cfRule type="expression" dxfId="17" priority="20">
      <formula>$H3="D"</formula>
    </cfRule>
    <cfRule type="expression" dxfId="16" priority="21">
      <formula>$H3="MD"</formula>
    </cfRule>
  </conditionalFormatting>
  <conditionalFormatting sqref="J3:J15">
    <cfRule type="expression" dxfId="15" priority="13">
      <formula>$I3=1</formula>
    </cfRule>
    <cfRule type="expression" dxfId="14" priority="14">
      <formula>$I3=2</formula>
    </cfRule>
    <cfRule type="expression" dxfId="13" priority="15">
      <formula>$I3=3</formula>
    </cfRule>
    <cfRule type="expression" dxfId="12" priority="16">
      <formula>$I3=4</formula>
    </cfRule>
  </conditionalFormatting>
  <conditionalFormatting sqref="L3:L15">
    <cfRule type="expression" dxfId="11" priority="1">
      <formula>$L3="B"</formula>
    </cfRule>
    <cfRule type="expression" dxfId="10" priority="2">
      <formula>$L3="M"</formula>
    </cfRule>
    <cfRule type="expression" dxfId="9" priority="3">
      <formula>$L3="A"</formula>
    </cfRule>
    <cfRule type="expression" dxfId="8" priority="4">
      <formula>$L3="MA"</formula>
    </cfRule>
  </conditionalFormatting>
  <conditionalFormatting sqref="N3:N15">
    <cfRule type="expression" dxfId="7" priority="9">
      <formula>$M3=10</formula>
    </cfRule>
    <cfRule type="expression" dxfId="6" priority="10">
      <formula>$M3=25</formula>
    </cfRule>
    <cfRule type="expression" dxfId="5" priority="11">
      <formula>$M3=60</formula>
    </cfRule>
    <cfRule type="expression" dxfId="4" priority="12">
      <formula>$M3=100</formula>
    </cfRule>
  </conditionalFormatting>
  <conditionalFormatting sqref="P3:P15">
    <cfRule type="expression" dxfId="3" priority="5">
      <formula>$P3="IV"</formula>
    </cfRule>
    <cfRule type="expression" dxfId="2" priority="6">
      <formula>$P3="III"</formula>
    </cfRule>
    <cfRule type="expression" dxfId="1" priority="7">
      <formula>$P3="II"</formula>
    </cfRule>
    <cfRule type="expression" dxfId="0" priority="8">
      <formula>$P3="I"</formula>
    </cfRule>
  </conditionalFormatting>
  <hyperlinks>
    <hyperlink ref="U2" location="'I-Resumen'!A1" display="'I-Resumen'!A1" xr:uid="{6A513B0A-7F7A-40FA-AD3B-DCC4AE42282D}"/>
  </hyperlink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C62E-81A6-4FA5-B648-0F66D60F1F42}">
  <dimension ref="A1:J14"/>
  <sheetViews>
    <sheetView workbookViewId="0">
      <pane xSplit="4" ySplit="4" topLeftCell="E5" activePane="bottomRight" state="frozen"/>
      <selection activeCell="A3" sqref="A3:J15"/>
      <selection pane="topRight" activeCell="A3" sqref="A3:J15"/>
      <selection pane="bottomLeft" activeCell="A3" sqref="A3:J15"/>
      <selection pane="bottomRight"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23</v>
      </c>
      <c r="D3" s="24" t="s">
        <v>24</v>
      </c>
      <c r="E3" s="81">
        <v>570</v>
      </c>
      <c r="F3" s="81"/>
      <c r="G3" s="81"/>
      <c r="H3" s="81"/>
      <c r="I3" s="81"/>
      <c r="J3" s="81"/>
    </row>
    <row r="4" spans="1:10" ht="60">
      <c r="A4" s="25" t="s">
        <v>25</v>
      </c>
      <c r="B4" s="77" t="s">
        <v>26</v>
      </c>
      <c r="C4" s="77"/>
      <c r="D4" s="77"/>
      <c r="E4" s="25" t="s">
        <v>27</v>
      </c>
      <c r="F4" s="25" t="s">
        <v>28</v>
      </c>
      <c r="G4" s="25" t="s">
        <v>284</v>
      </c>
      <c r="H4" s="25" t="s">
        <v>294</v>
      </c>
      <c r="I4" s="25" t="s">
        <v>295</v>
      </c>
      <c r="J4" s="25" t="s">
        <v>298</v>
      </c>
    </row>
    <row r="5" spans="1:10" ht="34.5" customHeight="1">
      <c r="A5" s="25">
        <v>1</v>
      </c>
      <c r="B5" s="81" t="s">
        <v>299</v>
      </c>
      <c r="C5" s="81"/>
      <c r="D5" s="81"/>
      <c r="E5" s="27"/>
      <c r="F5" s="52"/>
      <c r="G5" s="27"/>
      <c r="H5" s="27">
        <v>10</v>
      </c>
      <c r="I5" s="30">
        <f>(H5*10)/SUM($H$5:$H$13)</f>
        <v>1.3513513513513513</v>
      </c>
      <c r="J5" s="28">
        <f>IF(F5="X",((H5*10)/SUM($H$5:$H$13)),0)</f>
        <v>0</v>
      </c>
    </row>
    <row r="6" spans="1:10" ht="21" customHeight="1">
      <c r="A6" s="25">
        <v>2</v>
      </c>
      <c r="B6" s="81" t="s">
        <v>29</v>
      </c>
      <c r="C6" s="81"/>
      <c r="D6" s="81"/>
      <c r="E6" s="27"/>
      <c r="F6" s="52"/>
      <c r="G6" s="27"/>
      <c r="H6" s="27">
        <v>10</v>
      </c>
      <c r="I6" s="30">
        <f t="shared" ref="I6:I13" si="0">(H6*10)/SUM($H$5:$H$13)</f>
        <v>1.3513513513513513</v>
      </c>
      <c r="J6" s="28">
        <f t="shared" ref="J6:J13" si="1">IF(F6="X",((H6*10)/SUM($H$5:$H$13)),0)</f>
        <v>0</v>
      </c>
    </row>
    <row r="7" spans="1:10" ht="33" customHeight="1">
      <c r="A7" s="25">
        <v>3</v>
      </c>
      <c r="B7" s="81" t="s">
        <v>30</v>
      </c>
      <c r="C7" s="81"/>
      <c r="D7" s="81"/>
      <c r="E7" s="52"/>
      <c r="F7" s="27"/>
      <c r="G7" s="27"/>
      <c r="H7" s="27">
        <v>6</v>
      </c>
      <c r="I7" s="30">
        <f t="shared" si="0"/>
        <v>0.81081081081081086</v>
      </c>
      <c r="J7" s="28">
        <f t="shared" si="1"/>
        <v>0</v>
      </c>
    </row>
    <row r="8" spans="1:10" ht="60" customHeight="1">
      <c r="A8" s="25">
        <v>4</v>
      </c>
      <c r="B8" s="81" t="s">
        <v>31</v>
      </c>
      <c r="C8" s="81"/>
      <c r="D8" s="81"/>
      <c r="E8" s="27"/>
      <c r="F8" s="52"/>
      <c r="G8" s="27"/>
      <c r="H8" s="27">
        <v>10</v>
      </c>
      <c r="I8" s="30">
        <f t="shared" si="0"/>
        <v>1.3513513513513513</v>
      </c>
      <c r="J8" s="28">
        <f t="shared" si="1"/>
        <v>0</v>
      </c>
    </row>
    <row r="9" spans="1:10" ht="33" customHeight="1">
      <c r="A9" s="25">
        <v>5</v>
      </c>
      <c r="B9" s="81" t="s">
        <v>32</v>
      </c>
      <c r="C9" s="81"/>
      <c r="D9" s="81"/>
      <c r="E9" s="27"/>
      <c r="F9" s="52"/>
      <c r="G9" s="27"/>
      <c r="H9" s="27">
        <v>6</v>
      </c>
      <c r="I9" s="30">
        <f t="shared" si="0"/>
        <v>0.81081081081081086</v>
      </c>
      <c r="J9" s="28">
        <f t="shared" si="1"/>
        <v>0</v>
      </c>
    </row>
    <row r="10" spans="1:10" ht="34.5" customHeight="1">
      <c r="A10" s="25">
        <v>6</v>
      </c>
      <c r="B10" s="81" t="s">
        <v>33</v>
      </c>
      <c r="C10" s="81"/>
      <c r="D10" s="81"/>
      <c r="E10" s="27"/>
      <c r="F10" s="52"/>
      <c r="G10" s="27"/>
      <c r="H10" s="27">
        <v>6</v>
      </c>
      <c r="I10" s="30">
        <f t="shared" si="0"/>
        <v>0.81081081081081086</v>
      </c>
      <c r="J10" s="28">
        <f t="shared" si="1"/>
        <v>0</v>
      </c>
    </row>
    <row r="11" spans="1:10" ht="74.25" customHeight="1">
      <c r="A11" s="25">
        <v>7</v>
      </c>
      <c r="B11" s="81" t="s">
        <v>34</v>
      </c>
      <c r="C11" s="81"/>
      <c r="D11" s="81"/>
      <c r="E11" s="52"/>
      <c r="F11" s="27"/>
      <c r="G11" s="27"/>
      <c r="H11" s="27">
        <v>10</v>
      </c>
      <c r="I11" s="30">
        <f t="shared" si="0"/>
        <v>1.3513513513513513</v>
      </c>
      <c r="J11" s="28">
        <f>IF(F11="X",((H11*10)/SUM($H$5:$H$13)),0)</f>
        <v>0</v>
      </c>
    </row>
    <row r="12" spans="1:10" ht="32.25" customHeight="1">
      <c r="A12" s="25">
        <v>8</v>
      </c>
      <c r="B12" s="81" t="s">
        <v>35</v>
      </c>
      <c r="C12" s="81"/>
      <c r="D12" s="81"/>
      <c r="E12" s="27"/>
      <c r="F12" s="52"/>
      <c r="G12" s="27"/>
      <c r="H12" s="27">
        <v>10</v>
      </c>
      <c r="I12" s="30">
        <f t="shared" si="0"/>
        <v>1.3513513513513513</v>
      </c>
      <c r="J12" s="28">
        <f t="shared" si="1"/>
        <v>0</v>
      </c>
    </row>
    <row r="13" spans="1:10" ht="51" customHeight="1">
      <c r="A13" s="25">
        <v>9</v>
      </c>
      <c r="B13" s="81" t="s">
        <v>36</v>
      </c>
      <c r="C13" s="81"/>
      <c r="D13" s="81"/>
      <c r="E13" s="52"/>
      <c r="F13" s="27"/>
      <c r="G13" s="27"/>
      <c r="H13" s="27">
        <v>6</v>
      </c>
      <c r="I13" s="30">
        <f t="shared" si="0"/>
        <v>0.81081081081081086</v>
      </c>
      <c r="J13" s="28">
        <f t="shared" si="1"/>
        <v>0</v>
      </c>
    </row>
    <row r="14" spans="1:10" ht="15" customHeight="1">
      <c r="A14" s="82" t="s">
        <v>37</v>
      </c>
      <c r="B14" s="83"/>
      <c r="C14" s="83"/>
      <c r="D14" s="83"/>
      <c r="E14" s="83"/>
      <c r="F14" s="83"/>
      <c r="G14" s="83"/>
      <c r="H14" s="83"/>
      <c r="I14" s="41">
        <f>SUM(I5:I13)</f>
        <v>9.9999999999999982</v>
      </c>
      <c r="J14" s="29">
        <f>SUM(J5:J13)</f>
        <v>0</v>
      </c>
    </row>
  </sheetData>
  <mergeCells count="17">
    <mergeCell ref="A14:H14"/>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2BD6B-C2AC-4971-9EFC-AAEFCDBA2B8A}">
  <dimension ref="A1:J14"/>
  <sheetViews>
    <sheetView workbookViewId="0">
      <pane xSplit="4" ySplit="4" topLeftCell="E5" activePane="bottomRight" state="frozen"/>
      <selection activeCell="C3" sqref="C3"/>
      <selection pane="topRight" activeCell="C3" sqref="C3"/>
      <selection pane="bottomLeft" activeCell="C3" sqref="C3"/>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39</v>
      </c>
      <c r="E3" s="103" t="s">
        <v>301</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42.75" customHeight="1">
      <c r="A5" s="25">
        <v>1</v>
      </c>
      <c r="B5" s="103" t="s">
        <v>302</v>
      </c>
      <c r="C5" s="103"/>
      <c r="D5" s="103"/>
      <c r="E5" s="52"/>
      <c r="F5" s="52"/>
      <c r="G5" s="52"/>
      <c r="H5" s="39">
        <v>10</v>
      </c>
      <c r="I5" s="50">
        <f>IF(H5="","",((H5*10)/SUM($H$5:$H$13)))</f>
        <v>1.6129032258064515</v>
      </c>
      <c r="J5" s="28">
        <f>IF(F5="X",((H5*10)/SUM($H$5:$H$13)),0)</f>
        <v>0</v>
      </c>
    </row>
    <row r="6" spans="1:10" ht="42.75" customHeight="1">
      <c r="A6" s="25">
        <v>2</v>
      </c>
      <c r="B6" s="103" t="s">
        <v>303</v>
      </c>
      <c r="C6" s="103"/>
      <c r="D6" s="103"/>
      <c r="E6" s="52"/>
      <c r="F6" s="52"/>
      <c r="G6" s="52"/>
      <c r="H6" s="39">
        <v>10</v>
      </c>
      <c r="I6" s="50">
        <f t="shared" ref="I6:I13" si="0">IF(H6="","",((H6*10)/SUM($H$5:$H$13)))</f>
        <v>1.6129032258064515</v>
      </c>
      <c r="J6" s="28">
        <f t="shared" ref="J6:J13" si="1">IF(F6="X",((H6*10)/SUM($H$5:$H$13)),0)</f>
        <v>0</v>
      </c>
    </row>
    <row r="7" spans="1:10" ht="28.5" customHeight="1">
      <c r="A7" s="25">
        <v>3</v>
      </c>
      <c r="B7" s="103" t="s">
        <v>217</v>
      </c>
      <c r="C7" s="103"/>
      <c r="D7" s="103"/>
      <c r="E7" s="52"/>
      <c r="F7" s="52"/>
      <c r="G7" s="52"/>
      <c r="H7" s="39">
        <v>10</v>
      </c>
      <c r="I7" s="50">
        <f t="shared" si="0"/>
        <v>1.6129032258064515</v>
      </c>
      <c r="J7" s="28">
        <f t="shared" si="1"/>
        <v>0</v>
      </c>
    </row>
    <row r="8" spans="1:10" ht="42.75" customHeight="1">
      <c r="A8" s="25">
        <v>4</v>
      </c>
      <c r="B8" s="103" t="s">
        <v>304</v>
      </c>
      <c r="C8" s="103"/>
      <c r="D8" s="103"/>
      <c r="E8" s="52"/>
      <c r="F8" s="52"/>
      <c r="G8" s="52"/>
      <c r="H8" s="39">
        <v>6</v>
      </c>
      <c r="I8" s="50">
        <f t="shared" si="0"/>
        <v>0.967741935483871</v>
      </c>
      <c r="J8" s="28">
        <f t="shared" si="1"/>
        <v>0</v>
      </c>
    </row>
    <row r="9" spans="1:10" ht="28.5" customHeight="1">
      <c r="A9" s="25">
        <v>5</v>
      </c>
      <c r="B9" s="103" t="s">
        <v>305</v>
      </c>
      <c r="C9" s="103"/>
      <c r="D9" s="103"/>
      <c r="E9" s="52"/>
      <c r="F9" s="52"/>
      <c r="G9" s="52"/>
      <c r="H9" s="39">
        <v>6</v>
      </c>
      <c r="I9" s="50">
        <f t="shared" si="0"/>
        <v>0.967741935483871</v>
      </c>
      <c r="J9" s="28">
        <f t="shared" si="1"/>
        <v>0</v>
      </c>
    </row>
    <row r="10" spans="1:10" ht="42.75" customHeight="1">
      <c r="A10" s="25">
        <v>6</v>
      </c>
      <c r="B10" s="103" t="s">
        <v>306</v>
      </c>
      <c r="C10" s="103"/>
      <c r="D10" s="103"/>
      <c r="E10" s="52"/>
      <c r="F10" s="52"/>
      <c r="G10" s="52"/>
      <c r="H10" s="39">
        <v>6</v>
      </c>
      <c r="I10" s="50">
        <f t="shared" si="0"/>
        <v>0.967741935483871</v>
      </c>
      <c r="J10" s="28">
        <f t="shared" si="1"/>
        <v>0</v>
      </c>
    </row>
    <row r="11" spans="1:10" ht="28.5" customHeight="1">
      <c r="A11" s="25">
        <v>7</v>
      </c>
      <c r="B11" s="103" t="s">
        <v>307</v>
      </c>
      <c r="C11" s="103"/>
      <c r="D11" s="103"/>
      <c r="E11" s="52"/>
      <c r="F11" s="52"/>
      <c r="G11" s="52"/>
      <c r="H11" s="39">
        <v>2</v>
      </c>
      <c r="I11" s="50">
        <f t="shared" si="0"/>
        <v>0.32258064516129031</v>
      </c>
      <c r="J11" s="28">
        <f t="shared" si="1"/>
        <v>0</v>
      </c>
    </row>
    <row r="12" spans="1:10" ht="28.5" customHeight="1">
      <c r="A12" s="25">
        <v>8</v>
      </c>
      <c r="B12" s="103" t="s">
        <v>308</v>
      </c>
      <c r="C12" s="103"/>
      <c r="D12" s="103"/>
      <c r="E12" s="52"/>
      <c r="F12" s="52"/>
      <c r="G12" s="52"/>
      <c r="H12" s="39">
        <v>6</v>
      </c>
      <c r="I12" s="50">
        <f t="shared" si="0"/>
        <v>0.967741935483871</v>
      </c>
      <c r="J12" s="28">
        <f t="shared" si="1"/>
        <v>0</v>
      </c>
    </row>
    <row r="13" spans="1:10" ht="57" customHeight="1">
      <c r="A13" s="25">
        <v>9</v>
      </c>
      <c r="B13" s="103" t="s">
        <v>309</v>
      </c>
      <c r="C13" s="103"/>
      <c r="D13" s="103"/>
      <c r="E13" s="52"/>
      <c r="F13" s="52"/>
      <c r="G13" s="52"/>
      <c r="H13" s="39">
        <v>6</v>
      </c>
      <c r="I13" s="50">
        <f t="shared" si="0"/>
        <v>0.967741935483871</v>
      </c>
      <c r="J13" s="28">
        <f t="shared" si="1"/>
        <v>0</v>
      </c>
    </row>
    <row r="14" spans="1:10" ht="15">
      <c r="A14" s="104" t="s">
        <v>37</v>
      </c>
      <c r="B14" s="104"/>
      <c r="C14" s="104"/>
      <c r="D14" s="104"/>
      <c r="E14" s="104"/>
      <c r="F14" s="104"/>
      <c r="G14" s="104"/>
      <c r="H14" s="104"/>
      <c r="I14" s="51">
        <f>SUM(I5:I13)</f>
        <v>10</v>
      </c>
      <c r="J14" s="49">
        <f>SUM(J5:J13)</f>
        <v>0</v>
      </c>
    </row>
  </sheetData>
  <mergeCells count="17">
    <mergeCell ref="B4:D4"/>
    <mergeCell ref="B11:D11"/>
    <mergeCell ref="B12:D12"/>
    <mergeCell ref="B13:D13"/>
    <mergeCell ref="A14:H14"/>
    <mergeCell ref="B5:D5"/>
    <mergeCell ref="B6:D6"/>
    <mergeCell ref="B7:D7"/>
    <mergeCell ref="B8:D8"/>
    <mergeCell ref="B9:D9"/>
    <mergeCell ref="B10:D10"/>
    <mergeCell ref="A1:B1"/>
    <mergeCell ref="A2:B2"/>
    <mergeCell ref="C1:J1"/>
    <mergeCell ref="C2:J2"/>
    <mergeCell ref="A3:B3"/>
    <mergeCell ref="E3:J3"/>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85EDA-77B5-481E-A2CE-C9F253912312}">
  <dimension ref="A1:J15"/>
  <sheetViews>
    <sheetView workbookViewId="0">
      <pane xSplit="4" ySplit="4" topLeftCell="E5" activePane="bottomRight" state="frozen"/>
      <selection activeCell="A3" sqref="A3:J15"/>
      <selection pane="topRight" activeCell="A3" sqref="A3:J15"/>
      <selection pane="bottomLeft" activeCell="A3" sqref="A3:J15"/>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55</v>
      </c>
      <c r="E3" s="103" t="s">
        <v>310</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311</v>
      </c>
      <c r="C5" s="103"/>
      <c r="D5" s="103"/>
      <c r="E5" s="52"/>
      <c r="F5" s="52"/>
      <c r="G5" s="52"/>
      <c r="H5" s="45">
        <v>10</v>
      </c>
      <c r="I5" s="50">
        <f>IF(H5="","",((H5*10)/SUM($H$5:$H$14)))</f>
        <v>1.5625</v>
      </c>
      <c r="J5" s="28">
        <f>IF(F5="X",((H5*10)/SUM($H$5:$H$14)),0)</f>
        <v>0</v>
      </c>
    </row>
    <row r="6" spans="1:10" ht="42.75" customHeight="1">
      <c r="A6" s="25">
        <v>2</v>
      </c>
      <c r="B6" s="103" t="s">
        <v>312</v>
      </c>
      <c r="C6" s="103"/>
      <c r="D6" s="103"/>
      <c r="E6" s="52"/>
      <c r="F6" s="52"/>
      <c r="G6" s="52"/>
      <c r="H6" s="45">
        <v>10</v>
      </c>
      <c r="I6" s="50">
        <f t="shared" ref="I6:I14" si="0">IF(H6="","",((H6*10)/SUM($H$5:$H$14)))</f>
        <v>1.5625</v>
      </c>
      <c r="J6" s="28">
        <f t="shared" ref="J6:J14" si="1">IF(F6="X",((H6*10)/SUM($H$5:$H$14)),0)</f>
        <v>0</v>
      </c>
    </row>
    <row r="7" spans="1:10" ht="28.5" customHeight="1">
      <c r="A7" s="25">
        <v>3</v>
      </c>
      <c r="B7" s="103" t="s">
        <v>217</v>
      </c>
      <c r="C7" s="103"/>
      <c r="D7" s="103"/>
      <c r="E7" s="52"/>
      <c r="F7" s="52"/>
      <c r="G7" s="52"/>
      <c r="H7" s="45">
        <v>10</v>
      </c>
      <c r="I7" s="50">
        <f t="shared" si="0"/>
        <v>1.5625</v>
      </c>
      <c r="J7" s="28">
        <f t="shared" si="1"/>
        <v>0</v>
      </c>
    </row>
    <row r="8" spans="1:10" ht="28.5" customHeight="1">
      <c r="A8" s="25">
        <v>4</v>
      </c>
      <c r="B8" s="103" t="s">
        <v>313</v>
      </c>
      <c r="C8" s="103"/>
      <c r="D8" s="103"/>
      <c r="E8" s="52"/>
      <c r="F8" s="52"/>
      <c r="G8" s="52"/>
      <c r="H8" s="45">
        <v>6</v>
      </c>
      <c r="I8" s="50">
        <f t="shared" si="0"/>
        <v>0.9375</v>
      </c>
      <c r="J8" s="28">
        <f t="shared" si="1"/>
        <v>0</v>
      </c>
    </row>
    <row r="9" spans="1:10" ht="42.75" customHeight="1">
      <c r="A9" s="25">
        <v>5</v>
      </c>
      <c r="B9" s="103" t="s">
        <v>314</v>
      </c>
      <c r="C9" s="103"/>
      <c r="D9" s="103"/>
      <c r="E9" s="52"/>
      <c r="F9" s="52"/>
      <c r="G9" s="52"/>
      <c r="H9" s="45">
        <v>10</v>
      </c>
      <c r="I9" s="50">
        <f t="shared" si="0"/>
        <v>1.5625</v>
      </c>
      <c r="J9" s="28">
        <f t="shared" si="1"/>
        <v>0</v>
      </c>
    </row>
    <row r="10" spans="1:10" ht="42.75" customHeight="1">
      <c r="A10" s="25">
        <v>6</v>
      </c>
      <c r="B10" s="103" t="s">
        <v>315</v>
      </c>
      <c r="C10" s="103"/>
      <c r="D10" s="103"/>
      <c r="E10" s="52"/>
      <c r="F10" s="52"/>
      <c r="G10" s="52"/>
      <c r="H10" s="45">
        <v>6</v>
      </c>
      <c r="I10" s="50">
        <f t="shared" si="0"/>
        <v>0.9375</v>
      </c>
      <c r="J10" s="28">
        <f t="shared" si="1"/>
        <v>0</v>
      </c>
    </row>
    <row r="11" spans="1:10" ht="57" customHeight="1">
      <c r="A11" s="25">
        <v>7</v>
      </c>
      <c r="B11" s="103" t="s">
        <v>316</v>
      </c>
      <c r="C11" s="103"/>
      <c r="D11" s="103"/>
      <c r="E11" s="52"/>
      <c r="F11" s="52"/>
      <c r="G11" s="52"/>
      <c r="H11" s="45">
        <v>6</v>
      </c>
      <c r="I11" s="50">
        <f t="shared" si="0"/>
        <v>0.9375</v>
      </c>
      <c r="J11" s="28">
        <f t="shared" si="1"/>
        <v>0</v>
      </c>
    </row>
    <row r="12" spans="1:10" ht="42.75" customHeight="1">
      <c r="A12" s="25">
        <v>8</v>
      </c>
      <c r="B12" s="103" t="s">
        <v>317</v>
      </c>
      <c r="C12" s="103"/>
      <c r="D12" s="103"/>
      <c r="E12" s="52"/>
      <c r="F12" s="52"/>
      <c r="G12" s="52"/>
      <c r="H12" s="45">
        <v>2</v>
      </c>
      <c r="I12" s="50">
        <f t="shared" si="0"/>
        <v>0.3125</v>
      </c>
      <c r="J12" s="28">
        <f t="shared" si="1"/>
        <v>0</v>
      </c>
    </row>
    <row r="13" spans="1:10" ht="39" customHeight="1">
      <c r="A13" s="25">
        <v>9</v>
      </c>
      <c r="B13" s="103" t="s">
        <v>318</v>
      </c>
      <c r="C13" s="103"/>
      <c r="D13" s="103"/>
      <c r="E13" s="52"/>
      <c r="F13" s="52"/>
      <c r="G13" s="52"/>
      <c r="H13" s="45">
        <v>2</v>
      </c>
      <c r="I13" s="50">
        <f t="shared" si="0"/>
        <v>0.3125</v>
      </c>
      <c r="J13" s="28">
        <f t="shared" si="1"/>
        <v>0</v>
      </c>
    </row>
    <row r="14" spans="1:10" ht="28.5" customHeight="1">
      <c r="A14" s="25">
        <v>10</v>
      </c>
      <c r="B14" s="103" t="s">
        <v>319</v>
      </c>
      <c r="C14" s="103"/>
      <c r="D14" s="103"/>
      <c r="E14" s="52"/>
      <c r="F14" s="52"/>
      <c r="G14" s="52"/>
      <c r="H14" s="45">
        <v>2</v>
      </c>
      <c r="I14" s="50">
        <f t="shared" si="0"/>
        <v>0.3125</v>
      </c>
      <c r="J14" s="28">
        <f t="shared" si="1"/>
        <v>0</v>
      </c>
    </row>
    <row r="15" spans="1:10" ht="15">
      <c r="A15" s="104" t="s">
        <v>37</v>
      </c>
      <c r="B15" s="104"/>
      <c r="C15" s="104"/>
      <c r="D15" s="104"/>
      <c r="E15" s="104"/>
      <c r="F15" s="104"/>
      <c r="G15" s="104"/>
      <c r="H15" s="104"/>
      <c r="I15" s="51">
        <f>SUM(I5:I14)</f>
        <v>10</v>
      </c>
      <c r="J15" s="49">
        <f>SUM(J5:J14)</f>
        <v>0</v>
      </c>
    </row>
  </sheetData>
  <mergeCells count="18">
    <mergeCell ref="B14:D14"/>
    <mergeCell ref="A15:H15"/>
    <mergeCell ref="B11:D11"/>
    <mergeCell ref="B12:D12"/>
    <mergeCell ref="B13:D13"/>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82BB3-F703-44D0-88CE-FBC331BE0E07}">
  <dimension ref="A1:J14"/>
  <sheetViews>
    <sheetView workbookViewId="0">
      <selection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67</v>
      </c>
      <c r="E3" s="103" t="s">
        <v>320</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IF(H5="","",((H5*10)/SUM($H$5:$H$13)))</f>
        <v>1.3513513513513513</v>
      </c>
      <c r="J5" s="28">
        <f>IF(F5="X",((H5*10)/SUM($H$5:$H$13)),0)</f>
        <v>0</v>
      </c>
    </row>
    <row r="6" spans="1:10" ht="57" customHeight="1">
      <c r="A6" s="25">
        <v>2</v>
      </c>
      <c r="B6" s="103" t="s">
        <v>321</v>
      </c>
      <c r="C6" s="103"/>
      <c r="D6" s="103"/>
      <c r="E6" s="52"/>
      <c r="F6" s="52"/>
      <c r="G6" s="52"/>
      <c r="H6" s="45">
        <v>6</v>
      </c>
      <c r="I6" s="50">
        <f t="shared" ref="I6:I13" si="0">IF(H6="","",((H6*10)/SUM($H$5:$H$13)))</f>
        <v>0.81081081081081086</v>
      </c>
      <c r="J6" s="28">
        <f t="shared" ref="J6:J13" si="1">IF(F6="X",((H6*10)/SUM($H$5:$H$13)),0)</f>
        <v>0</v>
      </c>
    </row>
    <row r="7" spans="1:10" ht="57" customHeight="1">
      <c r="A7" s="25">
        <v>3</v>
      </c>
      <c r="B7" s="103" t="s">
        <v>322</v>
      </c>
      <c r="C7" s="103"/>
      <c r="D7" s="103"/>
      <c r="E7" s="52"/>
      <c r="F7" s="52"/>
      <c r="G7" s="52"/>
      <c r="H7" s="45">
        <v>10</v>
      </c>
      <c r="I7" s="50">
        <f t="shared" si="0"/>
        <v>1.3513513513513513</v>
      </c>
      <c r="J7" s="28">
        <f t="shared" si="1"/>
        <v>0</v>
      </c>
    </row>
    <row r="8" spans="1:10" ht="42.75" customHeight="1">
      <c r="A8" s="25">
        <v>4</v>
      </c>
      <c r="B8" s="103" t="s">
        <v>323</v>
      </c>
      <c r="C8" s="103"/>
      <c r="D8" s="103"/>
      <c r="E8" s="52"/>
      <c r="F8" s="52"/>
      <c r="G8" s="52"/>
      <c r="H8" s="45">
        <v>10</v>
      </c>
      <c r="I8" s="50">
        <f t="shared" si="0"/>
        <v>1.3513513513513513</v>
      </c>
      <c r="J8" s="28">
        <f t="shared" si="1"/>
        <v>0</v>
      </c>
    </row>
    <row r="9" spans="1:10" ht="57" customHeight="1">
      <c r="A9" s="25">
        <v>5</v>
      </c>
      <c r="B9" s="103" t="s">
        <v>324</v>
      </c>
      <c r="C9" s="103"/>
      <c r="D9" s="103"/>
      <c r="E9" s="52"/>
      <c r="F9" s="52"/>
      <c r="G9" s="52"/>
      <c r="H9" s="45">
        <v>10</v>
      </c>
      <c r="I9" s="50">
        <f t="shared" si="0"/>
        <v>1.3513513513513513</v>
      </c>
      <c r="J9" s="28">
        <f t="shared" si="1"/>
        <v>0</v>
      </c>
    </row>
    <row r="10" spans="1:10" ht="42.75" customHeight="1">
      <c r="A10" s="25">
        <v>6</v>
      </c>
      <c r="B10" s="103" t="s">
        <v>325</v>
      </c>
      <c r="C10" s="103"/>
      <c r="D10" s="103"/>
      <c r="E10" s="52"/>
      <c r="F10" s="52"/>
      <c r="G10" s="52"/>
      <c r="H10" s="45">
        <v>10</v>
      </c>
      <c r="I10" s="50">
        <f t="shared" si="0"/>
        <v>1.3513513513513513</v>
      </c>
      <c r="J10" s="28">
        <f t="shared" si="1"/>
        <v>0</v>
      </c>
    </row>
    <row r="11" spans="1:10" ht="57" customHeight="1">
      <c r="A11" s="25">
        <v>7</v>
      </c>
      <c r="B11" s="103" t="s">
        <v>326</v>
      </c>
      <c r="C11" s="103"/>
      <c r="D11" s="103"/>
      <c r="E11" s="52"/>
      <c r="F11" s="52"/>
      <c r="G11" s="52"/>
      <c r="H11" s="45">
        <v>6</v>
      </c>
      <c r="I11" s="50">
        <f t="shared" si="0"/>
        <v>0.81081081081081086</v>
      </c>
      <c r="J11" s="28">
        <f t="shared" si="1"/>
        <v>0</v>
      </c>
    </row>
    <row r="12" spans="1:10" ht="57" customHeight="1">
      <c r="A12" s="25">
        <v>8</v>
      </c>
      <c r="B12" s="103" t="s">
        <v>327</v>
      </c>
      <c r="C12" s="103"/>
      <c r="D12" s="103"/>
      <c r="E12" s="52"/>
      <c r="F12" s="52"/>
      <c r="G12" s="52"/>
      <c r="H12" s="45">
        <v>6</v>
      </c>
      <c r="I12" s="50">
        <f t="shared" si="0"/>
        <v>0.81081081081081086</v>
      </c>
      <c r="J12" s="28">
        <f t="shared" si="1"/>
        <v>0</v>
      </c>
    </row>
    <row r="13" spans="1:10" ht="57" customHeight="1">
      <c r="A13" s="25">
        <v>9</v>
      </c>
      <c r="B13" s="103" t="s">
        <v>328</v>
      </c>
      <c r="C13" s="103"/>
      <c r="D13" s="103"/>
      <c r="E13" s="52"/>
      <c r="F13" s="52"/>
      <c r="G13" s="52"/>
      <c r="H13" s="45">
        <v>6</v>
      </c>
      <c r="I13" s="50">
        <f t="shared" si="0"/>
        <v>0.81081081081081086</v>
      </c>
      <c r="J13" s="28">
        <f t="shared" si="1"/>
        <v>0</v>
      </c>
    </row>
    <row r="14" spans="1:10" ht="15">
      <c r="A14" s="104" t="s">
        <v>37</v>
      </c>
      <c r="B14" s="104"/>
      <c r="C14" s="104"/>
      <c r="D14" s="104"/>
      <c r="E14" s="104"/>
      <c r="F14" s="104"/>
      <c r="G14" s="104"/>
      <c r="H14" s="104"/>
      <c r="I14" s="51">
        <f>SUM(I5:I13)</f>
        <v>9.9999999999999982</v>
      </c>
      <c r="J14" s="49">
        <f>SUM(J5:J13)</f>
        <v>0</v>
      </c>
    </row>
  </sheetData>
  <mergeCells count="17">
    <mergeCell ref="B4:D4"/>
    <mergeCell ref="B11:D11"/>
    <mergeCell ref="B12:D12"/>
    <mergeCell ref="B13:D13"/>
    <mergeCell ref="A14:H14"/>
    <mergeCell ref="B5:D5"/>
    <mergeCell ref="B6:D6"/>
    <mergeCell ref="B7:D7"/>
    <mergeCell ref="B8:D8"/>
    <mergeCell ref="B9:D9"/>
    <mergeCell ref="B10:D10"/>
    <mergeCell ref="A1:B1"/>
    <mergeCell ref="A2:B2"/>
    <mergeCell ref="C1:J1"/>
    <mergeCell ref="C2:J2"/>
    <mergeCell ref="A3:B3"/>
    <mergeCell ref="E3:J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BE168-8D14-482D-828A-BE07FF2A21E5}">
  <dimension ref="A1:J16"/>
  <sheetViews>
    <sheetView workbookViewId="0">
      <pane xSplit="4" ySplit="4" topLeftCell="E5" activePane="bottomRight" state="frozen"/>
      <selection activeCell="A3" sqref="A3:J15"/>
      <selection pane="topRight" activeCell="A3" sqref="A3:J15"/>
      <selection pane="bottomLeft" activeCell="A3" sqref="A3:J15"/>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81</v>
      </c>
      <c r="E3" s="103" t="s">
        <v>329</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42.75" customHeight="1">
      <c r="A5" s="25">
        <v>1</v>
      </c>
      <c r="B5" s="103" t="s">
        <v>330</v>
      </c>
      <c r="C5" s="103"/>
      <c r="D5" s="103"/>
      <c r="E5" s="52"/>
      <c r="F5" s="52"/>
      <c r="G5" s="24"/>
      <c r="H5" s="45">
        <v>6</v>
      </c>
      <c r="I5" s="50">
        <f>IF(H5="","",((H5*10)/SUM($H$5:$H$15)))</f>
        <v>0.8571428571428571</v>
      </c>
      <c r="J5" s="28">
        <f>IF(F5="X",((H5*10)/SUM($H$5:$H$15)),0)</f>
        <v>0</v>
      </c>
    </row>
    <row r="6" spans="1:10" ht="28.5" customHeight="1">
      <c r="A6" s="25">
        <v>2</v>
      </c>
      <c r="B6" s="103" t="s">
        <v>217</v>
      </c>
      <c r="C6" s="103"/>
      <c r="D6" s="103"/>
      <c r="E6" s="52"/>
      <c r="F6" s="52"/>
      <c r="G6" s="24"/>
      <c r="H6" s="45">
        <v>10</v>
      </c>
      <c r="I6" s="50">
        <f t="shared" ref="I6:I15" si="0">IF(H6="","",((H6*10)/SUM($H$5:$H$15)))</f>
        <v>1.4285714285714286</v>
      </c>
      <c r="J6" s="28">
        <f t="shared" ref="J6:J15" si="1">IF(F6="X",((H6*10)/SUM($H$5:$H$15)),0)</f>
        <v>0</v>
      </c>
    </row>
    <row r="7" spans="1:10" ht="42.75" customHeight="1">
      <c r="A7" s="25">
        <v>3</v>
      </c>
      <c r="B7" s="103" t="s">
        <v>331</v>
      </c>
      <c r="C7" s="103"/>
      <c r="D7" s="103"/>
      <c r="E7" s="52"/>
      <c r="F7" s="52"/>
      <c r="G7" s="24"/>
      <c r="H7" s="45">
        <v>10</v>
      </c>
      <c r="I7" s="50">
        <f t="shared" si="0"/>
        <v>1.4285714285714286</v>
      </c>
      <c r="J7" s="28">
        <f t="shared" si="1"/>
        <v>0</v>
      </c>
    </row>
    <row r="8" spans="1:10" ht="28.5" customHeight="1">
      <c r="A8" s="25">
        <v>4</v>
      </c>
      <c r="B8" s="103" t="s">
        <v>332</v>
      </c>
      <c r="C8" s="103"/>
      <c r="D8" s="103"/>
      <c r="E8" s="52"/>
      <c r="F8" s="52"/>
      <c r="G8" s="24"/>
      <c r="H8" s="45">
        <v>10</v>
      </c>
      <c r="I8" s="50">
        <f t="shared" si="0"/>
        <v>1.4285714285714286</v>
      </c>
      <c r="J8" s="28">
        <f t="shared" si="1"/>
        <v>0</v>
      </c>
    </row>
    <row r="9" spans="1:10" ht="42.75" customHeight="1">
      <c r="A9" s="25">
        <v>5</v>
      </c>
      <c r="B9" s="103" t="s">
        <v>333</v>
      </c>
      <c r="C9" s="103"/>
      <c r="D9" s="103"/>
      <c r="E9" s="52"/>
      <c r="F9" s="52"/>
      <c r="G9" s="24"/>
      <c r="H9" s="45">
        <v>6</v>
      </c>
      <c r="I9" s="50">
        <f t="shared" si="0"/>
        <v>0.8571428571428571</v>
      </c>
      <c r="J9" s="28">
        <f t="shared" si="1"/>
        <v>0</v>
      </c>
    </row>
    <row r="10" spans="1:10" ht="28.5" customHeight="1">
      <c r="A10" s="25">
        <v>6</v>
      </c>
      <c r="B10" s="103" t="s">
        <v>334</v>
      </c>
      <c r="C10" s="103"/>
      <c r="D10" s="103"/>
      <c r="E10" s="52"/>
      <c r="F10" s="52"/>
      <c r="G10" s="24"/>
      <c r="H10" s="45">
        <v>6</v>
      </c>
      <c r="I10" s="50">
        <f t="shared" si="0"/>
        <v>0.8571428571428571</v>
      </c>
      <c r="J10" s="28">
        <f t="shared" si="1"/>
        <v>0</v>
      </c>
    </row>
    <row r="11" spans="1:10" ht="42.75" customHeight="1">
      <c r="A11" s="25">
        <v>7</v>
      </c>
      <c r="B11" s="103" t="s">
        <v>335</v>
      </c>
      <c r="C11" s="103"/>
      <c r="D11" s="103"/>
      <c r="E11" s="52"/>
      <c r="F11" s="52"/>
      <c r="G11" s="24"/>
      <c r="H11" s="45">
        <v>6</v>
      </c>
      <c r="I11" s="50">
        <f t="shared" si="0"/>
        <v>0.8571428571428571</v>
      </c>
      <c r="J11" s="28">
        <f t="shared" si="1"/>
        <v>0</v>
      </c>
    </row>
    <row r="12" spans="1:10" ht="42.75" customHeight="1">
      <c r="A12" s="25">
        <v>8</v>
      </c>
      <c r="B12" s="103" t="s">
        <v>336</v>
      </c>
      <c r="C12" s="103"/>
      <c r="D12" s="103"/>
      <c r="E12" s="52"/>
      <c r="F12" s="52"/>
      <c r="G12" s="24"/>
      <c r="H12" s="45">
        <v>2</v>
      </c>
      <c r="I12" s="50">
        <f t="shared" si="0"/>
        <v>0.2857142857142857</v>
      </c>
      <c r="J12" s="28">
        <f t="shared" si="1"/>
        <v>0</v>
      </c>
    </row>
    <row r="13" spans="1:10" ht="42.75" customHeight="1">
      <c r="A13" s="25">
        <v>9</v>
      </c>
      <c r="B13" s="103" t="s">
        <v>337</v>
      </c>
      <c r="C13" s="103"/>
      <c r="D13" s="103"/>
      <c r="E13" s="52"/>
      <c r="F13" s="52"/>
      <c r="G13" s="24"/>
      <c r="H13" s="45">
        <v>6</v>
      </c>
      <c r="I13" s="50">
        <f t="shared" si="0"/>
        <v>0.8571428571428571</v>
      </c>
      <c r="J13" s="28">
        <f t="shared" si="1"/>
        <v>0</v>
      </c>
    </row>
    <row r="14" spans="1:10" ht="42.75" customHeight="1">
      <c r="A14" s="25">
        <v>10</v>
      </c>
      <c r="B14" s="103" t="s">
        <v>338</v>
      </c>
      <c r="C14" s="103"/>
      <c r="D14" s="103"/>
      <c r="E14" s="52"/>
      <c r="F14" s="52"/>
      <c r="G14" s="24"/>
      <c r="H14" s="45">
        <v>6</v>
      </c>
      <c r="I14" s="50">
        <f t="shared" si="0"/>
        <v>0.8571428571428571</v>
      </c>
      <c r="J14" s="28">
        <f t="shared" si="1"/>
        <v>0</v>
      </c>
    </row>
    <row r="15" spans="1:10" ht="57" customHeight="1">
      <c r="A15" s="25">
        <v>11</v>
      </c>
      <c r="B15" s="103" t="s">
        <v>339</v>
      </c>
      <c r="C15" s="103"/>
      <c r="D15" s="103"/>
      <c r="E15" s="52"/>
      <c r="F15" s="52"/>
      <c r="G15" s="24"/>
      <c r="H15" s="45">
        <v>2</v>
      </c>
      <c r="I15" s="50">
        <f t="shared" si="0"/>
        <v>0.2857142857142857</v>
      </c>
      <c r="J15" s="28">
        <f t="shared" si="1"/>
        <v>0</v>
      </c>
    </row>
    <row r="16" spans="1:10" ht="15">
      <c r="A16" s="104" t="s">
        <v>37</v>
      </c>
      <c r="B16" s="104"/>
      <c r="C16" s="104"/>
      <c r="D16" s="104"/>
      <c r="E16" s="104"/>
      <c r="F16" s="104"/>
      <c r="G16" s="104"/>
      <c r="H16" s="104"/>
      <c r="I16" s="51">
        <f>SUM(I5:I15)</f>
        <v>10</v>
      </c>
      <c r="J16" s="49">
        <f>SUM(J5:J15)</f>
        <v>0</v>
      </c>
    </row>
  </sheetData>
  <mergeCells count="19">
    <mergeCell ref="B4:D4"/>
    <mergeCell ref="A16:H16"/>
    <mergeCell ref="B5:D5"/>
    <mergeCell ref="B6:D6"/>
    <mergeCell ref="B7:D7"/>
    <mergeCell ref="B8:D8"/>
    <mergeCell ref="B9:D9"/>
    <mergeCell ref="B10:D10"/>
    <mergeCell ref="B11:D11"/>
    <mergeCell ref="B12:D12"/>
    <mergeCell ref="B13:D13"/>
    <mergeCell ref="B14:D14"/>
    <mergeCell ref="B15:D15"/>
    <mergeCell ref="A1:B1"/>
    <mergeCell ref="A2:B2"/>
    <mergeCell ref="C1:J1"/>
    <mergeCell ref="C2:J2"/>
    <mergeCell ref="A3:B3"/>
    <mergeCell ref="E3:J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4BE44-AF98-4260-8732-0754D344EA69}">
  <dimension ref="A1:J19"/>
  <sheetViews>
    <sheetView workbookViewId="0">
      <pane xSplit="4" ySplit="4" topLeftCell="E5" activePane="bottomRight" state="frozen"/>
      <selection activeCell="A3" sqref="A3:J15"/>
      <selection pane="topRight" activeCell="A3" sqref="A3:J15"/>
      <selection pane="bottomLeft" activeCell="A3" sqref="A3:J15"/>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95</v>
      </c>
      <c r="E3" s="103" t="s">
        <v>340</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IF(H5="","",((H5*10)/SUM($H$5:$H$18)))</f>
        <v>1.0416666666666667</v>
      </c>
      <c r="J5" s="28">
        <f>IF(F5="X",((H5*10)/SUM($H$5:$H$18)),0)</f>
        <v>0</v>
      </c>
    </row>
    <row r="6" spans="1:10" ht="28.5" customHeight="1">
      <c r="A6" s="25">
        <v>2</v>
      </c>
      <c r="B6" s="103" t="s">
        <v>341</v>
      </c>
      <c r="C6" s="103"/>
      <c r="D6" s="103"/>
      <c r="E6" s="52"/>
      <c r="F6" s="52"/>
      <c r="G6" s="52"/>
      <c r="H6" s="45">
        <v>6</v>
      </c>
      <c r="I6" s="50">
        <f t="shared" ref="I6:I18" si="0">IF(H6="","",((H6*10)/SUM($H$5:$H$18)))</f>
        <v>0.625</v>
      </c>
      <c r="J6" s="28">
        <f t="shared" ref="J6:J18" si="1">IF(F6="X",((H6*10)/SUM($H$5:$H$18)),0)</f>
        <v>0</v>
      </c>
    </row>
    <row r="7" spans="1:10" ht="28.5" customHeight="1">
      <c r="A7" s="46">
        <v>3</v>
      </c>
      <c r="B7" s="103" t="s">
        <v>342</v>
      </c>
      <c r="C7" s="103"/>
      <c r="D7" s="103"/>
      <c r="E7" s="39"/>
      <c r="F7" s="39"/>
      <c r="G7" s="39"/>
      <c r="H7" s="39">
        <v>6</v>
      </c>
      <c r="I7" s="50">
        <f t="shared" si="0"/>
        <v>0.625</v>
      </c>
      <c r="J7" s="28">
        <f t="shared" si="1"/>
        <v>0</v>
      </c>
    </row>
    <row r="8" spans="1:10" ht="42.75" customHeight="1">
      <c r="A8" s="25">
        <v>4</v>
      </c>
      <c r="B8" s="103" t="s">
        <v>343</v>
      </c>
      <c r="C8" s="103"/>
      <c r="D8" s="103"/>
      <c r="E8" s="52"/>
      <c r="F8" s="52"/>
      <c r="G8" s="52"/>
      <c r="H8" s="45">
        <v>10</v>
      </c>
      <c r="I8" s="50">
        <f t="shared" si="0"/>
        <v>1.0416666666666667</v>
      </c>
      <c r="J8" s="28">
        <f t="shared" si="1"/>
        <v>0</v>
      </c>
    </row>
    <row r="9" spans="1:10" ht="28.5" customHeight="1">
      <c r="A9" s="25">
        <v>5</v>
      </c>
      <c r="B9" s="103" t="s">
        <v>344</v>
      </c>
      <c r="C9" s="103"/>
      <c r="D9" s="103"/>
      <c r="E9" s="52"/>
      <c r="F9" s="52"/>
      <c r="G9" s="52"/>
      <c r="H9" s="45">
        <v>10</v>
      </c>
      <c r="I9" s="50">
        <f t="shared" si="0"/>
        <v>1.0416666666666667</v>
      </c>
      <c r="J9" s="28">
        <f t="shared" si="1"/>
        <v>0</v>
      </c>
    </row>
    <row r="10" spans="1:10" ht="42.75" customHeight="1">
      <c r="A10" s="25">
        <v>6</v>
      </c>
      <c r="B10" s="103" t="s">
        <v>345</v>
      </c>
      <c r="C10" s="103"/>
      <c r="D10" s="103"/>
      <c r="E10" s="52"/>
      <c r="F10" s="52"/>
      <c r="G10" s="52"/>
      <c r="H10" s="45">
        <v>6</v>
      </c>
      <c r="I10" s="50">
        <f t="shared" si="0"/>
        <v>0.625</v>
      </c>
      <c r="J10" s="28">
        <f t="shared" si="1"/>
        <v>0</v>
      </c>
    </row>
    <row r="11" spans="1:10" ht="28.5" customHeight="1">
      <c r="A11" s="25">
        <v>7</v>
      </c>
      <c r="B11" s="103" t="s">
        <v>346</v>
      </c>
      <c r="C11" s="103"/>
      <c r="D11" s="103"/>
      <c r="E11" s="52"/>
      <c r="F11" s="52"/>
      <c r="G11" s="52"/>
      <c r="H11" s="45">
        <v>10</v>
      </c>
      <c r="I11" s="50">
        <f t="shared" si="0"/>
        <v>1.0416666666666667</v>
      </c>
      <c r="J11" s="28">
        <f t="shared" si="1"/>
        <v>0</v>
      </c>
    </row>
    <row r="12" spans="1:10" ht="28.5" customHeight="1">
      <c r="A12" s="25">
        <v>8</v>
      </c>
      <c r="B12" s="103" t="s">
        <v>347</v>
      </c>
      <c r="C12" s="103"/>
      <c r="D12" s="103"/>
      <c r="E12" s="52"/>
      <c r="F12" s="52"/>
      <c r="G12" s="52"/>
      <c r="H12" s="45">
        <v>6</v>
      </c>
      <c r="I12" s="50">
        <f t="shared" si="0"/>
        <v>0.625</v>
      </c>
      <c r="J12" s="28">
        <f t="shared" si="1"/>
        <v>0</v>
      </c>
    </row>
    <row r="13" spans="1:10" ht="28.5" customHeight="1">
      <c r="A13" s="25">
        <v>9</v>
      </c>
      <c r="B13" s="103" t="s">
        <v>348</v>
      </c>
      <c r="C13" s="103"/>
      <c r="D13" s="103"/>
      <c r="E13" s="52"/>
      <c r="F13" s="52"/>
      <c r="G13" s="52"/>
      <c r="H13" s="45">
        <v>6</v>
      </c>
      <c r="I13" s="50">
        <f t="shared" si="0"/>
        <v>0.625</v>
      </c>
      <c r="J13" s="28">
        <f t="shared" si="1"/>
        <v>0</v>
      </c>
    </row>
    <row r="14" spans="1:10" ht="42.75" customHeight="1">
      <c r="A14" s="25">
        <v>10</v>
      </c>
      <c r="B14" s="103" t="s">
        <v>162</v>
      </c>
      <c r="C14" s="103"/>
      <c r="D14" s="103"/>
      <c r="E14" s="52"/>
      <c r="F14" s="52"/>
      <c r="G14" s="52"/>
      <c r="H14" s="45">
        <v>6</v>
      </c>
      <c r="I14" s="50">
        <f t="shared" si="0"/>
        <v>0.625</v>
      </c>
      <c r="J14" s="28">
        <f t="shared" si="1"/>
        <v>0</v>
      </c>
    </row>
    <row r="15" spans="1:10" ht="57" customHeight="1">
      <c r="A15" s="25">
        <v>11</v>
      </c>
      <c r="B15" s="103" t="s">
        <v>349</v>
      </c>
      <c r="C15" s="103"/>
      <c r="D15" s="103"/>
      <c r="E15" s="52"/>
      <c r="F15" s="52"/>
      <c r="G15" s="52"/>
      <c r="H15" s="45">
        <v>6</v>
      </c>
      <c r="I15" s="50">
        <f t="shared" si="0"/>
        <v>0.625</v>
      </c>
      <c r="J15" s="28">
        <f t="shared" si="1"/>
        <v>0</v>
      </c>
    </row>
    <row r="16" spans="1:10" ht="57" customHeight="1">
      <c r="A16" s="25">
        <v>12</v>
      </c>
      <c r="B16" s="103" t="s">
        <v>350</v>
      </c>
      <c r="C16" s="103"/>
      <c r="D16" s="103"/>
      <c r="E16" s="52"/>
      <c r="F16" s="52"/>
      <c r="G16" s="52"/>
      <c r="H16" s="45">
        <v>6</v>
      </c>
      <c r="I16" s="50">
        <f t="shared" si="0"/>
        <v>0.625</v>
      </c>
      <c r="J16" s="28">
        <f t="shared" si="1"/>
        <v>0</v>
      </c>
    </row>
    <row r="17" spans="1:10" ht="28.5" customHeight="1">
      <c r="A17" s="25">
        <v>13</v>
      </c>
      <c r="B17" s="103" t="s">
        <v>351</v>
      </c>
      <c r="C17" s="103"/>
      <c r="D17" s="103"/>
      <c r="E17" s="52"/>
      <c r="F17" s="52"/>
      <c r="G17" s="52"/>
      <c r="H17" s="45">
        <v>2</v>
      </c>
      <c r="I17" s="50">
        <f t="shared" si="0"/>
        <v>0.20833333333333334</v>
      </c>
      <c r="J17" s="28">
        <f t="shared" si="1"/>
        <v>0</v>
      </c>
    </row>
    <row r="18" spans="1:10" ht="28.5" customHeight="1">
      <c r="A18" s="25">
        <v>14</v>
      </c>
      <c r="B18" s="103" t="s">
        <v>352</v>
      </c>
      <c r="C18" s="103"/>
      <c r="D18" s="103"/>
      <c r="E18" s="52"/>
      <c r="F18" s="52"/>
      <c r="G18" s="52"/>
      <c r="H18" s="45">
        <v>6</v>
      </c>
      <c r="I18" s="50">
        <f t="shared" si="0"/>
        <v>0.625</v>
      </c>
      <c r="J18" s="28">
        <f t="shared" si="1"/>
        <v>0</v>
      </c>
    </row>
    <row r="19" spans="1:10" ht="15">
      <c r="A19" s="104" t="s">
        <v>37</v>
      </c>
      <c r="B19" s="104"/>
      <c r="C19" s="104"/>
      <c r="D19" s="104"/>
      <c r="E19" s="104"/>
      <c r="F19" s="104"/>
      <c r="G19" s="104"/>
      <c r="H19" s="104"/>
      <c r="I19" s="51">
        <f>SUM(I5:I18)</f>
        <v>10.000000000000002</v>
      </c>
      <c r="J19" s="49">
        <f>SUM(J5:J18)</f>
        <v>0</v>
      </c>
    </row>
  </sheetData>
  <mergeCells count="22">
    <mergeCell ref="B17:D17"/>
    <mergeCell ref="B18:D18"/>
    <mergeCell ref="A19:H19"/>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3F9E7-18F5-43DB-9B09-9E6EC3AEF48F}">
  <dimension ref="A1:J14"/>
  <sheetViews>
    <sheetView workbookViewId="0">
      <selection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109</v>
      </c>
      <c r="E3" s="103" t="s">
        <v>353</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IF(H5="","",((H5*10)/SUM($H$5:$H$13)))</f>
        <v>1.6129032258064515</v>
      </c>
      <c r="J5" s="28">
        <f>IF(F5="X",((H5*10)/SUM($H$5:$H$13)),0)</f>
        <v>0</v>
      </c>
    </row>
    <row r="6" spans="1:10" ht="42.75" customHeight="1">
      <c r="A6" s="25">
        <v>2</v>
      </c>
      <c r="B6" s="103" t="s">
        <v>354</v>
      </c>
      <c r="C6" s="103"/>
      <c r="D6" s="103"/>
      <c r="E6" s="52"/>
      <c r="F6" s="52"/>
      <c r="G6" s="52"/>
      <c r="H6" s="45">
        <v>6</v>
      </c>
      <c r="I6" s="50">
        <f t="shared" ref="I6:I13" si="0">IF(H6="","",((H6*10)/SUM($H$5:$H$13)))</f>
        <v>0.967741935483871</v>
      </c>
      <c r="J6" s="28">
        <f t="shared" ref="J6:J13" si="1">IF(F6="X",((H6*10)/SUM($H$5:$H$13)),0)</f>
        <v>0</v>
      </c>
    </row>
    <row r="7" spans="1:10" ht="57" customHeight="1">
      <c r="A7" s="25">
        <v>3</v>
      </c>
      <c r="B7" s="103" t="s">
        <v>355</v>
      </c>
      <c r="C7" s="103"/>
      <c r="D7" s="103"/>
      <c r="E7" s="52"/>
      <c r="F7" s="52"/>
      <c r="G7" s="52"/>
      <c r="H7" s="45">
        <v>6</v>
      </c>
      <c r="I7" s="50">
        <f t="shared" si="0"/>
        <v>0.967741935483871</v>
      </c>
      <c r="J7" s="28">
        <f t="shared" si="1"/>
        <v>0</v>
      </c>
    </row>
    <row r="8" spans="1:10" ht="57" customHeight="1">
      <c r="A8" s="25">
        <v>4</v>
      </c>
      <c r="B8" s="103" t="s">
        <v>356</v>
      </c>
      <c r="C8" s="103"/>
      <c r="D8" s="103"/>
      <c r="E8" s="52"/>
      <c r="F8" s="52"/>
      <c r="G8" s="52"/>
      <c r="H8" s="45">
        <v>10</v>
      </c>
      <c r="I8" s="50">
        <f t="shared" si="0"/>
        <v>1.6129032258064515</v>
      </c>
      <c r="J8" s="28">
        <f t="shared" si="1"/>
        <v>0</v>
      </c>
    </row>
    <row r="9" spans="1:10" ht="42.75" customHeight="1">
      <c r="A9" s="25">
        <v>5</v>
      </c>
      <c r="B9" s="103" t="s">
        <v>357</v>
      </c>
      <c r="C9" s="103"/>
      <c r="D9" s="103"/>
      <c r="E9" s="52"/>
      <c r="F9" s="52"/>
      <c r="G9" s="52"/>
      <c r="H9" s="45">
        <v>10</v>
      </c>
      <c r="I9" s="50">
        <f t="shared" si="0"/>
        <v>1.6129032258064515</v>
      </c>
      <c r="J9" s="28">
        <f t="shared" si="1"/>
        <v>0</v>
      </c>
    </row>
    <row r="10" spans="1:10" ht="28.5" customHeight="1">
      <c r="A10" s="25">
        <v>6</v>
      </c>
      <c r="B10" s="103" t="s">
        <v>358</v>
      </c>
      <c r="C10" s="103"/>
      <c r="D10" s="103"/>
      <c r="E10" s="52"/>
      <c r="F10" s="52"/>
      <c r="G10" s="52"/>
      <c r="H10" s="45">
        <v>10</v>
      </c>
      <c r="I10" s="50">
        <f t="shared" si="0"/>
        <v>1.6129032258064515</v>
      </c>
      <c r="J10" s="28">
        <f t="shared" si="1"/>
        <v>0</v>
      </c>
    </row>
    <row r="11" spans="1:10" ht="28.5" customHeight="1">
      <c r="A11" s="25">
        <v>7</v>
      </c>
      <c r="B11" s="103" t="s">
        <v>359</v>
      </c>
      <c r="C11" s="103"/>
      <c r="D11" s="103"/>
      <c r="E11" s="52"/>
      <c r="F11" s="52"/>
      <c r="G11" s="52"/>
      <c r="H11" s="45">
        <v>6</v>
      </c>
      <c r="I11" s="50">
        <f t="shared" si="0"/>
        <v>0.967741935483871</v>
      </c>
      <c r="J11" s="28">
        <f t="shared" si="1"/>
        <v>0</v>
      </c>
    </row>
    <row r="12" spans="1:10" ht="28.5" customHeight="1">
      <c r="A12" s="25">
        <v>8</v>
      </c>
      <c r="B12" s="103" t="s">
        <v>360</v>
      </c>
      <c r="C12" s="103"/>
      <c r="D12" s="103"/>
      <c r="E12" s="52"/>
      <c r="F12" s="52"/>
      <c r="G12" s="52"/>
      <c r="H12" s="45">
        <v>2</v>
      </c>
      <c r="I12" s="50">
        <f t="shared" si="0"/>
        <v>0.32258064516129031</v>
      </c>
      <c r="J12" s="28">
        <f t="shared" si="1"/>
        <v>0</v>
      </c>
    </row>
    <row r="13" spans="1:10" ht="28.5" customHeight="1">
      <c r="A13" s="25">
        <v>9</v>
      </c>
      <c r="B13" s="103" t="s">
        <v>361</v>
      </c>
      <c r="C13" s="103"/>
      <c r="D13" s="103"/>
      <c r="E13" s="52"/>
      <c r="F13" s="52"/>
      <c r="G13" s="52"/>
      <c r="H13" s="45">
        <v>2</v>
      </c>
      <c r="I13" s="50">
        <f t="shared" si="0"/>
        <v>0.32258064516129031</v>
      </c>
      <c r="J13" s="28">
        <f t="shared" si="1"/>
        <v>0</v>
      </c>
    </row>
    <row r="14" spans="1:10" ht="15">
      <c r="A14" s="104" t="s">
        <v>37</v>
      </c>
      <c r="B14" s="104"/>
      <c r="C14" s="104"/>
      <c r="D14" s="104"/>
      <c r="E14" s="104"/>
      <c r="F14" s="104"/>
      <c r="G14" s="104"/>
      <c r="H14" s="104"/>
      <c r="I14" s="51">
        <f>SUM(I5:I13)</f>
        <v>10</v>
      </c>
      <c r="J14" s="49">
        <f>SUM(J5:J13)</f>
        <v>0</v>
      </c>
    </row>
  </sheetData>
  <mergeCells count="17">
    <mergeCell ref="B4:D4"/>
    <mergeCell ref="B11:D11"/>
    <mergeCell ref="B12:D12"/>
    <mergeCell ref="B13:D13"/>
    <mergeCell ref="A14:H14"/>
    <mergeCell ref="B5:D5"/>
    <mergeCell ref="B6:D6"/>
    <mergeCell ref="B7:D7"/>
    <mergeCell ref="B8:D8"/>
    <mergeCell ref="B9:D9"/>
    <mergeCell ref="B10:D10"/>
    <mergeCell ref="A1:B1"/>
    <mergeCell ref="A2:B2"/>
    <mergeCell ref="C1:J1"/>
    <mergeCell ref="C2:J2"/>
    <mergeCell ref="A3:B3"/>
    <mergeCell ref="E3:J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9DE2-B66C-4499-9017-810FA3EB75BA}">
  <dimension ref="A1:J17"/>
  <sheetViews>
    <sheetView workbookViewId="0">
      <pane xSplit="4" ySplit="4" topLeftCell="E5" activePane="bottomRight" state="frozen"/>
      <selection activeCell="A3" sqref="A3:J15"/>
      <selection pane="topRight" activeCell="A3" sqref="A3:J15"/>
      <selection pane="bottomLeft" activeCell="A3" sqref="A3:J15"/>
      <selection pane="bottomRight" activeCell="E5" sqref="E5:G16"/>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38</v>
      </c>
      <c r="D3" s="24" t="s">
        <v>119</v>
      </c>
      <c r="E3" s="103" t="s">
        <v>362</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IF(H5="","",((H5*10)/SUM($H$5:$H$16)))</f>
        <v>1.0416666666666667</v>
      </c>
      <c r="J5" s="28">
        <f>IF(F5="X",((H5*10)/SUM($H$5:$H$16)),0)</f>
        <v>0</v>
      </c>
    </row>
    <row r="6" spans="1:10" ht="28.5" customHeight="1">
      <c r="A6" s="25">
        <v>2</v>
      </c>
      <c r="B6" s="103" t="s">
        <v>363</v>
      </c>
      <c r="C6" s="103"/>
      <c r="D6" s="103"/>
      <c r="E6" s="52"/>
      <c r="F6" s="52"/>
      <c r="G6" s="52"/>
      <c r="H6" s="45">
        <v>10</v>
      </c>
      <c r="I6" s="50">
        <f t="shared" ref="I6:I16" si="0">IF(H6="","",((H6*10)/SUM($H$5:$H$16)))</f>
        <v>1.0416666666666667</v>
      </c>
      <c r="J6" s="28">
        <f t="shared" ref="J6:J16" si="1">IF(F6="X",((H6*10)/SUM($H$5:$H$16)),0)</f>
        <v>0</v>
      </c>
    </row>
    <row r="7" spans="1:10" ht="28.5" customHeight="1">
      <c r="A7" s="25">
        <v>3</v>
      </c>
      <c r="B7" s="103" t="s">
        <v>364</v>
      </c>
      <c r="C7" s="103"/>
      <c r="D7" s="103"/>
      <c r="E7" s="52"/>
      <c r="F7" s="52"/>
      <c r="G7" s="52"/>
      <c r="H7" s="45">
        <v>6</v>
      </c>
      <c r="I7" s="50">
        <f t="shared" si="0"/>
        <v>0.625</v>
      </c>
      <c r="J7" s="28">
        <f t="shared" si="1"/>
        <v>0</v>
      </c>
    </row>
    <row r="8" spans="1:10" ht="28.5" customHeight="1">
      <c r="A8" s="25">
        <v>4</v>
      </c>
      <c r="B8" s="103" t="s">
        <v>365</v>
      </c>
      <c r="C8" s="103"/>
      <c r="D8" s="103"/>
      <c r="E8" s="52"/>
      <c r="F8" s="52"/>
      <c r="G8" s="52"/>
      <c r="H8" s="45">
        <v>6</v>
      </c>
      <c r="I8" s="50">
        <f t="shared" si="0"/>
        <v>0.625</v>
      </c>
      <c r="J8" s="28">
        <f t="shared" si="1"/>
        <v>0</v>
      </c>
    </row>
    <row r="9" spans="1:10" ht="28.5" customHeight="1">
      <c r="A9" s="25">
        <v>5</v>
      </c>
      <c r="B9" s="103" t="s">
        <v>366</v>
      </c>
      <c r="C9" s="103"/>
      <c r="D9" s="103"/>
      <c r="E9" s="52"/>
      <c r="F9" s="52"/>
      <c r="G9" s="52"/>
      <c r="H9" s="45">
        <v>10</v>
      </c>
      <c r="I9" s="50">
        <f t="shared" si="0"/>
        <v>1.0416666666666667</v>
      </c>
      <c r="J9" s="28">
        <f t="shared" si="1"/>
        <v>0</v>
      </c>
    </row>
    <row r="10" spans="1:10" ht="42.75" customHeight="1">
      <c r="A10" s="25">
        <v>6</v>
      </c>
      <c r="B10" s="103" t="s">
        <v>367</v>
      </c>
      <c r="C10" s="103"/>
      <c r="D10" s="103"/>
      <c r="E10" s="52"/>
      <c r="F10" s="52"/>
      <c r="G10" s="52"/>
      <c r="H10" s="45">
        <v>10</v>
      </c>
      <c r="I10" s="50">
        <f t="shared" si="0"/>
        <v>1.0416666666666667</v>
      </c>
      <c r="J10" s="28">
        <f t="shared" si="1"/>
        <v>0</v>
      </c>
    </row>
    <row r="11" spans="1:10" ht="57" customHeight="1">
      <c r="A11" s="25">
        <v>7</v>
      </c>
      <c r="B11" s="103" t="s">
        <v>324</v>
      </c>
      <c r="C11" s="103"/>
      <c r="D11" s="103"/>
      <c r="E11" s="52"/>
      <c r="F11" s="52"/>
      <c r="G11" s="52"/>
      <c r="H11" s="45">
        <v>10</v>
      </c>
      <c r="I11" s="50">
        <f t="shared" si="0"/>
        <v>1.0416666666666667</v>
      </c>
      <c r="J11" s="28">
        <f t="shared" si="1"/>
        <v>0</v>
      </c>
    </row>
    <row r="12" spans="1:10" ht="28.5" customHeight="1">
      <c r="A12" s="25">
        <v>8</v>
      </c>
      <c r="B12" s="103" t="s">
        <v>368</v>
      </c>
      <c r="C12" s="103"/>
      <c r="D12" s="103"/>
      <c r="E12" s="52"/>
      <c r="F12" s="52"/>
      <c r="G12" s="52"/>
      <c r="H12" s="45">
        <v>6</v>
      </c>
      <c r="I12" s="50">
        <f t="shared" si="0"/>
        <v>0.625</v>
      </c>
      <c r="J12" s="28">
        <f t="shared" si="1"/>
        <v>0</v>
      </c>
    </row>
    <row r="13" spans="1:10" ht="28.5" customHeight="1">
      <c r="A13" s="25">
        <v>9</v>
      </c>
      <c r="B13" s="103" t="s">
        <v>369</v>
      </c>
      <c r="C13" s="103"/>
      <c r="D13" s="103"/>
      <c r="E13" s="52"/>
      <c r="F13" s="52"/>
      <c r="G13" s="52"/>
      <c r="H13" s="45">
        <v>6</v>
      </c>
      <c r="I13" s="50">
        <f t="shared" si="0"/>
        <v>0.625</v>
      </c>
      <c r="J13" s="28">
        <f t="shared" si="1"/>
        <v>0</v>
      </c>
    </row>
    <row r="14" spans="1:10" ht="42.75" customHeight="1">
      <c r="A14" s="25">
        <v>10</v>
      </c>
      <c r="B14" s="103" t="s">
        <v>370</v>
      </c>
      <c r="C14" s="103"/>
      <c r="D14" s="103"/>
      <c r="E14" s="52"/>
      <c r="F14" s="52"/>
      <c r="G14" s="52"/>
      <c r="H14" s="45">
        <v>10</v>
      </c>
      <c r="I14" s="50">
        <f t="shared" si="0"/>
        <v>1.0416666666666667</v>
      </c>
      <c r="J14" s="28">
        <f t="shared" si="1"/>
        <v>0</v>
      </c>
    </row>
    <row r="15" spans="1:10" ht="57" customHeight="1">
      <c r="A15" s="25">
        <v>11</v>
      </c>
      <c r="B15" s="103" t="s">
        <v>371</v>
      </c>
      <c r="C15" s="103"/>
      <c r="D15" s="103"/>
      <c r="E15" s="52"/>
      <c r="F15" s="52"/>
      <c r="G15" s="52"/>
      <c r="H15" s="45">
        <v>6</v>
      </c>
      <c r="I15" s="50">
        <f t="shared" si="0"/>
        <v>0.625</v>
      </c>
      <c r="J15" s="28">
        <f t="shared" si="1"/>
        <v>0</v>
      </c>
    </row>
    <row r="16" spans="1:10" ht="57" customHeight="1">
      <c r="A16" s="25">
        <v>12</v>
      </c>
      <c r="B16" s="103" t="s">
        <v>327</v>
      </c>
      <c r="C16" s="103"/>
      <c r="D16" s="103"/>
      <c r="E16" s="52"/>
      <c r="F16" s="52"/>
      <c r="G16" s="52"/>
      <c r="H16" s="45">
        <v>6</v>
      </c>
      <c r="I16" s="50">
        <f t="shared" si="0"/>
        <v>0.625</v>
      </c>
      <c r="J16" s="28">
        <f t="shared" si="1"/>
        <v>0</v>
      </c>
    </row>
    <row r="17" spans="1:10" ht="15">
      <c r="A17" s="104" t="s">
        <v>37</v>
      </c>
      <c r="B17" s="104"/>
      <c r="C17" s="104"/>
      <c r="D17" s="104"/>
      <c r="E17" s="104"/>
      <c r="F17" s="104"/>
      <c r="G17" s="104"/>
      <c r="H17" s="104"/>
      <c r="I17" s="51">
        <f>SUM(I5:I16)</f>
        <v>10</v>
      </c>
      <c r="J17" s="49">
        <f>SUM(J5:J16)</f>
        <v>0</v>
      </c>
    </row>
  </sheetData>
  <mergeCells count="20">
    <mergeCell ref="A17:H17"/>
    <mergeCell ref="B14:D14"/>
    <mergeCell ref="B15:D15"/>
    <mergeCell ref="B16:D16"/>
    <mergeCell ref="B11:D11"/>
    <mergeCell ref="B12:D12"/>
    <mergeCell ref="B13:D13"/>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EA5E7-F118-4C4D-9DA8-1C3B17888DD9}">
  <dimension ref="A1:J18"/>
  <sheetViews>
    <sheetView workbookViewId="0">
      <pane xSplit="4" ySplit="4" topLeftCell="E5" activePane="bottomRight" state="frozen"/>
      <selection activeCell="C3" sqref="C3"/>
      <selection pane="topRight" activeCell="C3" sqref="C3"/>
      <selection pane="bottomLeft" activeCell="C3" sqref="C3"/>
      <selection pane="bottomRight" activeCell="C1" sqref="C1:J1"/>
    </sheetView>
  </sheetViews>
  <sheetFormatPr baseColWidth="10" defaultRowHeight="14.25"/>
  <cols>
    <col min="1" max="1" width="4.75" customWidth="1"/>
    <col min="2" max="4" width="17.75" customWidth="1"/>
    <col min="5" max="6" width="4.75" customWidth="1"/>
    <col min="7" max="7" width="9.8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372</v>
      </c>
      <c r="E3" s="103" t="s">
        <v>373</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IF(H5="","",((H5*10)/SUM($H$5:$H$17)))</f>
        <v>0.90909090909090906</v>
      </c>
      <c r="J5" s="28">
        <f>IF(F5="X",((H5*10)/SUM($H$5:$H$17)),0)</f>
        <v>0</v>
      </c>
    </row>
    <row r="6" spans="1:10" ht="42.75" customHeight="1">
      <c r="A6" s="25">
        <v>2</v>
      </c>
      <c r="B6" s="103" t="s">
        <v>374</v>
      </c>
      <c r="C6" s="103"/>
      <c r="D6" s="103"/>
      <c r="E6" s="52"/>
      <c r="F6" s="52"/>
      <c r="G6" s="52"/>
      <c r="H6" s="45">
        <v>6</v>
      </c>
      <c r="I6" s="50">
        <f t="shared" ref="I6:I17" si="0">IF(H6="","",((H6*10)/SUM($H$5:$H$17)))</f>
        <v>0.54545454545454541</v>
      </c>
      <c r="J6" s="28">
        <f t="shared" ref="J6:J17" si="1">IF(F6="X",((H6*10)/SUM($H$5:$H$17)),0)</f>
        <v>0</v>
      </c>
    </row>
    <row r="7" spans="1:10" ht="28.5" customHeight="1">
      <c r="A7" s="25">
        <v>3</v>
      </c>
      <c r="B7" s="103" t="s">
        <v>375</v>
      </c>
      <c r="C7" s="103"/>
      <c r="D7" s="103"/>
      <c r="E7" s="52"/>
      <c r="F7" s="52"/>
      <c r="G7" s="52"/>
      <c r="H7" s="45">
        <v>6</v>
      </c>
      <c r="I7" s="50">
        <f t="shared" si="0"/>
        <v>0.54545454545454541</v>
      </c>
      <c r="J7" s="28">
        <f t="shared" si="1"/>
        <v>0</v>
      </c>
    </row>
    <row r="8" spans="1:10" ht="42.75" customHeight="1">
      <c r="A8" s="25">
        <v>4</v>
      </c>
      <c r="B8" s="103" t="s">
        <v>376</v>
      </c>
      <c r="C8" s="103"/>
      <c r="D8" s="103"/>
      <c r="E8" s="52"/>
      <c r="F8" s="52"/>
      <c r="G8" s="52"/>
      <c r="H8" s="45">
        <v>10</v>
      </c>
      <c r="I8" s="50">
        <f t="shared" si="0"/>
        <v>0.90909090909090906</v>
      </c>
      <c r="J8" s="28">
        <f t="shared" si="1"/>
        <v>0</v>
      </c>
    </row>
    <row r="9" spans="1:10" ht="28.5" customHeight="1">
      <c r="A9" s="25">
        <v>5</v>
      </c>
      <c r="B9" s="103" t="s">
        <v>377</v>
      </c>
      <c r="C9" s="103"/>
      <c r="D9" s="103"/>
      <c r="E9" s="52"/>
      <c r="F9" s="52"/>
      <c r="G9" s="52"/>
      <c r="H9" s="45">
        <v>10</v>
      </c>
      <c r="I9" s="50">
        <f t="shared" si="0"/>
        <v>0.90909090909090906</v>
      </c>
      <c r="J9" s="28">
        <f t="shared" si="1"/>
        <v>0</v>
      </c>
    </row>
    <row r="10" spans="1:10" ht="28.5" customHeight="1">
      <c r="A10" s="25">
        <v>6</v>
      </c>
      <c r="B10" s="103" t="s">
        <v>378</v>
      </c>
      <c r="C10" s="103"/>
      <c r="D10" s="103"/>
      <c r="E10" s="52"/>
      <c r="F10" s="52"/>
      <c r="G10" s="52"/>
      <c r="H10" s="45">
        <v>10</v>
      </c>
      <c r="I10" s="50">
        <f t="shared" si="0"/>
        <v>0.90909090909090906</v>
      </c>
      <c r="J10" s="28">
        <f t="shared" si="1"/>
        <v>0</v>
      </c>
    </row>
    <row r="11" spans="1:10" ht="42.75" customHeight="1">
      <c r="A11" s="25">
        <v>7</v>
      </c>
      <c r="B11" s="103" t="s">
        <v>379</v>
      </c>
      <c r="C11" s="103"/>
      <c r="D11" s="103"/>
      <c r="E11" s="52"/>
      <c r="F11" s="52"/>
      <c r="G11" s="52"/>
      <c r="H11" s="45">
        <v>6</v>
      </c>
      <c r="I11" s="50">
        <f t="shared" si="0"/>
        <v>0.54545454545454541</v>
      </c>
      <c r="J11" s="28">
        <f t="shared" si="1"/>
        <v>0</v>
      </c>
    </row>
    <row r="12" spans="1:10" ht="28.5" customHeight="1">
      <c r="A12" s="25">
        <v>8</v>
      </c>
      <c r="B12" s="103" t="s">
        <v>380</v>
      </c>
      <c r="C12" s="103"/>
      <c r="D12" s="103"/>
      <c r="E12" s="52"/>
      <c r="F12" s="52"/>
      <c r="G12" s="52"/>
      <c r="H12" s="45">
        <v>10</v>
      </c>
      <c r="I12" s="50">
        <f t="shared" si="0"/>
        <v>0.90909090909090906</v>
      </c>
      <c r="J12" s="28">
        <f t="shared" si="1"/>
        <v>0</v>
      </c>
    </row>
    <row r="13" spans="1:10" ht="42.75" customHeight="1">
      <c r="A13" s="25">
        <v>9</v>
      </c>
      <c r="B13" s="103" t="s">
        <v>381</v>
      </c>
      <c r="C13" s="103"/>
      <c r="D13" s="103"/>
      <c r="E13" s="52"/>
      <c r="F13" s="52"/>
      <c r="G13" s="52"/>
      <c r="H13" s="45">
        <v>10</v>
      </c>
      <c r="I13" s="50">
        <f t="shared" si="0"/>
        <v>0.90909090909090906</v>
      </c>
      <c r="J13" s="28">
        <f t="shared" si="1"/>
        <v>0</v>
      </c>
    </row>
    <row r="14" spans="1:10" ht="28.5" customHeight="1">
      <c r="A14" s="25">
        <v>10</v>
      </c>
      <c r="B14" s="103" t="s">
        <v>382</v>
      </c>
      <c r="C14" s="103"/>
      <c r="D14" s="103"/>
      <c r="E14" s="52"/>
      <c r="F14" s="52"/>
      <c r="G14" s="52"/>
      <c r="H14" s="45">
        <v>10</v>
      </c>
      <c r="I14" s="50">
        <f t="shared" si="0"/>
        <v>0.90909090909090906</v>
      </c>
      <c r="J14" s="28">
        <f t="shared" si="1"/>
        <v>0</v>
      </c>
    </row>
    <row r="15" spans="1:10" ht="42.75" customHeight="1">
      <c r="A15" s="25">
        <v>11</v>
      </c>
      <c r="B15" s="103" t="s">
        <v>383</v>
      </c>
      <c r="C15" s="103"/>
      <c r="D15" s="103"/>
      <c r="E15" s="52"/>
      <c r="F15" s="52"/>
      <c r="G15" s="52"/>
      <c r="H15" s="45">
        <v>10</v>
      </c>
      <c r="I15" s="50">
        <f t="shared" si="0"/>
        <v>0.90909090909090906</v>
      </c>
      <c r="J15" s="28">
        <f t="shared" si="1"/>
        <v>0</v>
      </c>
    </row>
    <row r="16" spans="1:10" ht="57" customHeight="1">
      <c r="A16" s="25">
        <v>12</v>
      </c>
      <c r="B16" s="103" t="s">
        <v>384</v>
      </c>
      <c r="C16" s="103"/>
      <c r="D16" s="103"/>
      <c r="E16" s="52"/>
      <c r="F16" s="52"/>
      <c r="G16" s="52"/>
      <c r="H16" s="45">
        <v>2</v>
      </c>
      <c r="I16" s="50">
        <f t="shared" si="0"/>
        <v>0.18181818181818182</v>
      </c>
      <c r="J16" s="28">
        <f t="shared" si="1"/>
        <v>0</v>
      </c>
    </row>
    <row r="17" spans="1:10" ht="28.5" customHeight="1">
      <c r="A17" s="25">
        <v>13</v>
      </c>
      <c r="B17" s="103" t="s">
        <v>385</v>
      </c>
      <c r="C17" s="103"/>
      <c r="D17" s="103"/>
      <c r="E17" s="52"/>
      <c r="F17" s="52"/>
      <c r="G17" s="52"/>
      <c r="H17" s="45">
        <v>10</v>
      </c>
      <c r="I17" s="50">
        <f t="shared" si="0"/>
        <v>0.90909090909090906</v>
      </c>
      <c r="J17" s="28">
        <f t="shared" si="1"/>
        <v>0</v>
      </c>
    </row>
    <row r="18" spans="1:10" ht="15">
      <c r="A18" s="104" t="s">
        <v>37</v>
      </c>
      <c r="B18" s="104"/>
      <c r="C18" s="104"/>
      <c r="D18" s="104"/>
      <c r="E18" s="104"/>
      <c r="F18" s="104"/>
      <c r="G18" s="104"/>
      <c r="H18" s="104"/>
      <c r="I18" s="51">
        <f>SUM(I5:I17)</f>
        <v>9.9999999999999982</v>
      </c>
      <c r="J18" s="49">
        <f>SUM(J5:J17)</f>
        <v>0</v>
      </c>
    </row>
  </sheetData>
  <mergeCells count="21">
    <mergeCell ref="B17:D17"/>
    <mergeCell ref="A18:H18"/>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F8C7E-5313-46CF-A916-2985E397EEB2}">
  <dimension ref="A1:J16"/>
  <sheetViews>
    <sheetView workbookViewId="0">
      <pane xSplit="4" ySplit="4" topLeftCell="E5" activePane="bottomRight" state="frozen"/>
      <selection activeCell="C3" sqref="C3"/>
      <selection pane="topRight" activeCell="C3" sqref="C3"/>
      <selection pane="bottomLeft" activeCell="C3" sqref="C3"/>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133</v>
      </c>
      <c r="E3" s="103" t="s">
        <v>386</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IF(H5="","",((H5*10)/SUM($H$5:$H$15)))</f>
        <v>1.5151515151515151</v>
      </c>
      <c r="J5" s="28">
        <f>IF(F5="X",((H5*10)/SUM($H$5:$H$15)),0)</f>
        <v>0</v>
      </c>
    </row>
    <row r="6" spans="1:10" ht="42.75" customHeight="1">
      <c r="A6" s="25">
        <v>2</v>
      </c>
      <c r="B6" s="103" t="s">
        <v>387</v>
      </c>
      <c r="C6" s="103"/>
      <c r="D6" s="103"/>
      <c r="E6" s="52"/>
      <c r="F6" s="52"/>
      <c r="G6" s="52"/>
      <c r="H6" s="45">
        <v>6</v>
      </c>
      <c r="I6" s="50">
        <f t="shared" ref="I6:I15" si="0">IF(H6="","",((H6*10)/SUM($H$5:$H$15)))</f>
        <v>0.90909090909090906</v>
      </c>
      <c r="J6" s="28">
        <f t="shared" ref="J6:J15" si="1">IF(F6="X",((H6*10)/SUM($H$5:$H$15)),0)</f>
        <v>0</v>
      </c>
    </row>
    <row r="7" spans="1:10" ht="42.75" customHeight="1">
      <c r="A7" s="25">
        <v>3</v>
      </c>
      <c r="B7" s="103" t="s">
        <v>388</v>
      </c>
      <c r="C7" s="103"/>
      <c r="D7" s="103"/>
      <c r="E7" s="52"/>
      <c r="F7" s="52"/>
      <c r="G7" s="52"/>
      <c r="H7" s="45">
        <v>2</v>
      </c>
      <c r="I7" s="50">
        <f t="shared" si="0"/>
        <v>0.30303030303030304</v>
      </c>
      <c r="J7" s="28">
        <f t="shared" si="1"/>
        <v>0</v>
      </c>
    </row>
    <row r="8" spans="1:10" ht="42.75" customHeight="1">
      <c r="A8" s="25">
        <v>4</v>
      </c>
      <c r="B8" s="103" t="s">
        <v>389</v>
      </c>
      <c r="C8" s="103"/>
      <c r="D8" s="103"/>
      <c r="E8" s="52"/>
      <c r="F8" s="52"/>
      <c r="G8" s="52"/>
      <c r="H8" s="45">
        <v>2</v>
      </c>
      <c r="I8" s="50">
        <f t="shared" si="0"/>
        <v>0.30303030303030304</v>
      </c>
      <c r="J8" s="28">
        <f t="shared" si="1"/>
        <v>0</v>
      </c>
    </row>
    <row r="9" spans="1:10" ht="28.5" customHeight="1">
      <c r="A9" s="25">
        <v>5</v>
      </c>
      <c r="B9" s="103" t="s">
        <v>390</v>
      </c>
      <c r="C9" s="103"/>
      <c r="D9" s="103"/>
      <c r="E9" s="52"/>
      <c r="F9" s="52"/>
      <c r="G9" s="52"/>
      <c r="H9" s="45">
        <v>6</v>
      </c>
      <c r="I9" s="50">
        <f t="shared" si="0"/>
        <v>0.90909090909090906</v>
      </c>
      <c r="J9" s="28">
        <f t="shared" si="1"/>
        <v>0</v>
      </c>
    </row>
    <row r="10" spans="1:10" ht="28.5" customHeight="1">
      <c r="A10" s="25">
        <v>6</v>
      </c>
      <c r="B10" s="103" t="s">
        <v>391</v>
      </c>
      <c r="C10" s="103"/>
      <c r="D10" s="103"/>
      <c r="E10" s="52"/>
      <c r="F10" s="52"/>
      <c r="G10" s="52"/>
      <c r="H10" s="45">
        <v>10</v>
      </c>
      <c r="I10" s="50">
        <f t="shared" si="0"/>
        <v>1.5151515151515151</v>
      </c>
      <c r="J10" s="28">
        <f t="shared" si="1"/>
        <v>0</v>
      </c>
    </row>
    <row r="11" spans="1:10" ht="28.5" customHeight="1">
      <c r="A11" s="25">
        <v>7</v>
      </c>
      <c r="B11" s="103" t="s">
        <v>141</v>
      </c>
      <c r="C11" s="103"/>
      <c r="D11" s="103"/>
      <c r="E11" s="52"/>
      <c r="F11" s="52"/>
      <c r="G11" s="52"/>
      <c r="H11" s="45">
        <v>10</v>
      </c>
      <c r="I11" s="50">
        <f t="shared" si="0"/>
        <v>1.5151515151515151</v>
      </c>
      <c r="J11" s="28">
        <f t="shared" si="1"/>
        <v>0</v>
      </c>
    </row>
    <row r="12" spans="1:10" ht="28.5" customHeight="1">
      <c r="A12" s="25">
        <v>8</v>
      </c>
      <c r="B12" s="103" t="s">
        <v>392</v>
      </c>
      <c r="C12" s="103"/>
      <c r="D12" s="103"/>
      <c r="E12" s="52"/>
      <c r="F12" s="52"/>
      <c r="G12" s="52"/>
      <c r="H12" s="45">
        <v>6</v>
      </c>
      <c r="I12" s="50">
        <f t="shared" si="0"/>
        <v>0.90909090909090906</v>
      </c>
      <c r="J12" s="28">
        <f t="shared" si="1"/>
        <v>0</v>
      </c>
    </row>
    <row r="13" spans="1:10" ht="42.75" customHeight="1">
      <c r="A13" s="25">
        <v>9</v>
      </c>
      <c r="B13" s="103" t="s">
        <v>393</v>
      </c>
      <c r="C13" s="103"/>
      <c r="D13" s="103"/>
      <c r="E13" s="52"/>
      <c r="F13" s="52"/>
      <c r="G13" s="52"/>
      <c r="H13" s="45">
        <v>2</v>
      </c>
      <c r="I13" s="50">
        <f t="shared" si="0"/>
        <v>0.30303030303030304</v>
      </c>
      <c r="J13" s="28">
        <f t="shared" si="1"/>
        <v>0</v>
      </c>
    </row>
    <row r="14" spans="1:10" ht="28.5" customHeight="1">
      <c r="A14" s="25">
        <v>10</v>
      </c>
      <c r="B14" s="103" t="s">
        <v>385</v>
      </c>
      <c r="C14" s="103"/>
      <c r="D14" s="103"/>
      <c r="E14" s="52"/>
      <c r="F14" s="52"/>
      <c r="G14" s="52"/>
      <c r="H14" s="45">
        <v>6</v>
      </c>
      <c r="I14" s="50">
        <f t="shared" si="0"/>
        <v>0.90909090909090906</v>
      </c>
      <c r="J14" s="28">
        <f t="shared" si="1"/>
        <v>0</v>
      </c>
    </row>
    <row r="15" spans="1:10" ht="15">
      <c r="A15" s="25">
        <v>11</v>
      </c>
      <c r="B15" s="103" t="s">
        <v>145</v>
      </c>
      <c r="C15" s="103"/>
      <c r="D15" s="103"/>
      <c r="E15" s="52"/>
      <c r="F15" s="52"/>
      <c r="G15" s="52"/>
      <c r="H15" s="45">
        <v>6</v>
      </c>
      <c r="I15" s="50">
        <f t="shared" si="0"/>
        <v>0.90909090909090906</v>
      </c>
      <c r="J15" s="28">
        <f t="shared" si="1"/>
        <v>0</v>
      </c>
    </row>
    <row r="16" spans="1:10" ht="15">
      <c r="A16" s="104" t="s">
        <v>37</v>
      </c>
      <c r="B16" s="104"/>
      <c r="C16" s="104"/>
      <c r="D16" s="104"/>
      <c r="E16" s="104"/>
      <c r="F16" s="104"/>
      <c r="G16" s="104"/>
      <c r="H16" s="104"/>
      <c r="I16" s="51">
        <f>SUM(I5:I15)</f>
        <v>10</v>
      </c>
      <c r="J16" s="49">
        <f>SUM(J5:J15)</f>
        <v>0</v>
      </c>
    </row>
  </sheetData>
  <mergeCells count="19">
    <mergeCell ref="B14:D14"/>
    <mergeCell ref="B15:D15"/>
    <mergeCell ref="A16:H16"/>
    <mergeCell ref="B8:D8"/>
    <mergeCell ref="B9:D9"/>
    <mergeCell ref="B10:D10"/>
    <mergeCell ref="B11:D11"/>
    <mergeCell ref="B12:D12"/>
    <mergeCell ref="B13:D13"/>
    <mergeCell ref="A1:B1"/>
    <mergeCell ref="A2:B2"/>
    <mergeCell ref="C1:J1"/>
    <mergeCell ref="C2:J2"/>
    <mergeCell ref="B7:D7"/>
    <mergeCell ref="A3:B3"/>
    <mergeCell ref="E3:J3"/>
    <mergeCell ref="B4:D4"/>
    <mergeCell ref="B5:D5"/>
    <mergeCell ref="B6:D6"/>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5723-CB1D-4005-B56C-3D0ABBE89380}">
  <dimension ref="A1:J17"/>
  <sheetViews>
    <sheetView workbookViewId="0">
      <pane xSplit="4" ySplit="4" topLeftCell="E5" activePane="bottomRight" state="frozen"/>
      <selection activeCell="B5" sqref="A1:J17"/>
      <selection pane="topRight" activeCell="B5" sqref="A1:J17"/>
      <selection pane="bottomLeft" activeCell="B5" sqref="A1:J17"/>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90">
      <c r="A3" s="77" t="s">
        <v>22</v>
      </c>
      <c r="B3" s="77"/>
      <c r="C3" s="26" t="s">
        <v>38</v>
      </c>
      <c r="D3" s="24" t="s">
        <v>285</v>
      </c>
      <c r="E3" s="103" t="s">
        <v>394</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57" customHeight="1">
      <c r="A5" s="25">
        <v>1</v>
      </c>
      <c r="B5" s="103" t="s">
        <v>395</v>
      </c>
      <c r="C5" s="103"/>
      <c r="D5" s="103"/>
      <c r="E5" s="52"/>
      <c r="F5" s="52"/>
      <c r="G5" s="52"/>
      <c r="H5" s="45">
        <v>6</v>
      </c>
      <c r="I5" s="50">
        <f>IF(H5="","",((H5*10)/SUM($H$5:$H$16)))</f>
        <v>0.83333333333333337</v>
      </c>
      <c r="J5" s="28">
        <f>IF(F5="X",((H5*10)/SUM($H$5:$H$16)),0)</f>
        <v>0</v>
      </c>
    </row>
    <row r="6" spans="1:10" ht="28.5" customHeight="1">
      <c r="A6" s="25">
        <v>2</v>
      </c>
      <c r="B6" s="103" t="s">
        <v>59</v>
      </c>
      <c r="C6" s="103"/>
      <c r="D6" s="103"/>
      <c r="E6" s="52"/>
      <c r="F6" s="52"/>
      <c r="G6" s="52"/>
      <c r="H6" s="45">
        <v>2</v>
      </c>
      <c r="I6" s="50">
        <f t="shared" ref="I6:I16" si="0">IF(H6="","",((H6*10)/SUM($H$5:$H$16)))</f>
        <v>0.27777777777777779</v>
      </c>
      <c r="J6" s="28">
        <f t="shared" ref="J6:J16" si="1">IF(F6="X",((H6*10)/SUM($H$5:$H$16)),0)</f>
        <v>0</v>
      </c>
    </row>
    <row r="7" spans="1:10" ht="28.5" customHeight="1">
      <c r="A7" s="25">
        <v>3</v>
      </c>
      <c r="B7" s="103" t="s">
        <v>396</v>
      </c>
      <c r="C7" s="103"/>
      <c r="D7" s="103"/>
      <c r="E7" s="52"/>
      <c r="F7" s="52"/>
      <c r="G7" s="52"/>
      <c r="H7" s="45">
        <v>10</v>
      </c>
      <c r="I7" s="50">
        <f t="shared" si="0"/>
        <v>1.3888888888888888</v>
      </c>
      <c r="J7" s="28">
        <f t="shared" si="1"/>
        <v>0</v>
      </c>
    </row>
    <row r="8" spans="1:10" ht="42.75" customHeight="1">
      <c r="A8" s="25">
        <v>4</v>
      </c>
      <c r="B8" s="103" t="s">
        <v>397</v>
      </c>
      <c r="C8" s="103"/>
      <c r="D8" s="103"/>
      <c r="E8" s="52"/>
      <c r="F8" s="52"/>
      <c r="G8" s="52"/>
      <c r="H8" s="45">
        <v>6</v>
      </c>
      <c r="I8" s="50">
        <f t="shared" si="0"/>
        <v>0.83333333333333337</v>
      </c>
      <c r="J8" s="28">
        <f t="shared" si="1"/>
        <v>0</v>
      </c>
    </row>
    <row r="9" spans="1:10" ht="28.5" customHeight="1">
      <c r="A9" s="25">
        <v>5</v>
      </c>
      <c r="B9" s="103" t="s">
        <v>398</v>
      </c>
      <c r="C9" s="103"/>
      <c r="D9" s="103"/>
      <c r="E9" s="52"/>
      <c r="F9" s="52"/>
      <c r="G9" s="52"/>
      <c r="H9" s="45">
        <v>10</v>
      </c>
      <c r="I9" s="50">
        <f t="shared" si="0"/>
        <v>1.3888888888888888</v>
      </c>
      <c r="J9" s="28">
        <f t="shared" si="1"/>
        <v>0</v>
      </c>
    </row>
    <row r="10" spans="1:10" ht="28.5" customHeight="1">
      <c r="A10" s="25">
        <v>6</v>
      </c>
      <c r="B10" s="103" t="s">
        <v>399</v>
      </c>
      <c r="C10" s="103"/>
      <c r="D10" s="103"/>
      <c r="E10" s="52"/>
      <c r="F10" s="52"/>
      <c r="G10" s="52"/>
      <c r="H10" s="45">
        <v>10</v>
      </c>
      <c r="I10" s="50">
        <f t="shared" si="0"/>
        <v>1.3888888888888888</v>
      </c>
      <c r="J10" s="28">
        <f t="shared" si="1"/>
        <v>0</v>
      </c>
    </row>
    <row r="11" spans="1:10" ht="28.5" customHeight="1">
      <c r="A11" s="25">
        <v>7</v>
      </c>
      <c r="B11" s="103" t="s">
        <v>400</v>
      </c>
      <c r="C11" s="103"/>
      <c r="D11" s="103"/>
      <c r="E11" s="52"/>
      <c r="F11" s="52"/>
      <c r="G11" s="52"/>
      <c r="H11" s="45">
        <v>2</v>
      </c>
      <c r="I11" s="50">
        <f t="shared" si="0"/>
        <v>0.27777777777777779</v>
      </c>
      <c r="J11" s="28">
        <f t="shared" si="1"/>
        <v>0</v>
      </c>
    </row>
    <row r="12" spans="1:10" ht="28.5" customHeight="1">
      <c r="A12" s="25">
        <v>8</v>
      </c>
      <c r="B12" s="103" t="s">
        <v>154</v>
      </c>
      <c r="C12" s="103"/>
      <c r="D12" s="103"/>
      <c r="E12" s="52"/>
      <c r="F12" s="52"/>
      <c r="G12" s="52"/>
      <c r="H12" s="45">
        <v>10</v>
      </c>
      <c r="I12" s="50">
        <f t="shared" si="0"/>
        <v>1.3888888888888888</v>
      </c>
      <c r="J12" s="28">
        <f t="shared" si="1"/>
        <v>0</v>
      </c>
    </row>
    <row r="13" spans="1:10" ht="28.5" customHeight="1">
      <c r="A13" s="25">
        <v>9</v>
      </c>
      <c r="B13" s="103" t="s">
        <v>401</v>
      </c>
      <c r="C13" s="103"/>
      <c r="D13" s="103"/>
      <c r="E13" s="52"/>
      <c r="F13" s="52"/>
      <c r="G13" s="52"/>
      <c r="H13" s="45">
        <v>2</v>
      </c>
      <c r="I13" s="50">
        <f t="shared" si="0"/>
        <v>0.27777777777777779</v>
      </c>
      <c r="J13" s="28">
        <f t="shared" si="1"/>
        <v>0</v>
      </c>
    </row>
    <row r="14" spans="1:10" ht="28.5" customHeight="1">
      <c r="A14" s="25">
        <v>10</v>
      </c>
      <c r="B14" s="103" t="s">
        <v>402</v>
      </c>
      <c r="C14" s="103"/>
      <c r="D14" s="103"/>
      <c r="E14" s="52"/>
      <c r="F14" s="52"/>
      <c r="G14" s="52"/>
      <c r="H14" s="45">
        <v>6</v>
      </c>
      <c r="I14" s="50">
        <f t="shared" si="0"/>
        <v>0.83333333333333337</v>
      </c>
      <c r="J14" s="28">
        <f t="shared" si="1"/>
        <v>0</v>
      </c>
    </row>
    <row r="15" spans="1:10" ht="42.75" customHeight="1">
      <c r="A15" s="25">
        <v>11</v>
      </c>
      <c r="B15" s="103" t="s">
        <v>403</v>
      </c>
      <c r="C15" s="103"/>
      <c r="D15" s="103"/>
      <c r="E15" s="52"/>
      <c r="F15" s="52"/>
      <c r="G15" s="52"/>
      <c r="H15" s="45">
        <v>6</v>
      </c>
      <c r="I15" s="50">
        <f t="shared" si="0"/>
        <v>0.83333333333333337</v>
      </c>
      <c r="J15" s="28">
        <f t="shared" si="1"/>
        <v>0</v>
      </c>
    </row>
    <row r="16" spans="1:10" ht="42.75" customHeight="1">
      <c r="A16" s="25">
        <v>12</v>
      </c>
      <c r="B16" s="103" t="s">
        <v>404</v>
      </c>
      <c r="C16" s="103"/>
      <c r="D16" s="103"/>
      <c r="E16" s="52"/>
      <c r="F16" s="52"/>
      <c r="G16" s="52"/>
      <c r="H16" s="45">
        <v>2</v>
      </c>
      <c r="I16" s="50">
        <f t="shared" si="0"/>
        <v>0.27777777777777779</v>
      </c>
      <c r="J16" s="28">
        <f t="shared" si="1"/>
        <v>0</v>
      </c>
    </row>
    <row r="17" spans="1:10" ht="15">
      <c r="A17" s="104" t="s">
        <v>37</v>
      </c>
      <c r="B17" s="104"/>
      <c r="C17" s="104"/>
      <c r="D17" s="104"/>
      <c r="E17" s="104"/>
      <c r="F17" s="104"/>
      <c r="G17" s="104"/>
      <c r="H17" s="104"/>
      <c r="I17" s="51">
        <f>SUM(I5:I16)</f>
        <v>10.000000000000002</v>
      </c>
      <c r="J17" s="49">
        <f>SUM(J5:J16)</f>
        <v>0</v>
      </c>
    </row>
  </sheetData>
  <mergeCells count="20">
    <mergeCell ref="A17:H17"/>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7F05-CFF2-4160-819D-35B0695CB247}">
  <dimension ref="A1:J18"/>
  <sheetViews>
    <sheetView workbookViewId="0">
      <pane xSplit="4" ySplit="4" topLeftCell="E5" activePane="bottomRight" state="frozen"/>
      <selection activeCell="B5" sqref="A1:J17"/>
      <selection pane="topRight" activeCell="B5" sqref="A1:J17"/>
      <selection pane="bottomLeft" activeCell="B5" sqref="A1:J17"/>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90">
      <c r="A3" s="77" t="s">
        <v>22</v>
      </c>
      <c r="B3" s="77"/>
      <c r="C3" s="26" t="s">
        <v>38</v>
      </c>
      <c r="D3" s="24" t="s">
        <v>286</v>
      </c>
      <c r="E3" s="103" t="s">
        <v>405</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217</v>
      </c>
      <c r="C5" s="103"/>
      <c r="D5" s="103"/>
      <c r="E5" s="52"/>
      <c r="F5" s="52"/>
      <c r="G5" s="52"/>
      <c r="H5" s="45">
        <v>10</v>
      </c>
      <c r="I5" s="50">
        <f>IF(H5="","",((H5*10)/SUM($H$5:$H$17)))</f>
        <v>1.2195121951219512</v>
      </c>
      <c r="J5" s="28">
        <f>IF(F5="X",((H5*10)/SUM($H$5:$H$17)),0)</f>
        <v>0</v>
      </c>
    </row>
    <row r="6" spans="1:10" ht="28.5" customHeight="1">
      <c r="A6" s="25">
        <v>2</v>
      </c>
      <c r="B6" s="103" t="s">
        <v>396</v>
      </c>
      <c r="C6" s="103"/>
      <c r="D6" s="103"/>
      <c r="E6" s="52"/>
      <c r="F6" s="52"/>
      <c r="G6" s="52"/>
      <c r="H6" s="45">
        <v>10</v>
      </c>
      <c r="I6" s="50">
        <f t="shared" ref="I6:I17" si="0">IF(H6="","",((H6*10)/SUM($H$5:$H$17)))</f>
        <v>1.2195121951219512</v>
      </c>
      <c r="J6" s="28">
        <f t="shared" ref="J6:J17" si="1">IF(F6="X",((H6*10)/SUM($H$5:$H$17)),0)</f>
        <v>0</v>
      </c>
    </row>
    <row r="7" spans="1:10" ht="42.75" customHeight="1">
      <c r="A7" s="25">
        <v>3</v>
      </c>
      <c r="B7" s="103" t="s">
        <v>406</v>
      </c>
      <c r="C7" s="103"/>
      <c r="D7" s="103"/>
      <c r="E7" s="52"/>
      <c r="F7" s="52"/>
      <c r="G7" s="52"/>
      <c r="H7" s="45">
        <v>10</v>
      </c>
      <c r="I7" s="50">
        <f t="shared" si="0"/>
        <v>1.2195121951219512</v>
      </c>
      <c r="J7" s="28">
        <f t="shared" si="1"/>
        <v>0</v>
      </c>
    </row>
    <row r="8" spans="1:10" ht="42.75" customHeight="1">
      <c r="A8" s="25">
        <v>4</v>
      </c>
      <c r="B8" s="103" t="s">
        <v>397</v>
      </c>
      <c r="C8" s="103"/>
      <c r="D8" s="103"/>
      <c r="E8" s="52"/>
      <c r="F8" s="52"/>
      <c r="G8" s="52"/>
      <c r="H8" s="45">
        <v>6</v>
      </c>
      <c r="I8" s="50">
        <f t="shared" si="0"/>
        <v>0.73170731707317072</v>
      </c>
      <c r="J8" s="28">
        <f t="shared" si="1"/>
        <v>0</v>
      </c>
    </row>
    <row r="9" spans="1:10" ht="28.5" customHeight="1">
      <c r="A9" s="25">
        <v>5</v>
      </c>
      <c r="B9" s="103" t="s">
        <v>407</v>
      </c>
      <c r="C9" s="103"/>
      <c r="D9" s="103"/>
      <c r="E9" s="52"/>
      <c r="F9" s="52"/>
      <c r="G9" s="52"/>
      <c r="H9" s="45">
        <v>10</v>
      </c>
      <c r="I9" s="50">
        <f t="shared" si="0"/>
        <v>1.2195121951219512</v>
      </c>
      <c r="J9" s="28">
        <f t="shared" si="1"/>
        <v>0</v>
      </c>
    </row>
    <row r="10" spans="1:10" ht="42.75" customHeight="1">
      <c r="A10" s="25">
        <v>6</v>
      </c>
      <c r="B10" s="103" t="s">
        <v>408</v>
      </c>
      <c r="C10" s="103"/>
      <c r="D10" s="103"/>
      <c r="E10" s="52"/>
      <c r="F10" s="52"/>
      <c r="G10" s="52"/>
      <c r="H10" s="45">
        <v>2</v>
      </c>
      <c r="I10" s="50">
        <f t="shared" si="0"/>
        <v>0.24390243902439024</v>
      </c>
      <c r="J10" s="28">
        <f t="shared" si="1"/>
        <v>0</v>
      </c>
    </row>
    <row r="11" spans="1:10" ht="28.5" customHeight="1">
      <c r="A11" s="25">
        <v>7</v>
      </c>
      <c r="B11" s="103" t="s">
        <v>409</v>
      </c>
      <c r="C11" s="103"/>
      <c r="D11" s="103"/>
      <c r="E11" s="52"/>
      <c r="F11" s="52"/>
      <c r="G11" s="52"/>
      <c r="H11" s="45">
        <v>6</v>
      </c>
      <c r="I11" s="50">
        <f t="shared" si="0"/>
        <v>0.73170731707317072</v>
      </c>
      <c r="J11" s="28">
        <f t="shared" si="1"/>
        <v>0</v>
      </c>
    </row>
    <row r="12" spans="1:10" ht="28.5" customHeight="1">
      <c r="A12" s="25">
        <v>8</v>
      </c>
      <c r="B12" s="103" t="s">
        <v>410</v>
      </c>
      <c r="C12" s="103"/>
      <c r="D12" s="103"/>
      <c r="E12" s="52"/>
      <c r="F12" s="52"/>
      <c r="G12" s="52"/>
      <c r="H12" s="45">
        <v>6</v>
      </c>
      <c r="I12" s="50">
        <f t="shared" si="0"/>
        <v>0.73170731707317072</v>
      </c>
      <c r="J12" s="28">
        <f t="shared" si="1"/>
        <v>0</v>
      </c>
    </row>
    <row r="13" spans="1:10" ht="28.5" customHeight="1">
      <c r="A13" s="25">
        <v>9</v>
      </c>
      <c r="B13" s="103" t="s">
        <v>411</v>
      </c>
      <c r="C13" s="103"/>
      <c r="D13" s="103"/>
      <c r="E13" s="52"/>
      <c r="F13" s="52"/>
      <c r="G13" s="52"/>
      <c r="H13" s="45">
        <v>2</v>
      </c>
      <c r="I13" s="50">
        <f t="shared" si="0"/>
        <v>0.24390243902439024</v>
      </c>
      <c r="J13" s="28">
        <f t="shared" si="1"/>
        <v>0</v>
      </c>
    </row>
    <row r="14" spans="1:10" ht="28.5" customHeight="1">
      <c r="A14" s="25">
        <v>10</v>
      </c>
      <c r="B14" s="103" t="s">
        <v>412</v>
      </c>
      <c r="C14" s="103"/>
      <c r="D14" s="103"/>
      <c r="E14" s="52"/>
      <c r="F14" s="52"/>
      <c r="G14" s="52"/>
      <c r="H14" s="45">
        <v>2</v>
      </c>
      <c r="I14" s="50">
        <f t="shared" si="0"/>
        <v>0.24390243902439024</v>
      </c>
      <c r="J14" s="28">
        <f t="shared" si="1"/>
        <v>0</v>
      </c>
    </row>
    <row r="15" spans="1:10" ht="28.5" customHeight="1">
      <c r="A15" s="25">
        <v>11</v>
      </c>
      <c r="B15" s="103" t="s">
        <v>413</v>
      </c>
      <c r="C15" s="103"/>
      <c r="D15" s="103"/>
      <c r="E15" s="52"/>
      <c r="F15" s="52"/>
      <c r="G15" s="52"/>
      <c r="H15" s="45">
        <v>6</v>
      </c>
      <c r="I15" s="50">
        <f t="shared" si="0"/>
        <v>0.73170731707317072</v>
      </c>
      <c r="J15" s="28">
        <f t="shared" si="1"/>
        <v>0</v>
      </c>
    </row>
    <row r="16" spans="1:10" ht="28.5" customHeight="1">
      <c r="A16" s="25">
        <v>12</v>
      </c>
      <c r="B16" s="103" t="s">
        <v>414</v>
      </c>
      <c r="C16" s="103"/>
      <c r="D16" s="103"/>
      <c r="E16" s="52"/>
      <c r="F16" s="52"/>
      <c r="G16" s="52"/>
      <c r="H16" s="45">
        <v>6</v>
      </c>
      <c r="I16" s="50">
        <f t="shared" si="0"/>
        <v>0.73170731707317072</v>
      </c>
      <c r="J16" s="28">
        <f t="shared" si="1"/>
        <v>0</v>
      </c>
    </row>
    <row r="17" spans="1:10" ht="28.5" customHeight="1">
      <c r="A17" s="25">
        <v>13</v>
      </c>
      <c r="B17" s="103" t="s">
        <v>415</v>
      </c>
      <c r="C17" s="103"/>
      <c r="D17" s="103"/>
      <c r="E17" s="52"/>
      <c r="F17" s="52"/>
      <c r="G17" s="52"/>
      <c r="H17" s="45">
        <v>6</v>
      </c>
      <c r="I17" s="50">
        <f t="shared" si="0"/>
        <v>0.73170731707317072</v>
      </c>
      <c r="J17" s="28">
        <f t="shared" si="1"/>
        <v>0</v>
      </c>
    </row>
    <row r="18" spans="1:10" ht="15">
      <c r="A18" s="104" t="s">
        <v>37</v>
      </c>
      <c r="B18" s="104"/>
      <c r="C18" s="104"/>
      <c r="D18" s="104"/>
      <c r="E18" s="104"/>
      <c r="F18" s="104"/>
      <c r="G18" s="104"/>
      <c r="H18" s="104"/>
      <c r="I18" s="51">
        <f>SUM(I5:I17)</f>
        <v>10.000000000000002</v>
      </c>
      <c r="J18" s="49">
        <f>SUM(J5:J17)</f>
        <v>0</v>
      </c>
    </row>
  </sheetData>
  <mergeCells count="21">
    <mergeCell ref="B17:D17"/>
    <mergeCell ref="A18:H18"/>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9CF6B-4AC8-44D8-98A9-5736A96EDF9E}">
  <dimension ref="A1:J15"/>
  <sheetViews>
    <sheetView workbookViewId="0">
      <selection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45">
      <c r="A3" s="77" t="s">
        <v>22</v>
      </c>
      <c r="B3" s="77"/>
      <c r="C3" s="26" t="s">
        <v>38</v>
      </c>
      <c r="D3" s="24" t="s">
        <v>426</v>
      </c>
      <c r="E3" s="103">
        <v>390</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42.75" customHeight="1">
      <c r="A5" s="25">
        <v>1</v>
      </c>
      <c r="B5" s="103" t="s">
        <v>416</v>
      </c>
      <c r="C5" s="103"/>
      <c r="D5" s="103"/>
      <c r="E5" s="52"/>
      <c r="F5" s="52"/>
      <c r="G5" s="52"/>
      <c r="H5" s="45">
        <v>10</v>
      </c>
      <c r="I5" s="50">
        <f>IF(H5="","",((H5*10)/SUM($H$5:$H$14)))</f>
        <v>1.0416666666666667</v>
      </c>
      <c r="J5" s="28">
        <f>IF(F5="X",((H5*10)/SUM($H$5:$H$14)),0)</f>
        <v>0</v>
      </c>
    </row>
    <row r="6" spans="1:10" ht="28.5" customHeight="1">
      <c r="A6" s="25">
        <v>2</v>
      </c>
      <c r="B6" s="103" t="s">
        <v>417</v>
      </c>
      <c r="C6" s="103"/>
      <c r="D6" s="103"/>
      <c r="E6" s="52"/>
      <c r="F6" s="52"/>
      <c r="G6" s="52"/>
      <c r="H6" s="45">
        <v>10</v>
      </c>
      <c r="I6" s="50">
        <f t="shared" ref="I6:I14" si="0">IF(H6="","",((H6*10)/SUM($H$5:$H$14)))</f>
        <v>1.0416666666666667</v>
      </c>
      <c r="J6" s="28">
        <f t="shared" ref="J6:J14" si="1">IF(F6="X",((H6*10)/SUM($H$5:$H$14)),0)</f>
        <v>0</v>
      </c>
    </row>
    <row r="7" spans="1:10" ht="28.5" customHeight="1">
      <c r="A7" s="25">
        <v>3</v>
      </c>
      <c r="B7" s="103" t="s">
        <v>418</v>
      </c>
      <c r="C7" s="103"/>
      <c r="D7" s="103"/>
      <c r="E7" s="52"/>
      <c r="F7" s="52"/>
      <c r="G7" s="52"/>
      <c r="H7" s="45">
        <v>10</v>
      </c>
      <c r="I7" s="50">
        <f t="shared" si="0"/>
        <v>1.0416666666666667</v>
      </c>
      <c r="J7" s="28">
        <f t="shared" si="1"/>
        <v>0</v>
      </c>
    </row>
    <row r="8" spans="1:10" ht="42.75" customHeight="1">
      <c r="A8" s="25">
        <v>4</v>
      </c>
      <c r="B8" s="103" t="s">
        <v>419</v>
      </c>
      <c r="C8" s="103"/>
      <c r="D8" s="103"/>
      <c r="E8" s="52"/>
      <c r="F8" s="52"/>
      <c r="G8" s="52"/>
      <c r="H8" s="45">
        <v>10</v>
      </c>
      <c r="I8" s="50">
        <f t="shared" si="0"/>
        <v>1.0416666666666667</v>
      </c>
      <c r="J8" s="28">
        <f t="shared" si="1"/>
        <v>0</v>
      </c>
    </row>
    <row r="9" spans="1:10" ht="42.75" customHeight="1">
      <c r="A9" s="25">
        <v>5</v>
      </c>
      <c r="B9" s="103" t="s">
        <v>420</v>
      </c>
      <c r="C9" s="103"/>
      <c r="D9" s="103"/>
      <c r="E9" s="52"/>
      <c r="F9" s="52"/>
      <c r="G9" s="52"/>
      <c r="H9" s="45">
        <v>10</v>
      </c>
      <c r="I9" s="50">
        <f t="shared" si="0"/>
        <v>1.0416666666666667</v>
      </c>
      <c r="J9" s="28">
        <f t="shared" si="1"/>
        <v>0</v>
      </c>
    </row>
    <row r="10" spans="1:10" ht="42.75" customHeight="1">
      <c r="A10" s="25">
        <v>6</v>
      </c>
      <c r="B10" s="103" t="s">
        <v>421</v>
      </c>
      <c r="C10" s="103"/>
      <c r="D10" s="103"/>
      <c r="E10" s="52"/>
      <c r="F10" s="52"/>
      <c r="G10" s="52"/>
      <c r="H10" s="45">
        <v>10</v>
      </c>
      <c r="I10" s="50">
        <f t="shared" si="0"/>
        <v>1.0416666666666667</v>
      </c>
      <c r="J10" s="28">
        <f t="shared" si="1"/>
        <v>0</v>
      </c>
    </row>
    <row r="11" spans="1:10" ht="42.75" customHeight="1">
      <c r="A11" s="25">
        <v>7</v>
      </c>
      <c r="B11" s="103" t="s">
        <v>422</v>
      </c>
      <c r="C11" s="103"/>
      <c r="D11" s="103"/>
      <c r="E11" s="52"/>
      <c r="F11" s="52"/>
      <c r="G11" s="52"/>
      <c r="H11" s="45">
        <v>10</v>
      </c>
      <c r="I11" s="50">
        <f t="shared" si="0"/>
        <v>1.0416666666666667</v>
      </c>
      <c r="J11" s="28">
        <f t="shared" si="1"/>
        <v>0</v>
      </c>
    </row>
    <row r="12" spans="1:10" ht="42.75" customHeight="1">
      <c r="A12" s="25">
        <v>8</v>
      </c>
      <c r="B12" s="103" t="s">
        <v>423</v>
      </c>
      <c r="C12" s="103"/>
      <c r="D12" s="103"/>
      <c r="E12" s="52"/>
      <c r="F12" s="52"/>
      <c r="G12" s="52"/>
      <c r="H12" s="45">
        <v>6</v>
      </c>
      <c r="I12" s="50">
        <f t="shared" si="0"/>
        <v>0.625</v>
      </c>
      <c r="J12" s="28">
        <f t="shared" si="1"/>
        <v>0</v>
      </c>
    </row>
    <row r="13" spans="1:10" ht="42.75" customHeight="1">
      <c r="A13" s="25">
        <v>9</v>
      </c>
      <c r="B13" s="103" t="s">
        <v>424</v>
      </c>
      <c r="C13" s="103"/>
      <c r="D13" s="103"/>
      <c r="E13" s="52"/>
      <c r="F13" s="52"/>
      <c r="G13" s="52"/>
      <c r="H13" s="45">
        <v>10</v>
      </c>
      <c r="I13" s="50">
        <f t="shared" si="0"/>
        <v>1.0416666666666667</v>
      </c>
      <c r="J13" s="28">
        <f t="shared" si="1"/>
        <v>0</v>
      </c>
    </row>
    <row r="14" spans="1:10" ht="42.75" customHeight="1">
      <c r="A14" s="25">
        <v>10</v>
      </c>
      <c r="B14" s="103" t="s">
        <v>425</v>
      </c>
      <c r="C14" s="103"/>
      <c r="D14" s="103"/>
      <c r="E14" s="52"/>
      <c r="F14" s="52"/>
      <c r="G14" s="52"/>
      <c r="H14" s="45">
        <v>10</v>
      </c>
      <c r="I14" s="50">
        <f t="shared" si="0"/>
        <v>1.0416666666666667</v>
      </c>
      <c r="J14" s="28">
        <f t="shared" si="1"/>
        <v>0</v>
      </c>
    </row>
    <row r="15" spans="1:10" ht="15">
      <c r="A15" s="104" t="s">
        <v>37</v>
      </c>
      <c r="B15" s="104"/>
      <c r="C15" s="104"/>
      <c r="D15" s="104"/>
      <c r="E15" s="104"/>
      <c r="F15" s="104"/>
      <c r="G15" s="104"/>
      <c r="H15" s="104"/>
      <c r="I15" s="51">
        <f>SUM(I5:I14)</f>
        <v>10</v>
      </c>
      <c r="J15" s="49">
        <f>SUM(J5:J14)</f>
        <v>0</v>
      </c>
    </row>
  </sheetData>
  <mergeCells count="18">
    <mergeCell ref="B11:D11"/>
    <mergeCell ref="B12:D12"/>
    <mergeCell ref="B13:D13"/>
    <mergeCell ref="B14:D14"/>
    <mergeCell ref="A15:H15"/>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3169-F059-4F79-BA47-0A1C8279E229}">
  <dimension ref="A1:J19"/>
  <sheetViews>
    <sheetView workbookViewId="0">
      <pane xSplit="4" ySplit="4" topLeftCell="E5" activePane="bottomRight" state="frozen"/>
      <selection activeCell="A3" sqref="A3:J15"/>
      <selection pane="topRight" activeCell="A3" sqref="A3:J15"/>
      <selection pane="bottomLeft" activeCell="A3" sqref="A3:J15"/>
      <selection pane="bottomRight" activeCell="C1" sqref="C1:J1"/>
    </sheetView>
  </sheetViews>
  <sheetFormatPr baseColWidth="10" defaultRowHeight="14.25"/>
  <cols>
    <col min="1" max="1" width="4.75" customWidth="1"/>
    <col min="2" max="4" width="17.75" customWidth="1"/>
    <col min="5" max="6" width="4.75" customWidth="1"/>
    <col min="7" max="7" width="9.75" customWidth="1"/>
    <col min="8" max="10" width="12" customWidth="1"/>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30">
      <c r="A3" s="77" t="s">
        <v>22</v>
      </c>
      <c r="B3" s="77"/>
      <c r="C3" s="26" t="s">
        <v>171</v>
      </c>
      <c r="D3" s="24" t="s">
        <v>427</v>
      </c>
      <c r="E3" s="103" t="s">
        <v>428</v>
      </c>
      <c r="F3" s="103"/>
      <c r="G3" s="103"/>
      <c r="H3" s="103"/>
      <c r="I3" s="103"/>
      <c r="J3" s="103"/>
    </row>
    <row r="4" spans="1:10" ht="60">
      <c r="A4" s="25" t="s">
        <v>25</v>
      </c>
      <c r="B4" s="77" t="s">
        <v>26</v>
      </c>
      <c r="C4" s="77"/>
      <c r="D4" s="77"/>
      <c r="E4" s="25" t="s">
        <v>27</v>
      </c>
      <c r="F4" s="25" t="s">
        <v>28</v>
      </c>
      <c r="G4" s="25" t="s">
        <v>284</v>
      </c>
      <c r="H4" s="25" t="s">
        <v>294</v>
      </c>
      <c r="I4" s="25" t="s">
        <v>295</v>
      </c>
      <c r="J4" s="25" t="s">
        <v>298</v>
      </c>
    </row>
    <row r="5" spans="1:10" ht="28.5" customHeight="1">
      <c r="A5" s="25">
        <v>1</v>
      </c>
      <c r="B5" s="103" t="s">
        <v>429</v>
      </c>
      <c r="C5" s="103"/>
      <c r="D5" s="103"/>
      <c r="E5" s="52"/>
      <c r="F5" s="52"/>
      <c r="G5" s="52"/>
      <c r="H5" s="39">
        <v>6</v>
      </c>
      <c r="I5" s="50">
        <f>IF(H5="","",((H5*10)/SUM($H$5:$H$18)))</f>
        <v>0.5</v>
      </c>
      <c r="J5" s="28">
        <f>IF(F5="X",((H5*10)/SUM($H$5:$H$18)),0)</f>
        <v>0</v>
      </c>
    </row>
    <row r="6" spans="1:10" ht="28.5" customHeight="1">
      <c r="A6" s="25">
        <v>2</v>
      </c>
      <c r="B6" s="103" t="s">
        <v>430</v>
      </c>
      <c r="C6" s="103"/>
      <c r="D6" s="103"/>
      <c r="E6" s="52"/>
      <c r="F6" s="52"/>
      <c r="G6" s="52"/>
      <c r="H6" s="39">
        <v>6</v>
      </c>
      <c r="I6" s="50">
        <f t="shared" ref="I6:I18" si="0">IF(H6="","",((H6*10)/SUM($H$5:$H$18)))</f>
        <v>0.5</v>
      </c>
      <c r="J6" s="28">
        <f t="shared" ref="J6:J18" si="1">IF(F6="X",((H6*10)/SUM($H$5:$H$18)),0)</f>
        <v>0</v>
      </c>
    </row>
    <row r="7" spans="1:10" ht="57" customHeight="1">
      <c r="A7" s="25">
        <v>3</v>
      </c>
      <c r="B7" s="103" t="s">
        <v>431</v>
      </c>
      <c r="C7" s="103"/>
      <c r="D7" s="103"/>
      <c r="E7" s="52"/>
      <c r="F7" s="52"/>
      <c r="G7" s="52"/>
      <c r="H7" s="39">
        <v>10</v>
      </c>
      <c r="I7" s="50">
        <f t="shared" si="0"/>
        <v>0.83333333333333337</v>
      </c>
      <c r="J7" s="28">
        <f t="shared" si="1"/>
        <v>0</v>
      </c>
    </row>
    <row r="8" spans="1:10" ht="57" customHeight="1">
      <c r="A8" s="25">
        <v>4</v>
      </c>
      <c r="B8" s="103" t="s">
        <v>432</v>
      </c>
      <c r="C8" s="103"/>
      <c r="D8" s="103"/>
      <c r="E8" s="52"/>
      <c r="F8" s="52"/>
      <c r="G8" s="52"/>
      <c r="H8" s="39">
        <v>10</v>
      </c>
      <c r="I8" s="50">
        <f t="shared" si="0"/>
        <v>0.83333333333333337</v>
      </c>
      <c r="J8" s="28">
        <f t="shared" si="1"/>
        <v>0</v>
      </c>
    </row>
    <row r="9" spans="1:10" ht="42.75" customHeight="1">
      <c r="A9" s="25">
        <v>5</v>
      </c>
      <c r="B9" s="103" t="s">
        <v>178</v>
      </c>
      <c r="C9" s="103"/>
      <c r="D9" s="103"/>
      <c r="E9" s="52"/>
      <c r="F9" s="52"/>
      <c r="G9" s="52"/>
      <c r="H9" s="39">
        <v>10</v>
      </c>
      <c r="I9" s="50">
        <f t="shared" si="0"/>
        <v>0.83333333333333337</v>
      </c>
      <c r="J9" s="28">
        <f t="shared" si="1"/>
        <v>0</v>
      </c>
    </row>
    <row r="10" spans="1:10" ht="28.5" customHeight="1">
      <c r="A10" s="25">
        <v>6</v>
      </c>
      <c r="B10" s="103" t="s">
        <v>433</v>
      </c>
      <c r="C10" s="103"/>
      <c r="D10" s="103"/>
      <c r="E10" s="52"/>
      <c r="F10" s="52"/>
      <c r="G10" s="52"/>
      <c r="H10" s="39">
        <v>10</v>
      </c>
      <c r="I10" s="50">
        <f t="shared" si="0"/>
        <v>0.83333333333333337</v>
      </c>
      <c r="J10" s="28">
        <f t="shared" si="1"/>
        <v>0</v>
      </c>
    </row>
    <row r="11" spans="1:10" ht="28.5" customHeight="1">
      <c r="A11" s="25">
        <v>7</v>
      </c>
      <c r="B11" s="103" t="s">
        <v>434</v>
      </c>
      <c r="C11" s="103"/>
      <c r="D11" s="103"/>
      <c r="E11" s="52"/>
      <c r="F11" s="52"/>
      <c r="G11" s="52"/>
      <c r="H11" s="39">
        <v>6</v>
      </c>
      <c r="I11" s="50">
        <f t="shared" si="0"/>
        <v>0.5</v>
      </c>
      <c r="J11" s="28">
        <f t="shared" si="1"/>
        <v>0</v>
      </c>
    </row>
    <row r="12" spans="1:10" ht="42.75" customHeight="1">
      <c r="A12" s="25">
        <v>8</v>
      </c>
      <c r="B12" s="103" t="s">
        <v>435</v>
      </c>
      <c r="C12" s="103"/>
      <c r="D12" s="103"/>
      <c r="E12" s="52"/>
      <c r="F12" s="52"/>
      <c r="G12" s="52"/>
      <c r="H12" s="39">
        <v>2</v>
      </c>
      <c r="I12" s="50">
        <f t="shared" si="0"/>
        <v>0.16666666666666666</v>
      </c>
      <c r="J12" s="28">
        <f t="shared" si="1"/>
        <v>0</v>
      </c>
    </row>
    <row r="13" spans="1:10" ht="42.75" customHeight="1">
      <c r="A13" s="25">
        <v>9</v>
      </c>
      <c r="B13" s="103" t="s">
        <v>436</v>
      </c>
      <c r="C13" s="103"/>
      <c r="D13" s="103"/>
      <c r="E13" s="52"/>
      <c r="F13" s="52"/>
      <c r="G13" s="52"/>
      <c r="H13" s="39">
        <v>10</v>
      </c>
      <c r="I13" s="50">
        <f t="shared" si="0"/>
        <v>0.83333333333333337</v>
      </c>
      <c r="J13" s="28">
        <f t="shared" si="1"/>
        <v>0</v>
      </c>
    </row>
    <row r="14" spans="1:10" ht="42.75" customHeight="1">
      <c r="A14" s="25">
        <v>10</v>
      </c>
      <c r="B14" s="103" t="s">
        <v>186</v>
      </c>
      <c r="C14" s="103"/>
      <c r="D14" s="103"/>
      <c r="E14" s="52"/>
      <c r="F14" s="52"/>
      <c r="G14" s="52"/>
      <c r="H14" s="39">
        <v>10</v>
      </c>
      <c r="I14" s="50">
        <f t="shared" si="0"/>
        <v>0.83333333333333337</v>
      </c>
      <c r="J14" s="28">
        <f t="shared" si="1"/>
        <v>0</v>
      </c>
    </row>
    <row r="15" spans="1:10" ht="42.75" customHeight="1">
      <c r="A15" s="25">
        <v>11</v>
      </c>
      <c r="B15" s="103" t="s">
        <v>437</v>
      </c>
      <c r="C15" s="103"/>
      <c r="D15" s="103"/>
      <c r="E15" s="52"/>
      <c r="F15" s="52"/>
      <c r="G15" s="52"/>
      <c r="H15" s="39">
        <v>10</v>
      </c>
      <c r="I15" s="50">
        <f t="shared" si="0"/>
        <v>0.83333333333333337</v>
      </c>
      <c r="J15" s="28">
        <f t="shared" si="1"/>
        <v>0</v>
      </c>
    </row>
    <row r="16" spans="1:10" ht="42.75" customHeight="1">
      <c r="A16" s="25">
        <v>12</v>
      </c>
      <c r="B16" s="103" t="s">
        <v>438</v>
      </c>
      <c r="C16" s="103"/>
      <c r="D16" s="103"/>
      <c r="E16" s="52"/>
      <c r="F16" s="52"/>
      <c r="G16" s="52"/>
      <c r="H16" s="39">
        <v>10</v>
      </c>
      <c r="I16" s="50">
        <f t="shared" si="0"/>
        <v>0.83333333333333337</v>
      </c>
      <c r="J16" s="28">
        <f t="shared" si="1"/>
        <v>0</v>
      </c>
    </row>
    <row r="17" spans="1:10" ht="42.75" customHeight="1">
      <c r="A17" s="25">
        <v>13</v>
      </c>
      <c r="B17" s="103" t="s">
        <v>439</v>
      </c>
      <c r="C17" s="103"/>
      <c r="D17" s="103"/>
      <c r="E17" s="52"/>
      <c r="F17" s="52"/>
      <c r="G17" s="52"/>
      <c r="H17" s="39">
        <v>10</v>
      </c>
      <c r="I17" s="50">
        <f t="shared" si="0"/>
        <v>0.83333333333333337</v>
      </c>
      <c r="J17" s="28">
        <f t="shared" si="1"/>
        <v>0</v>
      </c>
    </row>
    <row r="18" spans="1:10" ht="42.75" customHeight="1">
      <c r="A18" s="25">
        <v>14</v>
      </c>
      <c r="B18" s="103" t="s">
        <v>440</v>
      </c>
      <c r="C18" s="103"/>
      <c r="D18" s="103"/>
      <c r="E18" s="52"/>
      <c r="F18" s="52"/>
      <c r="G18" s="52"/>
      <c r="H18" s="39">
        <v>10</v>
      </c>
      <c r="I18" s="50">
        <f t="shared" si="0"/>
        <v>0.83333333333333337</v>
      </c>
      <c r="J18" s="28">
        <f t="shared" si="1"/>
        <v>0</v>
      </c>
    </row>
    <row r="19" spans="1:10" ht="15">
      <c r="A19" s="104" t="s">
        <v>37</v>
      </c>
      <c r="B19" s="104"/>
      <c r="C19" s="104"/>
      <c r="D19" s="104"/>
      <c r="E19" s="104"/>
      <c r="F19" s="104"/>
      <c r="G19" s="104"/>
      <c r="H19" s="104"/>
      <c r="I19" s="51">
        <f>SUM(I5:I18)</f>
        <v>10.000000000000002</v>
      </c>
      <c r="J19" s="49">
        <f>SUM(J5:J18)</f>
        <v>0</v>
      </c>
    </row>
  </sheetData>
  <mergeCells count="22">
    <mergeCell ref="B17:D17"/>
    <mergeCell ref="B18:D18"/>
    <mergeCell ref="A19:H19"/>
    <mergeCell ref="B11:D11"/>
    <mergeCell ref="B12:D12"/>
    <mergeCell ref="B13:D13"/>
    <mergeCell ref="B14:D14"/>
    <mergeCell ref="B15:D15"/>
    <mergeCell ref="B16:D16"/>
    <mergeCell ref="A1:B1"/>
    <mergeCell ref="A2:B2"/>
    <mergeCell ref="C1:J1"/>
    <mergeCell ref="C2:J2"/>
    <mergeCell ref="B10:D10"/>
    <mergeCell ref="A3:B3"/>
    <mergeCell ref="E3:J3"/>
    <mergeCell ref="B4:D4"/>
    <mergeCell ref="B5:D5"/>
    <mergeCell ref="B6:D6"/>
    <mergeCell ref="B7:D7"/>
    <mergeCell ref="B8:D8"/>
    <mergeCell ref="B9:D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48B9-E90B-4BAC-AD3C-D095B1D75AF5}">
  <dimension ref="A1:J14"/>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60">
      <c r="A3" s="77" t="s">
        <v>22</v>
      </c>
      <c r="B3" s="77"/>
      <c r="C3" s="26" t="s">
        <v>189</v>
      </c>
      <c r="D3" s="68" t="s">
        <v>287</v>
      </c>
      <c r="E3" s="81" t="s">
        <v>290</v>
      </c>
      <c r="F3" s="81"/>
      <c r="G3" s="81"/>
      <c r="H3" s="81"/>
      <c r="I3" s="81"/>
      <c r="J3" s="81"/>
    </row>
    <row r="4" spans="1:10" ht="60">
      <c r="A4" s="66" t="s">
        <v>25</v>
      </c>
      <c r="B4" s="77" t="s">
        <v>26</v>
      </c>
      <c r="C4" s="77"/>
      <c r="D4" s="77"/>
      <c r="E4" s="66" t="s">
        <v>27</v>
      </c>
      <c r="F4" s="66" t="s">
        <v>28</v>
      </c>
      <c r="G4" s="66" t="s">
        <v>284</v>
      </c>
      <c r="H4" s="66" t="s">
        <v>294</v>
      </c>
      <c r="I4" s="66" t="s">
        <v>295</v>
      </c>
      <c r="J4" s="66" t="s">
        <v>298</v>
      </c>
    </row>
    <row r="5" spans="1:10" ht="31.5" customHeight="1">
      <c r="A5" s="66">
        <v>1</v>
      </c>
      <c r="B5" s="81" t="s">
        <v>190</v>
      </c>
      <c r="C5" s="81"/>
      <c r="D5" s="81"/>
      <c r="E5" s="67"/>
      <c r="F5" s="67"/>
      <c r="G5" s="67"/>
      <c r="H5" s="67">
        <v>10</v>
      </c>
      <c r="I5" s="30">
        <f>(H5*10)/SUM($H$5:$H$13)</f>
        <v>1.4285714285714286</v>
      </c>
      <c r="J5" s="28">
        <f>IF(F5="X",((H5*10)/SUM($H$5:$H$13)),0)</f>
        <v>0</v>
      </c>
    </row>
    <row r="6" spans="1:10" ht="31.5" customHeight="1">
      <c r="A6" s="66">
        <v>2</v>
      </c>
      <c r="B6" s="81" t="s">
        <v>59</v>
      </c>
      <c r="C6" s="81"/>
      <c r="D6" s="81"/>
      <c r="E6" s="67"/>
      <c r="F6" s="67"/>
      <c r="G6" s="67"/>
      <c r="H6" s="67">
        <v>6</v>
      </c>
      <c r="I6" s="30">
        <f t="shared" ref="I6:I13" si="0">(H6*10)/SUM($H$5:$H$13)</f>
        <v>0.8571428571428571</v>
      </c>
      <c r="J6" s="28">
        <f t="shared" ref="J6:J13" si="1">IF(F6="X",((H6*10)/SUM($H$5:$H$13)),0)</f>
        <v>0</v>
      </c>
    </row>
    <row r="7" spans="1:10" ht="31.5" customHeight="1">
      <c r="A7" s="66">
        <v>3</v>
      </c>
      <c r="B7" s="81" t="s">
        <v>191</v>
      </c>
      <c r="C7" s="81"/>
      <c r="D7" s="81"/>
      <c r="E7" s="67"/>
      <c r="F7" s="67"/>
      <c r="G7" s="67"/>
      <c r="H7" s="67">
        <v>10</v>
      </c>
      <c r="I7" s="30">
        <f t="shared" si="0"/>
        <v>1.4285714285714286</v>
      </c>
      <c r="J7" s="28">
        <f t="shared" si="1"/>
        <v>0</v>
      </c>
    </row>
    <row r="8" spans="1:10" ht="31.5" customHeight="1">
      <c r="A8" s="66">
        <v>4</v>
      </c>
      <c r="B8" s="81" t="s">
        <v>41</v>
      </c>
      <c r="C8" s="81"/>
      <c r="D8" s="81"/>
      <c r="E8" s="67"/>
      <c r="F8" s="67"/>
      <c r="G8" s="67"/>
      <c r="H8" s="67">
        <v>10</v>
      </c>
      <c r="I8" s="30">
        <f t="shared" si="0"/>
        <v>1.4285714285714286</v>
      </c>
      <c r="J8" s="28">
        <f t="shared" si="1"/>
        <v>0</v>
      </c>
    </row>
    <row r="9" spans="1:10" ht="31.5" customHeight="1">
      <c r="A9" s="66">
        <v>5</v>
      </c>
      <c r="B9" s="81" t="s">
        <v>192</v>
      </c>
      <c r="C9" s="81"/>
      <c r="D9" s="81"/>
      <c r="E9" s="67"/>
      <c r="F9" s="67"/>
      <c r="G9" s="67"/>
      <c r="H9" s="67">
        <v>10</v>
      </c>
      <c r="I9" s="30">
        <f t="shared" si="0"/>
        <v>1.4285714285714286</v>
      </c>
      <c r="J9" s="28">
        <f t="shared" si="1"/>
        <v>0</v>
      </c>
    </row>
    <row r="10" spans="1:10" ht="45.75" customHeight="1">
      <c r="A10" s="66">
        <v>6</v>
      </c>
      <c r="B10" s="81" t="s">
        <v>193</v>
      </c>
      <c r="C10" s="81"/>
      <c r="D10" s="81"/>
      <c r="E10" s="67"/>
      <c r="F10" s="67"/>
      <c r="G10" s="67"/>
      <c r="H10" s="67">
        <v>10</v>
      </c>
      <c r="I10" s="30">
        <f t="shared" si="0"/>
        <v>1.4285714285714286</v>
      </c>
      <c r="J10" s="28">
        <f t="shared" si="1"/>
        <v>0</v>
      </c>
    </row>
    <row r="11" spans="1:10" ht="45" customHeight="1">
      <c r="A11" s="66">
        <v>7</v>
      </c>
      <c r="B11" s="81" t="s">
        <v>194</v>
      </c>
      <c r="C11" s="81"/>
      <c r="D11" s="81"/>
      <c r="E11" s="67"/>
      <c r="F11" s="67"/>
      <c r="G11" s="67"/>
      <c r="H11" s="67">
        <v>6</v>
      </c>
      <c r="I11" s="30">
        <f t="shared" si="0"/>
        <v>0.8571428571428571</v>
      </c>
      <c r="J11" s="28">
        <f t="shared" si="1"/>
        <v>0</v>
      </c>
    </row>
    <row r="12" spans="1:10" ht="43.5" customHeight="1">
      <c r="A12" s="66">
        <v>8</v>
      </c>
      <c r="B12" s="81" t="s">
        <v>195</v>
      </c>
      <c r="C12" s="81"/>
      <c r="D12" s="81"/>
      <c r="E12" s="67"/>
      <c r="F12" s="67"/>
      <c r="G12" s="67"/>
      <c r="H12" s="67">
        <v>6</v>
      </c>
      <c r="I12" s="30">
        <f t="shared" si="0"/>
        <v>0.8571428571428571</v>
      </c>
      <c r="J12" s="28">
        <f t="shared" si="1"/>
        <v>0</v>
      </c>
    </row>
    <row r="13" spans="1:10" ht="31.5" customHeight="1">
      <c r="A13" s="66">
        <v>9</v>
      </c>
      <c r="B13" s="81" t="s">
        <v>179</v>
      </c>
      <c r="C13" s="81"/>
      <c r="D13" s="81"/>
      <c r="E13" s="67"/>
      <c r="F13" s="67"/>
      <c r="G13" s="67"/>
      <c r="H13" s="67">
        <v>2</v>
      </c>
      <c r="I13" s="30">
        <f t="shared" si="0"/>
        <v>0.2857142857142857</v>
      </c>
      <c r="J13" s="28">
        <f t="shared" si="1"/>
        <v>0</v>
      </c>
    </row>
    <row r="14" spans="1:10" ht="15" customHeight="1">
      <c r="A14" s="96" t="s">
        <v>37</v>
      </c>
      <c r="B14" s="96"/>
      <c r="C14" s="96"/>
      <c r="D14" s="96"/>
      <c r="E14" s="96"/>
      <c r="F14" s="96"/>
      <c r="G14" s="96"/>
      <c r="H14" s="96"/>
      <c r="I14" s="41">
        <f>SUM(I5:I13)</f>
        <v>10.000000000000002</v>
      </c>
      <c r="J14" s="29">
        <f>SUM(J5:J13)</f>
        <v>0</v>
      </c>
    </row>
  </sheetData>
  <mergeCells count="17">
    <mergeCell ref="B10:D10"/>
    <mergeCell ref="B11:D11"/>
    <mergeCell ref="B12:D12"/>
    <mergeCell ref="B13:D13"/>
    <mergeCell ref="A14:H14"/>
    <mergeCell ref="B4:D4"/>
    <mergeCell ref="B5:D5"/>
    <mergeCell ref="B6:D6"/>
    <mergeCell ref="B7:D7"/>
    <mergeCell ref="B8:D8"/>
    <mergeCell ref="B9:D9"/>
    <mergeCell ref="A1:B1"/>
    <mergeCell ref="C1:J1"/>
    <mergeCell ref="A2:B2"/>
    <mergeCell ref="C2:J2"/>
    <mergeCell ref="A3:B3"/>
    <mergeCell ref="E3:J3"/>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502F6-D881-4A63-A702-5E69B9BFAF2B}">
  <dimension ref="A1:J18"/>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90">
      <c r="A3" s="77" t="s">
        <v>22</v>
      </c>
      <c r="B3" s="77"/>
      <c r="C3" s="26" t="s">
        <v>189</v>
      </c>
      <c r="D3" s="68" t="s">
        <v>288</v>
      </c>
      <c r="E3" s="81" t="s">
        <v>291</v>
      </c>
      <c r="F3" s="81"/>
      <c r="G3" s="81"/>
      <c r="H3" s="81"/>
      <c r="I3" s="81"/>
      <c r="J3" s="81"/>
    </row>
    <row r="4" spans="1:10" ht="60">
      <c r="A4" s="66" t="s">
        <v>25</v>
      </c>
      <c r="B4" s="77" t="s">
        <v>26</v>
      </c>
      <c r="C4" s="77"/>
      <c r="D4" s="77"/>
      <c r="E4" s="66" t="s">
        <v>27</v>
      </c>
      <c r="F4" s="66" t="s">
        <v>28</v>
      </c>
      <c r="G4" s="66" t="s">
        <v>284</v>
      </c>
      <c r="H4" s="66" t="s">
        <v>294</v>
      </c>
      <c r="I4" s="66" t="s">
        <v>295</v>
      </c>
      <c r="J4" s="66" t="s">
        <v>298</v>
      </c>
    </row>
    <row r="5" spans="1:10" ht="47.25" customHeight="1">
      <c r="A5" s="66">
        <v>1</v>
      </c>
      <c r="B5" s="81" t="s">
        <v>196</v>
      </c>
      <c r="C5" s="81"/>
      <c r="D5" s="81"/>
      <c r="E5" s="67"/>
      <c r="F5" s="67"/>
      <c r="G5" s="67"/>
      <c r="H5" s="67">
        <v>10</v>
      </c>
      <c r="I5" s="30">
        <f>(H5*10)/SUM($H$5:$H$17)</f>
        <v>1.0204081632653061</v>
      </c>
      <c r="J5" s="28">
        <f>IF(F5="X",((H5*10)/SUM($H$5:$H$17)),0)</f>
        <v>0</v>
      </c>
    </row>
    <row r="6" spans="1:10" ht="31.5" customHeight="1">
      <c r="A6" s="66">
        <v>2</v>
      </c>
      <c r="B6" s="81" t="s">
        <v>197</v>
      </c>
      <c r="C6" s="81"/>
      <c r="D6" s="81"/>
      <c r="E6" s="67"/>
      <c r="F6" s="67"/>
      <c r="G6" s="67"/>
      <c r="H6" s="67">
        <v>6</v>
      </c>
      <c r="I6" s="30">
        <f t="shared" ref="I6:I17" si="0">(H6*10)/SUM($H$5:$H$17)</f>
        <v>0.61224489795918369</v>
      </c>
      <c r="J6" s="28">
        <f t="shared" ref="J6:J17" si="1">IF(F6="X",((H6*10)/SUM($H$5:$H$17)),0)</f>
        <v>0</v>
      </c>
    </row>
    <row r="7" spans="1:10" ht="47.25" customHeight="1">
      <c r="A7" s="66">
        <v>3</v>
      </c>
      <c r="B7" s="81" t="s">
        <v>198</v>
      </c>
      <c r="C7" s="81"/>
      <c r="D7" s="81"/>
      <c r="E7" s="67"/>
      <c r="F7" s="67"/>
      <c r="G7" s="67"/>
      <c r="H7" s="67">
        <v>10</v>
      </c>
      <c r="I7" s="30">
        <f t="shared" si="0"/>
        <v>1.0204081632653061</v>
      </c>
      <c r="J7" s="28">
        <f t="shared" si="1"/>
        <v>0</v>
      </c>
    </row>
    <row r="8" spans="1:10" ht="31.5" customHeight="1">
      <c r="A8" s="66">
        <v>4</v>
      </c>
      <c r="B8" s="81" t="s">
        <v>199</v>
      </c>
      <c r="C8" s="81"/>
      <c r="D8" s="81"/>
      <c r="E8" s="67"/>
      <c r="F8" s="67"/>
      <c r="G8" s="67"/>
      <c r="H8" s="67">
        <v>10</v>
      </c>
      <c r="I8" s="30">
        <f t="shared" si="0"/>
        <v>1.0204081632653061</v>
      </c>
      <c r="J8" s="28">
        <f t="shared" si="1"/>
        <v>0</v>
      </c>
    </row>
    <row r="9" spans="1:10" ht="47.25" customHeight="1">
      <c r="A9" s="66">
        <v>5</v>
      </c>
      <c r="B9" s="81" t="s">
        <v>200</v>
      </c>
      <c r="C9" s="81"/>
      <c r="D9" s="81"/>
      <c r="E9" s="67"/>
      <c r="F9" s="67"/>
      <c r="G9" s="67"/>
      <c r="H9" s="67">
        <v>10</v>
      </c>
      <c r="I9" s="30">
        <f t="shared" si="0"/>
        <v>1.0204081632653061</v>
      </c>
      <c r="J9" s="28">
        <f t="shared" si="1"/>
        <v>0</v>
      </c>
    </row>
    <row r="10" spans="1:10" ht="60" customHeight="1">
      <c r="A10" s="66">
        <v>6</v>
      </c>
      <c r="B10" s="81" t="s">
        <v>201</v>
      </c>
      <c r="C10" s="81"/>
      <c r="D10" s="81"/>
      <c r="E10" s="67"/>
      <c r="F10" s="67"/>
      <c r="G10" s="67"/>
      <c r="H10" s="67">
        <v>10</v>
      </c>
      <c r="I10" s="30">
        <f t="shared" si="0"/>
        <v>1.0204081632653061</v>
      </c>
      <c r="J10" s="28">
        <f t="shared" si="1"/>
        <v>0</v>
      </c>
    </row>
    <row r="11" spans="1:10" ht="59.25" customHeight="1">
      <c r="A11" s="66">
        <v>7</v>
      </c>
      <c r="B11" s="81" t="s">
        <v>202</v>
      </c>
      <c r="C11" s="81"/>
      <c r="D11" s="81"/>
      <c r="E11" s="67"/>
      <c r="F11" s="67"/>
      <c r="G11" s="67"/>
      <c r="H11" s="67">
        <v>10</v>
      </c>
      <c r="I11" s="30">
        <f t="shared" si="0"/>
        <v>1.0204081632653061</v>
      </c>
      <c r="J11" s="28">
        <f t="shared" si="1"/>
        <v>0</v>
      </c>
    </row>
    <row r="12" spans="1:10" ht="47.25" customHeight="1">
      <c r="A12" s="66">
        <v>8</v>
      </c>
      <c r="B12" s="81" t="s">
        <v>203</v>
      </c>
      <c r="C12" s="81"/>
      <c r="D12" s="81"/>
      <c r="E12" s="67"/>
      <c r="F12" s="67"/>
      <c r="G12" s="67"/>
      <c r="H12" s="67">
        <v>2</v>
      </c>
      <c r="I12" s="30">
        <f t="shared" si="0"/>
        <v>0.20408163265306123</v>
      </c>
      <c r="J12" s="28">
        <f t="shared" si="1"/>
        <v>0</v>
      </c>
    </row>
    <row r="13" spans="1:10" ht="31.5" customHeight="1">
      <c r="A13" s="66">
        <v>9</v>
      </c>
      <c r="B13" s="81" t="s">
        <v>204</v>
      </c>
      <c r="C13" s="81"/>
      <c r="D13" s="81"/>
      <c r="E13" s="67"/>
      <c r="F13" s="67"/>
      <c r="G13" s="67"/>
      <c r="H13" s="67">
        <v>6</v>
      </c>
      <c r="I13" s="30">
        <f t="shared" si="0"/>
        <v>0.61224489795918369</v>
      </c>
      <c r="J13" s="28">
        <f t="shared" si="1"/>
        <v>0</v>
      </c>
    </row>
    <row r="14" spans="1:10" ht="60" customHeight="1">
      <c r="A14" s="66">
        <v>10</v>
      </c>
      <c r="B14" s="81" t="s">
        <v>205</v>
      </c>
      <c r="C14" s="81"/>
      <c r="D14" s="81"/>
      <c r="E14" s="67"/>
      <c r="F14" s="67"/>
      <c r="G14" s="67"/>
      <c r="H14" s="67">
        <v>10</v>
      </c>
      <c r="I14" s="30">
        <f t="shared" si="0"/>
        <v>1.0204081632653061</v>
      </c>
      <c r="J14" s="28">
        <f t="shared" si="1"/>
        <v>0</v>
      </c>
    </row>
    <row r="15" spans="1:10" ht="31.5" customHeight="1">
      <c r="A15" s="66">
        <v>11</v>
      </c>
      <c r="B15" s="81" t="s">
        <v>206</v>
      </c>
      <c r="C15" s="81"/>
      <c r="D15" s="81"/>
      <c r="E15" s="67"/>
      <c r="F15" s="67"/>
      <c r="G15" s="67"/>
      <c r="H15" s="67">
        <v>6</v>
      </c>
      <c r="I15" s="30">
        <f t="shared" si="0"/>
        <v>0.61224489795918369</v>
      </c>
      <c r="J15" s="28">
        <f t="shared" si="1"/>
        <v>0</v>
      </c>
    </row>
    <row r="16" spans="1:10" ht="31.5" customHeight="1">
      <c r="A16" s="66">
        <v>12</v>
      </c>
      <c r="B16" s="81" t="s">
        <v>207</v>
      </c>
      <c r="C16" s="81"/>
      <c r="D16" s="81"/>
      <c r="E16" s="67"/>
      <c r="F16" s="67"/>
      <c r="G16" s="67"/>
      <c r="H16" s="67">
        <v>2</v>
      </c>
      <c r="I16" s="30">
        <f t="shared" si="0"/>
        <v>0.20408163265306123</v>
      </c>
      <c r="J16" s="28">
        <f t="shared" si="1"/>
        <v>0</v>
      </c>
    </row>
    <row r="17" spans="1:10" ht="47.25" customHeight="1">
      <c r="A17" s="66">
        <v>13</v>
      </c>
      <c r="B17" s="81" t="s">
        <v>208</v>
      </c>
      <c r="C17" s="81"/>
      <c r="D17" s="81"/>
      <c r="E17" s="67"/>
      <c r="F17" s="67"/>
      <c r="G17" s="67"/>
      <c r="H17" s="67">
        <v>6</v>
      </c>
      <c r="I17" s="30">
        <f t="shared" si="0"/>
        <v>0.61224489795918369</v>
      </c>
      <c r="J17" s="28">
        <f t="shared" si="1"/>
        <v>0</v>
      </c>
    </row>
    <row r="18" spans="1:10" ht="15" customHeight="1">
      <c r="A18" s="96" t="s">
        <v>37</v>
      </c>
      <c r="B18" s="96"/>
      <c r="C18" s="96"/>
      <c r="D18" s="96"/>
      <c r="E18" s="96"/>
      <c r="F18" s="96"/>
      <c r="G18" s="96"/>
      <c r="H18" s="96"/>
      <c r="I18" s="41">
        <f>SUM(I5:I17)</f>
        <v>9.9999999999999982</v>
      </c>
      <c r="J18" s="29">
        <f>SUM(J5:J17)</f>
        <v>0</v>
      </c>
    </row>
  </sheetData>
  <mergeCells count="21">
    <mergeCell ref="B16:D16"/>
    <mergeCell ref="B17:D17"/>
    <mergeCell ref="A18:H18"/>
    <mergeCell ref="B10:D10"/>
    <mergeCell ref="B11:D11"/>
    <mergeCell ref="B12:D12"/>
    <mergeCell ref="B13:D13"/>
    <mergeCell ref="B14:D14"/>
    <mergeCell ref="B15:D15"/>
    <mergeCell ref="B4:D4"/>
    <mergeCell ref="B5:D5"/>
    <mergeCell ref="B6:D6"/>
    <mergeCell ref="B7:D7"/>
    <mergeCell ref="B8:D8"/>
    <mergeCell ref="B9:D9"/>
    <mergeCell ref="A1:B1"/>
    <mergeCell ref="C1:J1"/>
    <mergeCell ref="A2:B2"/>
    <mergeCell ref="C2:J2"/>
    <mergeCell ref="A3:B3"/>
    <mergeCell ref="E3:J3"/>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F14F23-0ED7-4BBD-A117-1FB30F81EBDD}">
  <dimension ref="A1:J13"/>
  <sheetViews>
    <sheetView workbookViewId="0">
      <selection activeCell="C1" sqref="C1:J1"/>
    </sheetView>
  </sheetViews>
  <sheetFormatPr baseColWidth="10" defaultColWidth="11.375" defaultRowHeight="14.25"/>
  <cols>
    <col min="1" max="1" width="4.75" style="32" customWidth="1"/>
    <col min="2" max="4" width="17.75" style="32" customWidth="1"/>
    <col min="5" max="6" width="4.75" style="32" customWidth="1"/>
    <col min="7" max="7" width="9.75" style="32" customWidth="1"/>
    <col min="8" max="8" width="12" style="32" bestFit="1" customWidth="1"/>
    <col min="9" max="9" width="12" style="32" customWidth="1"/>
    <col min="10" max="10" width="12" style="32" bestFit="1" customWidth="1"/>
    <col min="11" max="16384" width="11.375" style="32"/>
  </cols>
  <sheetData>
    <row r="1" spans="1:10" ht="15">
      <c r="A1" s="77" t="s">
        <v>443</v>
      </c>
      <c r="B1" s="77"/>
      <c r="C1" s="86"/>
      <c r="D1" s="87"/>
      <c r="E1" s="87"/>
      <c r="F1" s="87"/>
      <c r="G1" s="87"/>
      <c r="H1" s="87"/>
      <c r="I1" s="87"/>
      <c r="J1" s="88"/>
    </row>
    <row r="2" spans="1:10" ht="15">
      <c r="A2" s="77" t="s">
        <v>0</v>
      </c>
      <c r="B2" s="77"/>
      <c r="C2" s="86"/>
      <c r="D2" s="87"/>
      <c r="E2" s="87"/>
      <c r="F2" s="87"/>
      <c r="G2" s="87"/>
      <c r="H2" s="87"/>
      <c r="I2" s="87"/>
      <c r="J2" s="88"/>
    </row>
    <row r="3" spans="1:10" ht="75">
      <c r="A3" s="77" t="s">
        <v>22</v>
      </c>
      <c r="B3" s="77"/>
      <c r="C3" s="26" t="s">
        <v>189</v>
      </c>
      <c r="D3" s="68" t="s">
        <v>289</v>
      </c>
      <c r="E3" s="81" t="s">
        <v>292</v>
      </c>
      <c r="F3" s="81"/>
      <c r="G3" s="81"/>
      <c r="H3" s="81"/>
      <c r="I3" s="81"/>
      <c r="J3" s="81"/>
    </row>
    <row r="4" spans="1:10" ht="60">
      <c r="A4" s="66" t="s">
        <v>25</v>
      </c>
      <c r="B4" s="77" t="s">
        <v>26</v>
      </c>
      <c r="C4" s="77"/>
      <c r="D4" s="77"/>
      <c r="E4" s="66" t="s">
        <v>27</v>
      </c>
      <c r="F4" s="66" t="s">
        <v>28</v>
      </c>
      <c r="G4" s="66" t="s">
        <v>284</v>
      </c>
      <c r="H4" s="66" t="s">
        <v>294</v>
      </c>
      <c r="I4" s="66" t="s">
        <v>295</v>
      </c>
      <c r="J4" s="66" t="s">
        <v>298</v>
      </c>
    </row>
    <row r="5" spans="1:10" ht="45.75" customHeight="1">
      <c r="A5" s="66">
        <v>1</v>
      </c>
      <c r="B5" s="81" t="s">
        <v>209</v>
      </c>
      <c r="C5" s="81"/>
      <c r="D5" s="81"/>
      <c r="E5" s="67"/>
      <c r="F5" s="67"/>
      <c r="G5" s="67"/>
      <c r="H5" s="67">
        <v>6</v>
      </c>
      <c r="I5" s="30">
        <f>(H5*10)/SUM($H$5:$H$12)</f>
        <v>1.3636363636363635</v>
      </c>
      <c r="J5" s="28">
        <f>IF(F5="X",((H5*10)/SUM($H$5:$H$12)),0)</f>
        <v>0</v>
      </c>
    </row>
    <row r="6" spans="1:10" ht="31.5" customHeight="1">
      <c r="A6" s="66">
        <v>2</v>
      </c>
      <c r="B6" s="81" t="s">
        <v>210</v>
      </c>
      <c r="C6" s="81"/>
      <c r="D6" s="81"/>
      <c r="E6" s="67"/>
      <c r="F6" s="67"/>
      <c r="G6" s="67"/>
      <c r="H6" s="67">
        <v>10</v>
      </c>
      <c r="I6" s="30">
        <f t="shared" ref="I6:I12" si="0">(H6*10)/SUM($H$5:$H$12)</f>
        <v>2.2727272727272729</v>
      </c>
      <c r="J6" s="28">
        <f t="shared" ref="J6:J12" si="1">IF(F6="X",((H6*10)/SUM($H$5:$H$12)),0)</f>
        <v>0</v>
      </c>
    </row>
    <row r="7" spans="1:10" ht="31.5" customHeight="1">
      <c r="A7" s="66">
        <v>3</v>
      </c>
      <c r="B7" s="81" t="s">
        <v>211</v>
      </c>
      <c r="C7" s="81"/>
      <c r="D7" s="81"/>
      <c r="E7" s="67"/>
      <c r="F7" s="67"/>
      <c r="G7" s="67"/>
      <c r="H7" s="67">
        <v>6</v>
      </c>
      <c r="I7" s="30">
        <f t="shared" si="0"/>
        <v>1.3636363636363635</v>
      </c>
      <c r="J7" s="28">
        <f t="shared" si="1"/>
        <v>0</v>
      </c>
    </row>
    <row r="8" spans="1:10" ht="31.5" customHeight="1">
      <c r="A8" s="66">
        <v>4</v>
      </c>
      <c r="B8" s="81" t="s">
        <v>212</v>
      </c>
      <c r="C8" s="81"/>
      <c r="D8" s="81"/>
      <c r="E8" s="67"/>
      <c r="F8" s="67"/>
      <c r="G8" s="67"/>
      <c r="H8" s="67">
        <v>6</v>
      </c>
      <c r="I8" s="30">
        <f t="shared" si="0"/>
        <v>1.3636363636363635</v>
      </c>
      <c r="J8" s="28">
        <f t="shared" si="1"/>
        <v>0</v>
      </c>
    </row>
    <row r="9" spans="1:10" ht="31.5" customHeight="1">
      <c r="A9" s="66">
        <v>5</v>
      </c>
      <c r="B9" s="81" t="s">
        <v>213</v>
      </c>
      <c r="C9" s="81"/>
      <c r="D9" s="81"/>
      <c r="E9" s="67"/>
      <c r="F9" s="67"/>
      <c r="G9" s="67"/>
      <c r="H9" s="67">
        <v>6</v>
      </c>
      <c r="I9" s="30">
        <f t="shared" si="0"/>
        <v>1.3636363636363635</v>
      </c>
      <c r="J9" s="28">
        <f t="shared" si="1"/>
        <v>0</v>
      </c>
    </row>
    <row r="10" spans="1:10" ht="47.25" customHeight="1">
      <c r="A10" s="66">
        <v>6</v>
      </c>
      <c r="B10" s="81" t="s">
        <v>214</v>
      </c>
      <c r="C10" s="81"/>
      <c r="D10" s="81"/>
      <c r="E10" s="67"/>
      <c r="F10" s="67"/>
      <c r="G10" s="67"/>
      <c r="H10" s="67">
        <v>2</v>
      </c>
      <c r="I10" s="30">
        <f t="shared" si="0"/>
        <v>0.45454545454545453</v>
      </c>
      <c r="J10" s="28">
        <f t="shared" si="1"/>
        <v>0</v>
      </c>
    </row>
    <row r="11" spans="1:10" ht="31.5" customHeight="1">
      <c r="A11" s="66">
        <v>7</v>
      </c>
      <c r="B11" s="81" t="s">
        <v>215</v>
      </c>
      <c r="C11" s="81"/>
      <c r="D11" s="81"/>
      <c r="E11" s="67"/>
      <c r="F11" s="67"/>
      <c r="G11" s="67"/>
      <c r="H11" s="67">
        <v>2</v>
      </c>
      <c r="I11" s="30">
        <f t="shared" si="0"/>
        <v>0.45454545454545453</v>
      </c>
      <c r="J11" s="28">
        <f t="shared" si="1"/>
        <v>0</v>
      </c>
    </row>
    <row r="12" spans="1:10" ht="44.25" customHeight="1">
      <c r="A12" s="66">
        <v>8</v>
      </c>
      <c r="B12" s="81" t="s">
        <v>216</v>
      </c>
      <c r="C12" s="81"/>
      <c r="D12" s="81"/>
      <c r="E12" s="67"/>
      <c r="F12" s="67"/>
      <c r="G12" s="67"/>
      <c r="H12" s="67">
        <v>6</v>
      </c>
      <c r="I12" s="30">
        <f t="shared" si="0"/>
        <v>1.3636363636363635</v>
      </c>
      <c r="J12" s="28">
        <f t="shared" si="1"/>
        <v>0</v>
      </c>
    </row>
    <row r="13" spans="1:10" ht="15" customHeight="1">
      <c r="A13" s="96" t="s">
        <v>37</v>
      </c>
      <c r="B13" s="96"/>
      <c r="C13" s="96"/>
      <c r="D13" s="96"/>
      <c r="E13" s="96"/>
      <c r="F13" s="96"/>
      <c r="G13" s="96"/>
      <c r="H13" s="96"/>
      <c r="I13" s="29">
        <f>SUM(I5:I12)</f>
        <v>10</v>
      </c>
      <c r="J13" s="29">
        <f>SUM(J5:J12)</f>
        <v>0</v>
      </c>
    </row>
  </sheetData>
  <mergeCells count="16">
    <mergeCell ref="B10:D10"/>
    <mergeCell ref="B11:D11"/>
    <mergeCell ref="B12:D12"/>
    <mergeCell ref="A13:H13"/>
    <mergeCell ref="B4:D4"/>
    <mergeCell ref="B5:D5"/>
    <mergeCell ref="B6:D6"/>
    <mergeCell ref="B7:D7"/>
    <mergeCell ref="B8:D8"/>
    <mergeCell ref="B9:D9"/>
    <mergeCell ref="A1:B1"/>
    <mergeCell ref="C1:J1"/>
    <mergeCell ref="A2:B2"/>
    <mergeCell ref="C2:J2"/>
    <mergeCell ref="A3:B3"/>
    <mergeCell ref="E3:J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BE1D-4E37-4C3A-82C9-1A71B54CFA61}">
  <dimension ref="A1:I13"/>
  <sheetViews>
    <sheetView workbookViewId="0">
      <pane xSplit="3" ySplit="4" topLeftCell="D5" activePane="bottomRight" state="frozen"/>
      <selection activeCell="A3" sqref="A3:A16"/>
      <selection pane="topRight" activeCell="A3" sqref="A3:A16"/>
      <selection pane="bottomLeft" activeCell="A3" sqref="A3:A16"/>
      <selection pane="bottomRight"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9" width="12" style="32" customWidth="1"/>
    <col min="10" max="16384" width="11.375" style="32"/>
  </cols>
  <sheetData>
    <row r="1" spans="1:9" ht="15">
      <c r="A1" s="77" t="s">
        <v>443</v>
      </c>
      <c r="B1" s="77"/>
      <c r="C1" s="78"/>
      <c r="D1" s="79"/>
      <c r="E1" s="79"/>
      <c r="F1" s="79"/>
      <c r="G1" s="79"/>
      <c r="H1" s="79"/>
      <c r="I1" s="80"/>
    </row>
    <row r="2" spans="1:9" ht="15">
      <c r="A2" s="77" t="s">
        <v>0</v>
      </c>
      <c r="B2" s="77"/>
      <c r="C2" s="78"/>
      <c r="D2" s="79"/>
      <c r="E2" s="79"/>
      <c r="F2" s="79"/>
      <c r="G2" s="79"/>
      <c r="H2" s="79"/>
      <c r="I2" s="80"/>
    </row>
    <row r="3" spans="1:9" ht="15">
      <c r="A3" s="77" t="s">
        <v>218</v>
      </c>
      <c r="B3" s="77"/>
      <c r="C3" s="24" t="s">
        <v>219</v>
      </c>
      <c r="D3" s="81">
        <v>330</v>
      </c>
      <c r="E3" s="81"/>
      <c r="F3" s="81"/>
      <c r="G3" s="81"/>
      <c r="H3" s="81"/>
      <c r="I3" s="81"/>
    </row>
    <row r="4" spans="1:9" ht="60">
      <c r="A4" s="25" t="s">
        <v>25</v>
      </c>
      <c r="B4" s="77" t="s">
        <v>26</v>
      </c>
      <c r="C4" s="77"/>
      <c r="D4" s="25" t="s">
        <v>27</v>
      </c>
      <c r="E4" s="25" t="s">
        <v>28</v>
      </c>
      <c r="F4" s="25" t="s">
        <v>284</v>
      </c>
      <c r="G4" s="25" t="s">
        <v>294</v>
      </c>
      <c r="H4" s="25" t="s">
        <v>295</v>
      </c>
      <c r="I4" s="25" t="s">
        <v>298</v>
      </c>
    </row>
    <row r="5" spans="1:9" ht="46.5" customHeight="1">
      <c r="A5" s="25">
        <v>1</v>
      </c>
      <c r="B5" s="81" t="s">
        <v>220</v>
      </c>
      <c r="C5" s="81"/>
      <c r="D5" s="27"/>
      <c r="E5" s="52"/>
      <c r="F5" s="27"/>
      <c r="G5" s="27">
        <v>10</v>
      </c>
      <c r="H5" s="30">
        <f>(G5*10)/SUM($G$5:$G$12)</f>
        <v>1.5625</v>
      </c>
      <c r="I5" s="30">
        <f t="shared" ref="I5:I12" si="0">IF(E5="X",((G5*10)/SUM($G$5:$G$12)),0)</f>
        <v>0</v>
      </c>
    </row>
    <row r="6" spans="1:9" ht="60" customHeight="1">
      <c r="A6" s="25">
        <v>2</v>
      </c>
      <c r="B6" s="81" t="s">
        <v>221</v>
      </c>
      <c r="C6" s="81"/>
      <c r="D6" s="27"/>
      <c r="E6" s="52"/>
      <c r="F6" s="27"/>
      <c r="G6" s="27">
        <v>6</v>
      </c>
      <c r="H6" s="30">
        <f t="shared" ref="H6:H12" si="1">(G6*10)/SUM($G$5:$G$12)</f>
        <v>0.9375</v>
      </c>
      <c r="I6" s="30">
        <f t="shared" si="0"/>
        <v>0</v>
      </c>
    </row>
    <row r="7" spans="1:9" ht="47.25" customHeight="1">
      <c r="A7" s="25">
        <v>3</v>
      </c>
      <c r="B7" s="81" t="s">
        <v>222</v>
      </c>
      <c r="C7" s="81"/>
      <c r="D7" s="27"/>
      <c r="E7" s="52"/>
      <c r="F7" s="27"/>
      <c r="G7" s="27">
        <v>10</v>
      </c>
      <c r="H7" s="30">
        <f t="shared" si="1"/>
        <v>1.5625</v>
      </c>
      <c r="I7" s="30">
        <f t="shared" si="0"/>
        <v>0</v>
      </c>
    </row>
    <row r="8" spans="1:9" ht="47.25" customHeight="1">
      <c r="A8" s="25">
        <v>4</v>
      </c>
      <c r="B8" s="81" t="s">
        <v>223</v>
      </c>
      <c r="C8" s="81"/>
      <c r="D8" s="27"/>
      <c r="E8" s="52"/>
      <c r="F8" s="27"/>
      <c r="G8" s="27">
        <v>2</v>
      </c>
      <c r="H8" s="30">
        <f t="shared" si="1"/>
        <v>0.3125</v>
      </c>
      <c r="I8" s="30">
        <f t="shared" si="0"/>
        <v>0</v>
      </c>
    </row>
    <row r="9" spans="1:9" ht="75.75" customHeight="1">
      <c r="A9" s="25">
        <v>5</v>
      </c>
      <c r="B9" s="81" t="s">
        <v>224</v>
      </c>
      <c r="C9" s="81"/>
      <c r="D9" s="52"/>
      <c r="E9" s="27"/>
      <c r="F9" s="27"/>
      <c r="G9" s="27">
        <v>10</v>
      </c>
      <c r="H9" s="30">
        <f t="shared" si="1"/>
        <v>1.5625</v>
      </c>
      <c r="I9" s="30">
        <f t="shared" si="0"/>
        <v>0</v>
      </c>
    </row>
    <row r="10" spans="1:9" ht="46.5" customHeight="1">
      <c r="A10" s="25">
        <v>6</v>
      </c>
      <c r="B10" s="81" t="s">
        <v>225</v>
      </c>
      <c r="C10" s="81"/>
      <c r="D10" s="27"/>
      <c r="E10" s="52"/>
      <c r="F10" s="27"/>
      <c r="G10" s="27">
        <v>6</v>
      </c>
      <c r="H10" s="30">
        <f t="shared" si="1"/>
        <v>0.9375</v>
      </c>
      <c r="I10" s="30">
        <f t="shared" si="0"/>
        <v>0</v>
      </c>
    </row>
    <row r="11" spans="1:9" ht="50.25" customHeight="1">
      <c r="A11" s="25">
        <v>7</v>
      </c>
      <c r="B11" s="81" t="s">
        <v>226</v>
      </c>
      <c r="C11" s="81"/>
      <c r="D11" s="27"/>
      <c r="E11" s="52"/>
      <c r="F11" s="27"/>
      <c r="G11" s="27">
        <v>10</v>
      </c>
      <c r="H11" s="30">
        <f t="shared" si="1"/>
        <v>1.5625</v>
      </c>
      <c r="I11" s="30">
        <f t="shared" si="0"/>
        <v>0</v>
      </c>
    </row>
    <row r="12" spans="1:9" ht="61.5" customHeight="1">
      <c r="A12" s="25">
        <v>8</v>
      </c>
      <c r="B12" s="81" t="s">
        <v>227</v>
      </c>
      <c r="C12" s="81"/>
      <c r="D12" s="27"/>
      <c r="E12" s="52"/>
      <c r="F12" s="27"/>
      <c r="G12" s="27">
        <v>10</v>
      </c>
      <c r="H12" s="30">
        <f t="shared" si="1"/>
        <v>1.5625</v>
      </c>
      <c r="I12" s="30">
        <f t="shared" si="0"/>
        <v>0</v>
      </c>
    </row>
    <row r="13" spans="1:9" ht="15.75" customHeight="1">
      <c r="A13" s="82" t="s">
        <v>37</v>
      </c>
      <c r="B13" s="83"/>
      <c r="C13" s="83"/>
      <c r="D13" s="83"/>
      <c r="E13" s="83"/>
      <c r="F13" s="83"/>
      <c r="G13" s="83"/>
      <c r="H13" s="41">
        <f>SUM(H5:H12)</f>
        <v>10</v>
      </c>
      <c r="I13" s="31">
        <f>SUM(I5:I12)</f>
        <v>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BF6A8-0E20-4C72-A96D-D3FA0655FAAD}">
  <dimension ref="A1:I13"/>
  <sheetViews>
    <sheetView workbookViewId="0">
      <pane xSplit="3" ySplit="4" topLeftCell="D5" activePane="bottomRight" state="frozen"/>
      <selection activeCell="A3" sqref="A3:A16"/>
      <selection pane="topRight" activeCell="A3" sqref="A3:A16"/>
      <selection pane="bottomLeft" activeCell="A3" sqref="A3:A16"/>
      <selection pane="bottomRight"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97"/>
      <c r="D1" s="79"/>
      <c r="E1" s="79"/>
      <c r="F1" s="79"/>
      <c r="G1" s="79"/>
      <c r="H1" s="79"/>
      <c r="I1" s="80"/>
    </row>
    <row r="2" spans="1:9" ht="15">
      <c r="A2" s="77" t="s">
        <v>0</v>
      </c>
      <c r="B2" s="77"/>
      <c r="C2" s="97"/>
      <c r="D2" s="79"/>
      <c r="E2" s="79"/>
      <c r="F2" s="79"/>
      <c r="G2" s="79"/>
      <c r="H2" s="79"/>
      <c r="I2" s="80"/>
    </row>
    <row r="3" spans="1:9" ht="15">
      <c r="A3" s="77" t="s">
        <v>218</v>
      </c>
      <c r="B3" s="77"/>
      <c r="C3" s="24" t="s">
        <v>228</v>
      </c>
      <c r="D3" s="81">
        <v>340</v>
      </c>
      <c r="E3" s="81"/>
      <c r="F3" s="81"/>
      <c r="G3" s="81"/>
      <c r="H3" s="81"/>
      <c r="I3" s="81"/>
    </row>
    <row r="4" spans="1:9" ht="60">
      <c r="A4" s="25" t="s">
        <v>25</v>
      </c>
      <c r="B4" s="77" t="s">
        <v>26</v>
      </c>
      <c r="C4" s="77"/>
      <c r="D4" s="25" t="s">
        <v>27</v>
      </c>
      <c r="E4" s="25" t="s">
        <v>28</v>
      </c>
      <c r="F4" s="25" t="s">
        <v>284</v>
      </c>
      <c r="G4" s="25" t="s">
        <v>294</v>
      </c>
      <c r="H4" s="25" t="s">
        <v>295</v>
      </c>
      <c r="I4" s="25" t="s">
        <v>298</v>
      </c>
    </row>
    <row r="5" spans="1:9" ht="57.75" customHeight="1">
      <c r="A5" s="25">
        <v>1</v>
      </c>
      <c r="B5" s="81" t="s">
        <v>229</v>
      </c>
      <c r="C5" s="81"/>
      <c r="D5" s="27"/>
      <c r="E5" s="52"/>
      <c r="F5" s="27"/>
      <c r="G5" s="27">
        <v>6</v>
      </c>
      <c r="H5" s="30">
        <f>(G5*10)/SUM($G$5:$G$12)</f>
        <v>1</v>
      </c>
      <c r="I5" s="28">
        <f>IF(E5="X",((G5*10)/SUM($G$5:$G$12)),0)</f>
        <v>0</v>
      </c>
    </row>
    <row r="6" spans="1:9" ht="47.25" customHeight="1">
      <c r="A6" s="25">
        <v>2</v>
      </c>
      <c r="B6" s="81" t="s">
        <v>230</v>
      </c>
      <c r="C6" s="81"/>
      <c r="D6" s="27"/>
      <c r="E6" s="52"/>
      <c r="F6" s="27"/>
      <c r="G6" s="27">
        <v>6</v>
      </c>
      <c r="H6" s="30">
        <f t="shared" ref="H6:H12" si="0">(G6*10)/SUM($G$5:$G$12)</f>
        <v>1</v>
      </c>
      <c r="I6" s="28">
        <f t="shared" ref="I6:I12" si="1">IF(E6="X",((G6*10)/SUM($G$5:$G$12)),0)</f>
        <v>0</v>
      </c>
    </row>
    <row r="7" spans="1:9" ht="41.25" customHeight="1">
      <c r="A7" s="25">
        <v>3</v>
      </c>
      <c r="B7" s="81" t="s">
        <v>231</v>
      </c>
      <c r="C7" s="81"/>
      <c r="D7" s="27"/>
      <c r="E7" s="52"/>
      <c r="F7" s="27"/>
      <c r="G7" s="27">
        <v>2</v>
      </c>
      <c r="H7" s="30">
        <f t="shared" si="0"/>
        <v>0.33333333333333331</v>
      </c>
      <c r="I7" s="28">
        <f t="shared" si="1"/>
        <v>0</v>
      </c>
    </row>
    <row r="8" spans="1:9" ht="74.25" customHeight="1">
      <c r="A8" s="25">
        <v>4</v>
      </c>
      <c r="B8" s="81" t="s">
        <v>232</v>
      </c>
      <c r="C8" s="81"/>
      <c r="D8" s="27"/>
      <c r="E8" s="52"/>
      <c r="F8" s="27"/>
      <c r="G8" s="27">
        <v>6</v>
      </c>
      <c r="H8" s="30">
        <f t="shared" si="0"/>
        <v>1</v>
      </c>
      <c r="I8" s="28">
        <f t="shared" si="1"/>
        <v>0</v>
      </c>
    </row>
    <row r="9" spans="1:9" ht="45" customHeight="1">
      <c r="A9" s="25">
        <v>5</v>
      </c>
      <c r="B9" s="81" t="s">
        <v>233</v>
      </c>
      <c r="C9" s="81"/>
      <c r="D9" s="27"/>
      <c r="E9" s="52"/>
      <c r="F9" s="27"/>
      <c r="G9" s="27">
        <v>10</v>
      </c>
      <c r="H9" s="30">
        <f t="shared" si="0"/>
        <v>1.6666666666666667</v>
      </c>
      <c r="I9" s="28">
        <f t="shared" si="1"/>
        <v>0</v>
      </c>
    </row>
    <row r="10" spans="1:9" ht="47.25" customHeight="1">
      <c r="A10" s="25">
        <v>6</v>
      </c>
      <c r="B10" s="81" t="s">
        <v>234</v>
      </c>
      <c r="C10" s="81"/>
      <c r="D10" s="27"/>
      <c r="E10" s="52"/>
      <c r="F10" s="27"/>
      <c r="G10" s="27">
        <v>10</v>
      </c>
      <c r="H10" s="30">
        <f t="shared" si="0"/>
        <v>1.6666666666666667</v>
      </c>
      <c r="I10" s="28">
        <f t="shared" si="1"/>
        <v>0</v>
      </c>
    </row>
    <row r="11" spans="1:9" ht="60" customHeight="1">
      <c r="A11" s="25">
        <v>7</v>
      </c>
      <c r="B11" s="81" t="s">
        <v>235</v>
      </c>
      <c r="C11" s="81"/>
      <c r="D11" s="27"/>
      <c r="E11" s="52"/>
      <c r="F11" s="27"/>
      <c r="G11" s="27">
        <v>10</v>
      </c>
      <c r="H11" s="30">
        <f t="shared" si="0"/>
        <v>1.6666666666666667</v>
      </c>
      <c r="I11" s="28">
        <f t="shared" si="1"/>
        <v>0</v>
      </c>
    </row>
    <row r="12" spans="1:9" ht="63" customHeight="1">
      <c r="A12" s="25">
        <v>8</v>
      </c>
      <c r="B12" s="81" t="s">
        <v>236</v>
      </c>
      <c r="C12" s="81"/>
      <c r="D12" s="27"/>
      <c r="E12" s="52"/>
      <c r="F12" s="27"/>
      <c r="G12" s="27">
        <v>10</v>
      </c>
      <c r="H12" s="30">
        <f t="shared" si="0"/>
        <v>1.6666666666666667</v>
      </c>
      <c r="I12" s="28">
        <f t="shared" si="1"/>
        <v>0</v>
      </c>
    </row>
    <row r="13" spans="1:9" ht="15.75" customHeight="1">
      <c r="A13" s="96" t="s">
        <v>37</v>
      </c>
      <c r="B13" s="96"/>
      <c r="C13" s="96"/>
      <c r="D13" s="96"/>
      <c r="E13" s="96"/>
      <c r="F13" s="96"/>
      <c r="G13" s="96"/>
      <c r="H13" s="41">
        <f>SUM(H5:H12)</f>
        <v>10</v>
      </c>
      <c r="I13" s="31">
        <f>SUM(I5:I12)</f>
        <v>0</v>
      </c>
    </row>
  </sheetData>
  <mergeCells count="16">
    <mergeCell ref="A1:B1"/>
    <mergeCell ref="A2:B2"/>
    <mergeCell ref="C2:I2"/>
    <mergeCell ref="C1:I1"/>
    <mergeCell ref="A13:G13"/>
    <mergeCell ref="A3:B3"/>
    <mergeCell ref="D3:I3"/>
    <mergeCell ref="B4:C4"/>
    <mergeCell ref="B5:C5"/>
    <mergeCell ref="B6:C6"/>
    <mergeCell ref="B7:C7"/>
    <mergeCell ref="B8:C8"/>
    <mergeCell ref="B9:C9"/>
    <mergeCell ref="B10:C10"/>
    <mergeCell ref="B11:C11"/>
    <mergeCell ref="B12:C12"/>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E4D2A-5772-48A5-AE81-1420949769B6}">
  <sheetPr>
    <tabColor rgb="FFF2F2F2"/>
  </sheetPr>
  <dimension ref="A1:I19"/>
  <sheetViews>
    <sheetView workbookViewId="0">
      <pane xSplit="3" ySplit="4" topLeftCell="D5" activePane="bottomRight" state="frozen"/>
      <selection activeCell="A34" sqref="A34:A50"/>
      <selection pane="topRight" activeCell="A34" sqref="A34:A50"/>
      <selection pane="bottomLeft" activeCell="A34" sqref="A34:A50"/>
      <selection pane="bottomRight"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97"/>
      <c r="D1" s="79"/>
      <c r="E1" s="79"/>
      <c r="F1" s="79"/>
      <c r="G1" s="79"/>
      <c r="H1" s="79"/>
      <c r="I1" s="80"/>
    </row>
    <row r="2" spans="1:9" ht="15">
      <c r="A2" s="77" t="s">
        <v>0</v>
      </c>
      <c r="B2" s="77"/>
      <c r="C2" s="105"/>
      <c r="D2" s="79"/>
      <c r="E2" s="79"/>
      <c r="F2" s="79"/>
      <c r="G2" s="79"/>
      <c r="H2" s="79"/>
      <c r="I2" s="80"/>
    </row>
    <row r="3" spans="1:9" ht="30">
      <c r="A3" s="77" t="s">
        <v>237</v>
      </c>
      <c r="B3" s="77"/>
      <c r="C3" s="68" t="s">
        <v>238</v>
      </c>
      <c r="D3" s="81">
        <v>360</v>
      </c>
      <c r="E3" s="81"/>
      <c r="F3" s="81"/>
      <c r="G3" s="81"/>
      <c r="H3" s="81"/>
      <c r="I3" s="81"/>
    </row>
    <row r="4" spans="1:9" ht="60">
      <c r="A4" s="66" t="s">
        <v>25</v>
      </c>
      <c r="B4" s="77" t="s">
        <v>26</v>
      </c>
      <c r="C4" s="77"/>
      <c r="D4" s="66" t="s">
        <v>27</v>
      </c>
      <c r="E4" s="66" t="s">
        <v>28</v>
      </c>
      <c r="F4" s="66" t="s">
        <v>284</v>
      </c>
      <c r="G4" s="66" t="s">
        <v>294</v>
      </c>
      <c r="H4" s="66" t="s">
        <v>295</v>
      </c>
      <c r="I4" s="66" t="s">
        <v>298</v>
      </c>
    </row>
    <row r="5" spans="1:9" ht="48" customHeight="1">
      <c r="A5" s="66">
        <v>1</v>
      </c>
      <c r="B5" s="81" t="s">
        <v>239</v>
      </c>
      <c r="C5" s="81"/>
      <c r="D5" s="40"/>
      <c r="E5" s="70"/>
      <c r="F5" s="40"/>
      <c r="G5" s="39">
        <v>10</v>
      </c>
      <c r="H5" s="47">
        <f t="shared" ref="H5:H18" si="0">(G5*10)/SUM($G$5:$G$18)</f>
        <v>0.96153846153846156</v>
      </c>
      <c r="I5" s="28">
        <f>IF(E5="X",((G5*10)/SUM($G$5:$G$18)),0)</f>
        <v>0</v>
      </c>
    </row>
    <row r="6" spans="1:9" ht="71.25" customHeight="1">
      <c r="A6" s="66">
        <v>2</v>
      </c>
      <c r="B6" s="81" t="s">
        <v>240</v>
      </c>
      <c r="C6" s="81"/>
      <c r="D6" s="40"/>
      <c r="E6" s="70"/>
      <c r="F6" s="40"/>
      <c r="G6" s="39">
        <v>10</v>
      </c>
      <c r="H6" s="47">
        <f t="shared" si="0"/>
        <v>0.96153846153846156</v>
      </c>
      <c r="I6" s="28">
        <f t="shared" ref="I6:I18" si="1">IF(E6="X",((G6*10)/SUM($G$5:$G$18)),0)</f>
        <v>0</v>
      </c>
    </row>
    <row r="7" spans="1:9" ht="71.25" customHeight="1">
      <c r="A7" s="66">
        <v>3</v>
      </c>
      <c r="B7" s="81" t="s">
        <v>241</v>
      </c>
      <c r="C7" s="81"/>
      <c r="D7" s="40"/>
      <c r="E7" s="70"/>
      <c r="F7" s="40"/>
      <c r="G7" s="39">
        <v>10</v>
      </c>
      <c r="H7" s="47">
        <f t="shared" si="0"/>
        <v>0.96153846153846156</v>
      </c>
      <c r="I7" s="28">
        <f t="shared" si="1"/>
        <v>0</v>
      </c>
    </row>
    <row r="8" spans="1:9" ht="48.75" customHeight="1">
      <c r="A8" s="66">
        <v>4</v>
      </c>
      <c r="B8" s="81" t="s">
        <v>242</v>
      </c>
      <c r="C8" s="81"/>
      <c r="D8" s="40"/>
      <c r="E8" s="70"/>
      <c r="F8" s="40"/>
      <c r="G8" s="39">
        <v>10</v>
      </c>
      <c r="H8" s="47">
        <f t="shared" si="0"/>
        <v>0.96153846153846156</v>
      </c>
      <c r="I8" s="28">
        <f t="shared" si="1"/>
        <v>0</v>
      </c>
    </row>
    <row r="9" spans="1:9" ht="42.75" customHeight="1">
      <c r="A9" s="66">
        <v>5</v>
      </c>
      <c r="B9" s="81" t="s">
        <v>243</v>
      </c>
      <c r="C9" s="81"/>
      <c r="D9" s="70"/>
      <c r="E9" s="40"/>
      <c r="F9" s="40"/>
      <c r="G9" s="39">
        <v>10</v>
      </c>
      <c r="H9" s="47">
        <f t="shared" si="0"/>
        <v>0.96153846153846156</v>
      </c>
      <c r="I9" s="28">
        <f t="shared" si="1"/>
        <v>0</v>
      </c>
    </row>
    <row r="10" spans="1:9" ht="57" customHeight="1">
      <c r="A10" s="66">
        <v>6</v>
      </c>
      <c r="B10" s="81" t="s">
        <v>244</v>
      </c>
      <c r="C10" s="81"/>
      <c r="D10" s="40"/>
      <c r="E10" s="70"/>
      <c r="F10" s="40"/>
      <c r="G10" s="39">
        <v>6</v>
      </c>
      <c r="H10" s="47">
        <f t="shared" si="0"/>
        <v>0.57692307692307687</v>
      </c>
      <c r="I10" s="28">
        <f t="shared" si="1"/>
        <v>0</v>
      </c>
    </row>
    <row r="11" spans="1:9" ht="42.75" customHeight="1">
      <c r="A11" s="66">
        <v>7</v>
      </c>
      <c r="B11" s="81" t="s">
        <v>245</v>
      </c>
      <c r="C11" s="81"/>
      <c r="D11" s="40"/>
      <c r="E11" s="70"/>
      <c r="F11" s="40"/>
      <c r="G11" s="39">
        <v>6</v>
      </c>
      <c r="H11" s="47">
        <f t="shared" si="0"/>
        <v>0.57692307692307687</v>
      </c>
      <c r="I11" s="28">
        <f t="shared" si="1"/>
        <v>0</v>
      </c>
    </row>
    <row r="12" spans="1:9" ht="42.75" customHeight="1">
      <c r="A12" s="66">
        <v>8</v>
      </c>
      <c r="B12" s="81" t="s">
        <v>246</v>
      </c>
      <c r="C12" s="81"/>
      <c r="D12" s="40"/>
      <c r="E12" s="70"/>
      <c r="F12" s="40"/>
      <c r="G12" s="39">
        <v>2</v>
      </c>
      <c r="H12" s="47">
        <f t="shared" si="0"/>
        <v>0.19230769230769232</v>
      </c>
      <c r="I12" s="28">
        <f t="shared" si="1"/>
        <v>0</v>
      </c>
    </row>
    <row r="13" spans="1:9" ht="72" customHeight="1">
      <c r="A13" s="66">
        <v>9</v>
      </c>
      <c r="B13" s="106" t="s">
        <v>441</v>
      </c>
      <c r="C13" s="81"/>
      <c r="D13" s="40"/>
      <c r="E13" s="70"/>
      <c r="F13" s="40"/>
      <c r="G13" s="39">
        <v>6</v>
      </c>
      <c r="H13" s="47">
        <f t="shared" si="0"/>
        <v>0.57692307692307687</v>
      </c>
      <c r="I13" s="28">
        <f t="shared" si="1"/>
        <v>0</v>
      </c>
    </row>
    <row r="14" spans="1:9" ht="42.75" customHeight="1">
      <c r="A14" s="66">
        <v>10</v>
      </c>
      <c r="B14" s="81" t="s">
        <v>247</v>
      </c>
      <c r="C14" s="81"/>
      <c r="D14" s="40"/>
      <c r="E14" s="70"/>
      <c r="F14" s="40"/>
      <c r="G14" s="39">
        <v>6</v>
      </c>
      <c r="H14" s="47">
        <f t="shared" si="0"/>
        <v>0.57692307692307687</v>
      </c>
      <c r="I14" s="28">
        <f t="shared" si="1"/>
        <v>0</v>
      </c>
    </row>
    <row r="15" spans="1:9" ht="33" customHeight="1">
      <c r="A15" s="66">
        <v>11</v>
      </c>
      <c r="B15" s="81" t="s">
        <v>248</v>
      </c>
      <c r="C15" s="81"/>
      <c r="D15" s="40"/>
      <c r="E15" s="70"/>
      <c r="F15" s="40"/>
      <c r="G15" s="39">
        <v>6</v>
      </c>
      <c r="H15" s="47">
        <f t="shared" si="0"/>
        <v>0.57692307692307687</v>
      </c>
      <c r="I15" s="28">
        <f t="shared" si="1"/>
        <v>0</v>
      </c>
    </row>
    <row r="16" spans="1:9" ht="57" customHeight="1">
      <c r="A16" s="66">
        <v>12</v>
      </c>
      <c r="B16" s="81" t="s">
        <v>249</v>
      </c>
      <c r="C16" s="81"/>
      <c r="D16" s="40"/>
      <c r="E16" s="70"/>
      <c r="F16" s="40"/>
      <c r="G16" s="39">
        <v>10</v>
      </c>
      <c r="H16" s="47">
        <f t="shared" si="0"/>
        <v>0.96153846153846156</v>
      </c>
      <c r="I16" s="28">
        <f t="shared" si="1"/>
        <v>0</v>
      </c>
    </row>
    <row r="17" spans="1:9" ht="48.75" customHeight="1">
      <c r="A17" s="66">
        <v>13</v>
      </c>
      <c r="B17" s="81" t="s">
        <v>250</v>
      </c>
      <c r="C17" s="81"/>
      <c r="D17" s="70"/>
      <c r="E17" s="40"/>
      <c r="F17" s="40"/>
      <c r="G17" s="39">
        <v>6</v>
      </c>
      <c r="H17" s="47">
        <f t="shared" si="0"/>
        <v>0.57692307692307687</v>
      </c>
      <c r="I17" s="28">
        <f t="shared" si="1"/>
        <v>0</v>
      </c>
    </row>
    <row r="18" spans="1:9" ht="57" customHeight="1">
      <c r="A18" s="66">
        <v>14</v>
      </c>
      <c r="B18" s="81" t="s">
        <v>251</v>
      </c>
      <c r="C18" s="81"/>
      <c r="D18" s="70"/>
      <c r="E18" s="70"/>
      <c r="F18" s="40"/>
      <c r="G18" s="39">
        <v>6</v>
      </c>
      <c r="H18" s="47">
        <f t="shared" si="0"/>
        <v>0.57692307692307687</v>
      </c>
      <c r="I18" s="28">
        <f t="shared" si="1"/>
        <v>0</v>
      </c>
    </row>
    <row r="19" spans="1:9" ht="15">
      <c r="A19" s="77" t="s">
        <v>37</v>
      </c>
      <c r="B19" s="77"/>
      <c r="C19" s="77"/>
      <c r="D19" s="77"/>
      <c r="E19" s="77"/>
      <c r="F19" s="77"/>
      <c r="G19" s="77"/>
      <c r="H19" s="48">
        <f>SUM(H5:H18)</f>
        <v>9.9999999999999982</v>
      </c>
      <c r="I19" s="29">
        <f>SUM(I5:I18)</f>
        <v>0</v>
      </c>
    </row>
  </sheetData>
  <mergeCells count="22">
    <mergeCell ref="B16:C16"/>
    <mergeCell ref="B17:C17"/>
    <mergeCell ref="B18:C18"/>
    <mergeCell ref="A19:G19"/>
    <mergeCell ref="B10:C10"/>
    <mergeCell ref="B11:C11"/>
    <mergeCell ref="B12:C12"/>
    <mergeCell ref="B13:C13"/>
    <mergeCell ref="B14:C14"/>
    <mergeCell ref="B15:C15"/>
    <mergeCell ref="B4:C4"/>
    <mergeCell ref="B5:C5"/>
    <mergeCell ref="B6:C6"/>
    <mergeCell ref="B7:C7"/>
    <mergeCell ref="B8:C8"/>
    <mergeCell ref="B9:C9"/>
    <mergeCell ref="A1:B1"/>
    <mergeCell ref="C1:I1"/>
    <mergeCell ref="A2:B2"/>
    <mergeCell ref="C2:I2"/>
    <mergeCell ref="A3:B3"/>
    <mergeCell ref="D3:I3"/>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C6DF3-AD4F-47C0-BBEC-1880F887C80F}">
  <dimension ref="A1:I12"/>
  <sheetViews>
    <sheetView workbookViewId="0">
      <pane xSplit="3" ySplit="4" topLeftCell="D5" activePane="bottomRight" state="frozen"/>
      <selection activeCell="A3" sqref="A3:A16"/>
      <selection pane="topRight" activeCell="A3" sqref="A3:A16"/>
      <selection pane="bottomLeft" activeCell="A3" sqref="A3:A16"/>
      <selection pane="bottomRight"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78"/>
      <c r="D1" s="84"/>
      <c r="E1" s="84"/>
      <c r="F1" s="84"/>
      <c r="G1" s="84"/>
      <c r="H1" s="84"/>
      <c r="I1" s="85"/>
    </row>
    <row r="2" spans="1:9" ht="15">
      <c r="A2" s="77" t="s">
        <v>0</v>
      </c>
      <c r="B2" s="77"/>
      <c r="C2" s="78"/>
      <c r="D2" s="84"/>
      <c r="E2" s="84"/>
      <c r="F2" s="84"/>
      <c r="G2" s="84"/>
      <c r="H2" s="84"/>
      <c r="I2" s="85"/>
    </row>
    <row r="3" spans="1:9" ht="15">
      <c r="A3" s="77" t="s">
        <v>252</v>
      </c>
      <c r="B3" s="77"/>
      <c r="C3" s="24" t="s">
        <v>253</v>
      </c>
      <c r="D3" s="81">
        <v>380</v>
      </c>
      <c r="E3" s="81"/>
      <c r="F3" s="81"/>
      <c r="G3" s="81"/>
      <c r="H3" s="81"/>
      <c r="I3" s="81"/>
    </row>
    <row r="4" spans="1:9" ht="60">
      <c r="A4" s="25" t="s">
        <v>25</v>
      </c>
      <c r="B4" s="77" t="s">
        <v>26</v>
      </c>
      <c r="C4" s="77"/>
      <c r="D4" s="25" t="s">
        <v>27</v>
      </c>
      <c r="E4" s="25" t="s">
        <v>28</v>
      </c>
      <c r="F4" s="25" t="s">
        <v>284</v>
      </c>
      <c r="G4" s="25" t="s">
        <v>294</v>
      </c>
      <c r="H4" s="25" t="s">
        <v>295</v>
      </c>
      <c r="I4" s="25" t="s">
        <v>298</v>
      </c>
    </row>
    <row r="5" spans="1:9" ht="63" customHeight="1">
      <c r="A5" s="25">
        <v>1</v>
      </c>
      <c r="B5" s="81" t="s">
        <v>293</v>
      </c>
      <c r="C5" s="81"/>
      <c r="D5" s="52"/>
      <c r="E5" s="27"/>
      <c r="F5" s="27"/>
      <c r="G5" s="27">
        <v>2</v>
      </c>
      <c r="H5" s="30">
        <f>(G5*10)/SUM($G$5:$G$11)</f>
        <v>0.52631578947368418</v>
      </c>
      <c r="I5" s="28">
        <f>IF(E5="X",((G5*10)/SUM($G$5:$G$11)),0)</f>
        <v>0</v>
      </c>
    </row>
    <row r="6" spans="1:9" ht="69" customHeight="1">
      <c r="A6" s="25">
        <v>2</v>
      </c>
      <c r="B6" s="81" t="s">
        <v>254</v>
      </c>
      <c r="C6" s="81"/>
      <c r="D6" s="52"/>
      <c r="E6" s="27"/>
      <c r="F6" s="27"/>
      <c r="G6" s="27">
        <v>6</v>
      </c>
      <c r="H6" s="30">
        <f t="shared" ref="H6:H11" si="0">(G6*10)/SUM($G$5:$G$11)</f>
        <v>1.5789473684210527</v>
      </c>
      <c r="I6" s="28">
        <f t="shared" ref="I6:I11" si="1">IF(E6="X",((G6*10)/SUM($G$5:$G$11)),0)</f>
        <v>0</v>
      </c>
    </row>
    <row r="7" spans="1:9" ht="31.5" customHeight="1">
      <c r="A7" s="25">
        <v>3</v>
      </c>
      <c r="B7" s="81" t="s">
        <v>255</v>
      </c>
      <c r="C7" s="81"/>
      <c r="D7" s="27"/>
      <c r="E7" s="52"/>
      <c r="F7" s="27"/>
      <c r="G7" s="27">
        <v>10</v>
      </c>
      <c r="H7" s="30">
        <f t="shared" si="0"/>
        <v>2.6315789473684212</v>
      </c>
      <c r="I7" s="28">
        <f t="shared" si="1"/>
        <v>0</v>
      </c>
    </row>
    <row r="8" spans="1:9" ht="47.25" customHeight="1">
      <c r="A8" s="25">
        <v>4</v>
      </c>
      <c r="B8" s="81" t="s">
        <v>256</v>
      </c>
      <c r="C8" s="81"/>
      <c r="D8" s="27"/>
      <c r="E8" s="52"/>
      <c r="F8" s="27"/>
      <c r="G8" s="27">
        <v>10</v>
      </c>
      <c r="H8" s="30">
        <f t="shared" si="0"/>
        <v>2.6315789473684212</v>
      </c>
      <c r="I8" s="28">
        <f t="shared" si="1"/>
        <v>0</v>
      </c>
    </row>
    <row r="9" spans="1:9" ht="47.25" customHeight="1">
      <c r="A9" s="25">
        <v>5</v>
      </c>
      <c r="B9" s="81" t="s">
        <v>257</v>
      </c>
      <c r="C9" s="81"/>
      <c r="D9" s="27"/>
      <c r="E9" s="52"/>
      <c r="F9" s="27"/>
      <c r="G9" s="27">
        <v>6</v>
      </c>
      <c r="H9" s="30">
        <f t="shared" si="0"/>
        <v>1.5789473684210527</v>
      </c>
      <c r="I9" s="28">
        <f t="shared" si="1"/>
        <v>0</v>
      </c>
    </row>
    <row r="10" spans="1:9" ht="35.25" customHeight="1">
      <c r="A10" s="25">
        <v>6</v>
      </c>
      <c r="B10" s="81" t="s">
        <v>258</v>
      </c>
      <c r="C10" s="81"/>
      <c r="D10" s="52"/>
      <c r="E10" s="27"/>
      <c r="F10" s="27"/>
      <c r="G10" s="27">
        <v>2</v>
      </c>
      <c r="H10" s="30">
        <f t="shared" si="0"/>
        <v>0.52631578947368418</v>
      </c>
      <c r="I10" s="28">
        <f t="shared" si="1"/>
        <v>0</v>
      </c>
    </row>
    <row r="11" spans="1:9" ht="44.25" customHeight="1">
      <c r="A11" s="25">
        <v>7</v>
      </c>
      <c r="B11" s="81" t="s">
        <v>259</v>
      </c>
      <c r="C11" s="81"/>
      <c r="D11" s="52"/>
      <c r="E11" s="27"/>
      <c r="F11" s="27"/>
      <c r="G11" s="27">
        <v>2</v>
      </c>
      <c r="H11" s="30">
        <f t="shared" si="0"/>
        <v>0.52631578947368418</v>
      </c>
      <c r="I11" s="28">
        <f t="shared" si="1"/>
        <v>0</v>
      </c>
    </row>
    <row r="12" spans="1:9" ht="15.75" customHeight="1">
      <c r="A12" s="82" t="s">
        <v>37</v>
      </c>
      <c r="B12" s="83"/>
      <c r="C12" s="83"/>
      <c r="D12" s="83"/>
      <c r="E12" s="83"/>
      <c r="F12" s="83"/>
      <c r="G12" s="83"/>
      <c r="H12" s="41">
        <f>SUM(H5:H11)</f>
        <v>10.000000000000002</v>
      </c>
      <c r="I12" s="31">
        <f>SUM(I5:I11)</f>
        <v>0</v>
      </c>
    </row>
  </sheetData>
  <mergeCells count="15">
    <mergeCell ref="B8:C8"/>
    <mergeCell ref="B9:C9"/>
    <mergeCell ref="B10:C10"/>
    <mergeCell ref="B11:C11"/>
    <mergeCell ref="A12:G12"/>
    <mergeCell ref="A1:B1"/>
    <mergeCell ref="A2:B2"/>
    <mergeCell ref="C2:I2"/>
    <mergeCell ref="C1:I1"/>
    <mergeCell ref="B7:C7"/>
    <mergeCell ref="A3:B3"/>
    <mergeCell ref="D3:I3"/>
    <mergeCell ref="B4:C4"/>
    <mergeCell ref="B5:C5"/>
    <mergeCell ref="B6:C6"/>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9629C-27B0-4F9B-A370-F8C40814DB6C}">
  <dimension ref="A1:I16"/>
  <sheetViews>
    <sheetView workbookViewId="0">
      <selection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78"/>
      <c r="D1" s="84"/>
      <c r="E1" s="84"/>
      <c r="F1" s="84"/>
      <c r="G1" s="84"/>
      <c r="H1" s="84"/>
      <c r="I1" s="85"/>
    </row>
    <row r="2" spans="1:9" ht="15">
      <c r="A2" s="77" t="s">
        <v>0</v>
      </c>
      <c r="B2" s="77"/>
      <c r="C2" s="78"/>
      <c r="D2" s="84"/>
      <c r="E2" s="84"/>
      <c r="F2" s="84"/>
      <c r="G2" s="84"/>
      <c r="H2" s="84"/>
      <c r="I2" s="85"/>
    </row>
    <row r="3" spans="1:9" ht="30">
      <c r="A3" s="77" t="s">
        <v>237</v>
      </c>
      <c r="B3" s="77"/>
      <c r="C3" s="68" t="s">
        <v>260</v>
      </c>
      <c r="D3" s="81">
        <v>170</v>
      </c>
      <c r="E3" s="81"/>
      <c r="F3" s="81"/>
      <c r="G3" s="81"/>
      <c r="H3" s="81"/>
      <c r="I3" s="81"/>
    </row>
    <row r="4" spans="1:9" ht="60">
      <c r="A4" s="66" t="s">
        <v>25</v>
      </c>
      <c r="B4" s="77" t="s">
        <v>26</v>
      </c>
      <c r="C4" s="77"/>
      <c r="D4" s="66" t="s">
        <v>27</v>
      </c>
      <c r="E4" s="66" t="s">
        <v>28</v>
      </c>
      <c r="F4" s="66" t="s">
        <v>284</v>
      </c>
      <c r="G4" s="66" t="s">
        <v>294</v>
      </c>
      <c r="H4" s="66" t="s">
        <v>295</v>
      </c>
      <c r="I4" s="66" t="s">
        <v>298</v>
      </c>
    </row>
    <row r="5" spans="1:9" ht="33" customHeight="1">
      <c r="A5" s="66">
        <v>1</v>
      </c>
      <c r="B5" s="81" t="s">
        <v>217</v>
      </c>
      <c r="C5" s="81"/>
      <c r="D5" s="67"/>
      <c r="E5" s="67"/>
      <c r="F5" s="67"/>
      <c r="G5" s="67">
        <v>10</v>
      </c>
      <c r="H5" s="30">
        <f>(G5*10)/SUM($G$5:$G$15)</f>
        <v>1.2195121951219512</v>
      </c>
      <c r="I5" s="28">
        <f t="shared" ref="I5:I15" si="0">IF(E5="X",((G5*10)/SUM($G$5:$G$15)),0)</f>
        <v>0</v>
      </c>
    </row>
    <row r="6" spans="1:9" ht="47.25" customHeight="1">
      <c r="A6" s="66">
        <v>2</v>
      </c>
      <c r="B6" s="81" t="s">
        <v>261</v>
      </c>
      <c r="C6" s="81"/>
      <c r="D6" s="67"/>
      <c r="E6" s="67"/>
      <c r="F6" s="67"/>
      <c r="G6" s="67">
        <v>10</v>
      </c>
      <c r="H6" s="30">
        <f t="shared" ref="H6:H15" si="1">(G6*10)/SUM($G$5:$G$15)</f>
        <v>1.2195121951219512</v>
      </c>
      <c r="I6" s="28">
        <f t="shared" si="0"/>
        <v>0</v>
      </c>
    </row>
    <row r="7" spans="1:9" ht="70.5" customHeight="1">
      <c r="A7" s="66">
        <v>3</v>
      </c>
      <c r="B7" s="81" t="s">
        <v>262</v>
      </c>
      <c r="C7" s="81"/>
      <c r="D7" s="67"/>
      <c r="E7" s="67"/>
      <c r="F7" s="67"/>
      <c r="G7" s="67">
        <v>6</v>
      </c>
      <c r="H7" s="30">
        <f t="shared" si="1"/>
        <v>0.73170731707317072</v>
      </c>
      <c r="I7" s="28">
        <f t="shared" si="0"/>
        <v>0</v>
      </c>
    </row>
    <row r="8" spans="1:9" ht="59.25" customHeight="1">
      <c r="A8" s="66">
        <v>4</v>
      </c>
      <c r="B8" s="81" t="s">
        <v>263</v>
      </c>
      <c r="C8" s="81"/>
      <c r="D8" s="67"/>
      <c r="E8" s="67"/>
      <c r="F8" s="67"/>
      <c r="G8" s="67">
        <v>6</v>
      </c>
      <c r="H8" s="30">
        <f t="shared" si="1"/>
        <v>0.73170731707317072</v>
      </c>
      <c r="I8" s="28">
        <f t="shared" si="0"/>
        <v>0</v>
      </c>
    </row>
    <row r="9" spans="1:9" ht="59.25" customHeight="1">
      <c r="A9" s="66">
        <v>5</v>
      </c>
      <c r="B9" s="81" t="s">
        <v>264</v>
      </c>
      <c r="C9" s="81"/>
      <c r="D9" s="67"/>
      <c r="E9" s="67"/>
      <c r="F9" s="67"/>
      <c r="G9" s="67">
        <v>10</v>
      </c>
      <c r="H9" s="30">
        <f t="shared" si="1"/>
        <v>1.2195121951219512</v>
      </c>
      <c r="I9" s="28">
        <f t="shared" si="0"/>
        <v>0</v>
      </c>
    </row>
    <row r="10" spans="1:9" ht="58.5" customHeight="1">
      <c r="A10" s="66">
        <v>6</v>
      </c>
      <c r="B10" s="81" t="s">
        <v>265</v>
      </c>
      <c r="C10" s="81"/>
      <c r="D10" s="67"/>
      <c r="E10" s="67"/>
      <c r="F10" s="67"/>
      <c r="G10" s="67">
        <v>6</v>
      </c>
      <c r="H10" s="30">
        <f t="shared" si="1"/>
        <v>0.73170731707317072</v>
      </c>
      <c r="I10" s="28">
        <f t="shared" si="0"/>
        <v>0</v>
      </c>
    </row>
    <row r="11" spans="1:9" ht="72" customHeight="1">
      <c r="A11" s="66">
        <v>7</v>
      </c>
      <c r="B11" s="81" t="s">
        <v>266</v>
      </c>
      <c r="C11" s="81"/>
      <c r="D11" s="67"/>
      <c r="E11" s="67"/>
      <c r="F11" s="67"/>
      <c r="G11" s="67">
        <v>10</v>
      </c>
      <c r="H11" s="30">
        <f t="shared" si="1"/>
        <v>1.2195121951219512</v>
      </c>
      <c r="I11" s="28">
        <f t="shared" si="0"/>
        <v>0</v>
      </c>
    </row>
    <row r="12" spans="1:9" ht="47.25" customHeight="1">
      <c r="A12" s="66">
        <v>8</v>
      </c>
      <c r="B12" s="81" t="s">
        <v>267</v>
      </c>
      <c r="C12" s="81"/>
      <c r="D12" s="67"/>
      <c r="E12" s="67"/>
      <c r="F12" s="67"/>
      <c r="G12" s="67">
        <v>10</v>
      </c>
      <c r="H12" s="30">
        <f t="shared" si="1"/>
        <v>1.2195121951219512</v>
      </c>
      <c r="I12" s="28">
        <f t="shared" si="0"/>
        <v>0</v>
      </c>
    </row>
    <row r="13" spans="1:9" ht="48" customHeight="1">
      <c r="A13" s="66">
        <v>9</v>
      </c>
      <c r="B13" s="81" t="s">
        <v>268</v>
      </c>
      <c r="C13" s="81"/>
      <c r="D13" s="67"/>
      <c r="E13" s="67"/>
      <c r="F13" s="67"/>
      <c r="G13" s="67">
        <v>6</v>
      </c>
      <c r="H13" s="30">
        <f t="shared" si="1"/>
        <v>0.73170731707317072</v>
      </c>
      <c r="I13" s="28">
        <f t="shared" si="0"/>
        <v>0</v>
      </c>
    </row>
    <row r="14" spans="1:9" ht="47.25" customHeight="1">
      <c r="A14" s="66">
        <v>10</v>
      </c>
      <c r="B14" s="81" t="s">
        <v>269</v>
      </c>
      <c r="C14" s="81"/>
      <c r="D14" s="67"/>
      <c r="E14" s="67"/>
      <c r="F14" s="67"/>
      <c r="G14" s="67">
        <v>6</v>
      </c>
      <c r="H14" s="30">
        <f t="shared" si="1"/>
        <v>0.73170731707317072</v>
      </c>
      <c r="I14" s="28">
        <f t="shared" si="0"/>
        <v>0</v>
      </c>
    </row>
    <row r="15" spans="1:9" ht="45" customHeight="1">
      <c r="A15" s="66">
        <v>11</v>
      </c>
      <c r="B15" s="81" t="s">
        <v>270</v>
      </c>
      <c r="C15" s="81"/>
      <c r="D15" s="67"/>
      <c r="E15" s="67"/>
      <c r="F15" s="67"/>
      <c r="G15" s="67">
        <v>2</v>
      </c>
      <c r="H15" s="30">
        <f t="shared" si="1"/>
        <v>0.24390243902439024</v>
      </c>
      <c r="I15" s="28">
        <f t="shared" si="0"/>
        <v>0</v>
      </c>
    </row>
    <row r="16" spans="1:9" ht="15.75" customHeight="1">
      <c r="A16" s="96" t="s">
        <v>37</v>
      </c>
      <c r="B16" s="96"/>
      <c r="C16" s="96"/>
      <c r="D16" s="96"/>
      <c r="E16" s="96"/>
      <c r="F16" s="96"/>
      <c r="G16" s="96"/>
      <c r="H16" s="41">
        <f>SUM(H5:H15)</f>
        <v>10.000000000000002</v>
      </c>
      <c r="I16" s="31">
        <f>SUM(I5:I15)</f>
        <v>0</v>
      </c>
    </row>
  </sheetData>
  <mergeCells count="19">
    <mergeCell ref="A16:G16"/>
    <mergeCell ref="B10:C10"/>
    <mergeCell ref="B11:C11"/>
    <mergeCell ref="B12:C12"/>
    <mergeCell ref="B13:C13"/>
    <mergeCell ref="B14:C14"/>
    <mergeCell ref="B15:C15"/>
    <mergeCell ref="B4:C4"/>
    <mergeCell ref="B5:C5"/>
    <mergeCell ref="B6:C6"/>
    <mergeCell ref="B7:C7"/>
    <mergeCell ref="B8:C8"/>
    <mergeCell ref="B9:C9"/>
    <mergeCell ref="A1:B1"/>
    <mergeCell ref="C1:I1"/>
    <mergeCell ref="A2:B2"/>
    <mergeCell ref="C2:I2"/>
    <mergeCell ref="A3:B3"/>
    <mergeCell ref="D3:I3"/>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37DAE-6DD0-482F-872E-E89C47FD749A}">
  <dimension ref="A1:I15"/>
  <sheetViews>
    <sheetView workbookViewId="0">
      <pane xSplit="3" ySplit="4" topLeftCell="D5" activePane="bottomRight" state="frozen"/>
      <selection activeCell="A3" sqref="A3:J15"/>
      <selection pane="topRight" activeCell="A3" sqref="A3:J15"/>
      <selection pane="bottomLeft" activeCell="A3" sqref="A3:J15"/>
      <selection pane="bottomRight" activeCell="C1" sqref="C1:I1"/>
    </sheetView>
  </sheetViews>
  <sheetFormatPr baseColWidth="10" defaultColWidth="11.375" defaultRowHeight="14.25"/>
  <cols>
    <col min="1" max="1" width="4.75" style="32" customWidth="1"/>
    <col min="2" max="3" width="17.75" style="32" customWidth="1"/>
    <col min="4" max="5" width="4.75" style="32" customWidth="1"/>
    <col min="6" max="6" width="9.75" style="32" customWidth="1"/>
    <col min="7" max="7" width="12" style="32" bestFit="1" customWidth="1"/>
    <col min="8" max="8" width="12" style="32" customWidth="1"/>
    <col min="9" max="9" width="12" style="32" bestFit="1" customWidth="1"/>
    <col min="10" max="16384" width="11.375" style="32"/>
  </cols>
  <sheetData>
    <row r="1" spans="1:9" ht="15">
      <c r="A1" s="77" t="s">
        <v>443</v>
      </c>
      <c r="B1" s="77"/>
      <c r="C1" s="78"/>
      <c r="D1" s="84"/>
      <c r="E1" s="84"/>
      <c r="F1" s="84"/>
      <c r="G1" s="84"/>
      <c r="H1" s="84"/>
      <c r="I1" s="85"/>
    </row>
    <row r="2" spans="1:9" ht="15">
      <c r="A2" s="77" t="s">
        <v>0</v>
      </c>
      <c r="B2" s="77"/>
      <c r="C2" s="78"/>
      <c r="D2" s="84"/>
      <c r="E2" s="84"/>
      <c r="F2" s="84"/>
      <c r="G2" s="84"/>
      <c r="H2" s="84"/>
      <c r="I2" s="85"/>
    </row>
    <row r="3" spans="1:9" ht="15">
      <c r="A3" s="77" t="s">
        <v>271</v>
      </c>
      <c r="B3" s="77"/>
      <c r="C3" s="24" t="s">
        <v>272</v>
      </c>
      <c r="D3" s="81">
        <v>130</v>
      </c>
      <c r="E3" s="81"/>
      <c r="F3" s="81"/>
      <c r="G3" s="81"/>
      <c r="H3" s="81"/>
      <c r="I3" s="81"/>
    </row>
    <row r="4" spans="1:9" ht="60">
      <c r="A4" s="25" t="s">
        <v>25</v>
      </c>
      <c r="B4" s="77" t="s">
        <v>26</v>
      </c>
      <c r="C4" s="77"/>
      <c r="D4" s="25" t="s">
        <v>27</v>
      </c>
      <c r="E4" s="25" t="s">
        <v>28</v>
      </c>
      <c r="F4" s="25" t="s">
        <v>284</v>
      </c>
      <c r="G4" s="25" t="s">
        <v>294</v>
      </c>
      <c r="H4" s="25" t="s">
        <v>295</v>
      </c>
      <c r="I4" s="25" t="s">
        <v>298</v>
      </c>
    </row>
    <row r="5" spans="1:9" ht="47.25" customHeight="1">
      <c r="A5" s="25">
        <v>1</v>
      </c>
      <c r="B5" s="81" t="s">
        <v>273</v>
      </c>
      <c r="C5" s="81"/>
      <c r="D5" s="27"/>
      <c r="E5" s="52"/>
      <c r="F5" s="27"/>
      <c r="G5" s="27">
        <v>10</v>
      </c>
      <c r="H5" s="30">
        <f>(G5*10)/SUM($G$5:$G$14)</f>
        <v>1.7857142857142858</v>
      </c>
      <c r="I5" s="28">
        <f>IF(E5="X",((G5*10)/SUM($G$5:$G$14)),0)</f>
        <v>0</v>
      </c>
    </row>
    <row r="6" spans="1:9" ht="47.25" customHeight="1">
      <c r="A6" s="25">
        <v>2</v>
      </c>
      <c r="B6" s="81" t="s">
        <v>274</v>
      </c>
      <c r="C6" s="81"/>
      <c r="D6" s="27"/>
      <c r="E6" s="52"/>
      <c r="F6" s="27"/>
      <c r="G6" s="27">
        <v>2</v>
      </c>
      <c r="H6" s="30">
        <f t="shared" ref="H6:H14" si="0">(G6*10)/SUM($G$5:$G$14)</f>
        <v>0.35714285714285715</v>
      </c>
      <c r="I6" s="28">
        <f t="shared" ref="I6:I14" si="1">IF(E6="X",((G6*10)/SUM($G$5:$G$14)),0)</f>
        <v>0</v>
      </c>
    </row>
    <row r="7" spans="1:9" ht="31.5" customHeight="1">
      <c r="A7" s="25">
        <v>3</v>
      </c>
      <c r="B7" s="81" t="s">
        <v>275</v>
      </c>
      <c r="C7" s="81"/>
      <c r="D7" s="27"/>
      <c r="E7" s="52"/>
      <c r="F7" s="27"/>
      <c r="G7" s="27">
        <v>6</v>
      </c>
      <c r="H7" s="30">
        <f t="shared" si="0"/>
        <v>1.0714285714285714</v>
      </c>
      <c r="I7" s="28">
        <f t="shared" si="1"/>
        <v>0</v>
      </c>
    </row>
    <row r="8" spans="1:9" ht="59.25" customHeight="1">
      <c r="A8" s="25">
        <v>4</v>
      </c>
      <c r="B8" s="81" t="s">
        <v>276</v>
      </c>
      <c r="C8" s="81"/>
      <c r="D8" s="27"/>
      <c r="E8" s="52"/>
      <c r="F8" s="27"/>
      <c r="G8" s="27">
        <v>10</v>
      </c>
      <c r="H8" s="30">
        <f t="shared" si="0"/>
        <v>1.7857142857142858</v>
      </c>
      <c r="I8" s="28">
        <f t="shared" si="1"/>
        <v>0</v>
      </c>
    </row>
    <row r="9" spans="1:9" ht="43.5" customHeight="1">
      <c r="A9" s="25">
        <v>5</v>
      </c>
      <c r="B9" s="81" t="s">
        <v>277</v>
      </c>
      <c r="C9" s="81"/>
      <c r="D9" s="52"/>
      <c r="E9" s="27"/>
      <c r="F9" s="27"/>
      <c r="G9" s="27">
        <v>6</v>
      </c>
      <c r="H9" s="30">
        <f t="shared" si="0"/>
        <v>1.0714285714285714</v>
      </c>
      <c r="I9" s="28">
        <f t="shared" si="1"/>
        <v>0</v>
      </c>
    </row>
    <row r="10" spans="1:9" ht="58.5" customHeight="1">
      <c r="A10" s="25">
        <v>6</v>
      </c>
      <c r="B10" s="81" t="s">
        <v>278</v>
      </c>
      <c r="C10" s="81"/>
      <c r="D10" s="27"/>
      <c r="E10" s="52"/>
      <c r="F10" s="27"/>
      <c r="G10" s="27">
        <v>6</v>
      </c>
      <c r="H10" s="30">
        <f t="shared" si="0"/>
        <v>1.0714285714285714</v>
      </c>
      <c r="I10" s="28">
        <f t="shared" si="1"/>
        <v>0</v>
      </c>
    </row>
    <row r="11" spans="1:9" ht="47.25" customHeight="1">
      <c r="A11" s="25">
        <v>7</v>
      </c>
      <c r="B11" s="81" t="s">
        <v>279</v>
      </c>
      <c r="C11" s="81"/>
      <c r="D11" s="27"/>
      <c r="E11" s="52"/>
      <c r="F11" s="27"/>
      <c r="G11" s="27">
        <v>6</v>
      </c>
      <c r="H11" s="30">
        <f t="shared" si="0"/>
        <v>1.0714285714285714</v>
      </c>
      <c r="I11" s="28">
        <f t="shared" si="1"/>
        <v>0</v>
      </c>
    </row>
    <row r="12" spans="1:9" ht="47.25" customHeight="1">
      <c r="A12" s="25">
        <v>8</v>
      </c>
      <c r="B12" s="81" t="s">
        <v>280</v>
      </c>
      <c r="C12" s="81"/>
      <c r="D12" s="27"/>
      <c r="E12" s="52"/>
      <c r="F12" s="27"/>
      <c r="G12" s="27">
        <v>6</v>
      </c>
      <c r="H12" s="30">
        <f t="shared" si="0"/>
        <v>1.0714285714285714</v>
      </c>
      <c r="I12" s="28">
        <f t="shared" si="1"/>
        <v>0</v>
      </c>
    </row>
    <row r="13" spans="1:9" ht="47.25" customHeight="1">
      <c r="A13" s="25">
        <v>9</v>
      </c>
      <c r="B13" s="81" t="s">
        <v>281</v>
      </c>
      <c r="C13" s="81"/>
      <c r="D13" s="27"/>
      <c r="E13" s="52"/>
      <c r="F13" s="27"/>
      <c r="G13" s="27">
        <v>2</v>
      </c>
      <c r="H13" s="30">
        <f t="shared" si="0"/>
        <v>0.35714285714285715</v>
      </c>
      <c r="I13" s="28">
        <f t="shared" si="1"/>
        <v>0</v>
      </c>
    </row>
    <row r="14" spans="1:9" ht="63" customHeight="1">
      <c r="A14" s="25">
        <v>10</v>
      </c>
      <c r="B14" s="81" t="s">
        <v>282</v>
      </c>
      <c r="C14" s="81"/>
      <c r="D14" s="27"/>
      <c r="E14" s="52"/>
      <c r="F14" s="27"/>
      <c r="G14" s="27">
        <v>2</v>
      </c>
      <c r="H14" s="30">
        <f t="shared" si="0"/>
        <v>0.35714285714285715</v>
      </c>
      <c r="I14" s="28">
        <f t="shared" si="1"/>
        <v>0</v>
      </c>
    </row>
    <row r="15" spans="1:9" ht="15.75" customHeight="1">
      <c r="A15" s="96" t="s">
        <v>37</v>
      </c>
      <c r="B15" s="96"/>
      <c r="C15" s="96"/>
      <c r="D15" s="96"/>
      <c r="E15" s="96"/>
      <c r="F15" s="96"/>
      <c r="G15" s="96"/>
      <c r="H15" s="41">
        <f>SUM(H5:H14)</f>
        <v>10</v>
      </c>
      <c r="I15" s="31">
        <f>SUM(I5:I14)</f>
        <v>0</v>
      </c>
    </row>
  </sheetData>
  <mergeCells count="18">
    <mergeCell ref="B14:C14"/>
    <mergeCell ref="A15:G15"/>
    <mergeCell ref="B8:C8"/>
    <mergeCell ref="B9:C9"/>
    <mergeCell ref="B10:C10"/>
    <mergeCell ref="B11:C11"/>
    <mergeCell ref="B12:C12"/>
    <mergeCell ref="B13:C13"/>
    <mergeCell ref="A1:B1"/>
    <mergeCell ref="A2:B2"/>
    <mergeCell ref="C2:I2"/>
    <mergeCell ref="C1:I1"/>
    <mergeCell ref="B7:C7"/>
    <mergeCell ref="A3:B3"/>
    <mergeCell ref="D3:I3"/>
    <mergeCell ref="B4:C4"/>
    <mergeCell ref="B5:C5"/>
    <mergeCell ref="B6: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48</vt:i4>
      </vt:variant>
      <vt:variant>
        <vt:lpstr>Rangos con nombre</vt:lpstr>
      </vt:variant>
      <vt:variant>
        <vt:i4>2</vt:i4>
      </vt:variant>
    </vt:vector>
  </HeadingPairs>
  <TitlesOfParts>
    <vt:vector size="50" baseType="lpstr">
      <vt:lpstr>E-Resumen</vt:lpstr>
      <vt:lpstr>E-RL-OI</vt:lpstr>
      <vt:lpstr>E-RM-CDN</vt:lpstr>
      <vt:lpstr>E-RM-CMN</vt:lpstr>
      <vt:lpstr>E-RM-COD</vt:lpstr>
      <vt:lpstr>E-RM-COM</vt:lpstr>
      <vt:lpstr>E-RM-CGOH</vt:lpstr>
      <vt:lpstr>E-RM-PFP</vt:lpstr>
      <vt:lpstr>E-RM-APEO</vt:lpstr>
      <vt:lpstr>E-RM-AGV</vt:lpstr>
      <vt:lpstr>E-RM-ORAa</vt:lpstr>
      <vt:lpstr>E-RM-ORAb</vt:lpstr>
      <vt:lpstr>E-RE-CE</vt:lpstr>
      <vt:lpstr>E-RIM-CTa</vt:lpstr>
      <vt:lpstr>E-RIM-CTb</vt:lpstr>
      <vt:lpstr>E-RIM-CTc</vt:lpstr>
      <vt:lpstr>E-RC-RF-R</vt:lpstr>
      <vt:lpstr>E-RC-RF-V</vt:lpstr>
      <vt:lpstr>E-RC-RF-RI</vt:lpstr>
      <vt:lpstr>E-RC-RF-I</vt:lpstr>
      <vt:lpstr>E-OP-RM-CMN (2)</vt:lpstr>
      <vt:lpstr>E-OP-RM-CGOH (2)</vt:lpstr>
      <vt:lpstr>E-RC-RE-S</vt:lpstr>
      <vt:lpstr>E-RC-RQ-ESN</vt:lpstr>
      <vt:lpstr>I-Resumen</vt:lpstr>
      <vt:lpstr>I-RL-OI</vt:lpstr>
      <vt:lpstr>I-RM-CDN</vt:lpstr>
      <vt:lpstr>I-RM-CMN</vt:lpstr>
      <vt:lpstr>I-RM-COD</vt:lpstr>
      <vt:lpstr>I-RM-COM</vt:lpstr>
      <vt:lpstr>I-RM-GCOH</vt:lpstr>
      <vt:lpstr>I-RM-PFP</vt:lpstr>
      <vt:lpstr>I-RM-APEO</vt:lpstr>
      <vt:lpstr>I-RM-AVM</vt:lpstr>
      <vt:lpstr>I-RM-AGV</vt:lpstr>
      <vt:lpstr>I-RM-ORAa</vt:lpstr>
      <vt:lpstr>I-RM-ORAb</vt:lpstr>
      <vt:lpstr>I-RM-OE-AI</vt:lpstr>
      <vt:lpstr>I-RE-CE</vt:lpstr>
      <vt:lpstr>I-RIM-CTa</vt:lpstr>
      <vt:lpstr>I-RIM-CTb</vt:lpstr>
      <vt:lpstr>I-RIM-CTc</vt:lpstr>
      <vt:lpstr>I-RC-RF-R</vt:lpstr>
      <vt:lpstr>I-RC-RF-V</vt:lpstr>
      <vt:lpstr>I-RC-RF-RI</vt:lpstr>
      <vt:lpstr>I-RC-RF-I</vt:lpstr>
      <vt:lpstr>I-RC-RQ-ESN</vt:lpstr>
      <vt:lpstr>I-RC-RE-S</vt:lpstr>
      <vt:lpstr>'E-RIM-CTb'!_Hlk210070090</vt:lpstr>
      <vt:lpstr>'I-RIM-CTb'!_Hlk210070090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BUCHELI GARCIA JORGE ALEXANDER</dc:creator>
  <cp:keywords/>
  <dc:description/>
  <cp:lastModifiedBy>Samantha</cp:lastModifiedBy>
  <cp:revision/>
  <dcterms:created xsi:type="dcterms:W3CDTF">2025-11-06T16:15:55Z</dcterms:created>
  <dcterms:modified xsi:type="dcterms:W3CDTF">2026-07-24T00:44:19Z</dcterms:modified>
  <cp:category/>
  <cp:contentStatus/>
</cp:coreProperties>
</file>